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國中" sheetId="2" state="visible" r:id="rId4"/>
    <sheet name="高中" sheetId="3" state="visible" r:id="rId5"/>
    <sheet name="涵蓋總覽" sheetId="4" state="visible" r:id="rId6"/>
  </sheets>
  <definedNames>
    <definedName function="false" hidden="true" localSheetId="1" name="_xlnm._FilterDatabase" vbProcedure="false">國中!$A$1:$K$265</definedName>
    <definedName function="false" hidden="true" localSheetId="3" name="_xlnm._FilterDatabase" vbProcedure="false">涵蓋總覽!$A$1:$G$495</definedName>
    <definedName function="false" hidden="true" localSheetId="2" name="_xlnm._FilterDatabase" vbProcedure="false">高中!$A$1:$K$533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<sst xmlns="http://schemas.openxmlformats.org/spreadsheetml/2006/main" count="8561" uniqueCount="813">
  <si>
    <r>
      <rPr>
        <b val="true"/>
        <sz val="12"/>
        <rFont val="Arial"/>
        <family val="0"/>
        <charset val="1"/>
      </rPr>
      <t xml:space="preserve">1019</t>
    </r>
    <r>
      <rPr>
        <b val="true"/>
        <sz val="12"/>
        <rFont val="WenQuanYi Zen Hei"/>
        <family val="2"/>
      </rPr>
      <t xml:space="preserve">課程版本：各出版商國高中課本目錄統整</t>
    </r>
  </si>
  <si>
    <t xml:space="preserve">資料範圍</t>
  </si>
  <si>
    <r>
      <rPr>
        <sz val="10"/>
        <rFont val="WenQuanYi Zen Hei"/>
        <family val="2"/>
      </rPr>
      <t xml:space="preserve">國中：翰林、康軒、南一，</t>
    </r>
    <r>
      <rPr>
        <sz val="10"/>
        <rFont val="Arial"/>
        <family val="0"/>
        <charset val="1"/>
      </rPr>
      <t xml:space="preserve">7–9 </t>
    </r>
    <r>
      <rPr>
        <sz val="10"/>
        <rFont val="WenQuanYi Zen Hei"/>
        <family val="2"/>
      </rPr>
      <t xml:space="preserve">年級上下冊。國文、英文、數學、自然（生物、理化、地球科學）、社會（歷史、地理、公民）。</t>
    </r>
  </si>
  <si>
    <r>
      <rPr>
        <sz val="10"/>
        <rFont val="WenQuanYi Zen Hei"/>
        <family val="2"/>
      </rPr>
      <t xml:space="preserve">高中：三民、龍騰、南一、全華、泰宇。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科部定必修與加深加廣選修。</t>
    </r>
  </si>
  <si>
    <r>
      <rPr>
        <sz val="10"/>
        <rFont val="WenQuanYi Zen Hei"/>
        <family val="2"/>
      </rPr>
      <t xml:space="preserve">以 </t>
    </r>
    <r>
      <rPr>
        <sz val="10"/>
        <rFont val="Arial"/>
        <family val="0"/>
        <charset val="1"/>
      </rPr>
      <t xml:space="preserve">115 </t>
    </r>
    <r>
      <rPr>
        <sz val="10"/>
        <rFont val="WenQuanYi Zen Hei"/>
        <family val="2"/>
      </rPr>
      <t xml:space="preserve">學年度現行版本為準；只找到 </t>
    </r>
    <r>
      <rPr>
        <sz val="10"/>
        <rFont val="Arial"/>
        <family val="0"/>
        <charset val="1"/>
      </rPr>
      <t xml:space="preserve">114 </t>
    </r>
    <r>
      <rPr>
        <sz val="10"/>
        <rFont val="WenQuanYi Zen Hei"/>
        <family val="2"/>
      </rPr>
      <t xml:space="preserve">學年度資料時，「學年度」欄會註明。</t>
    </r>
  </si>
  <si>
    <t xml:space="preserve">資料來源與限制</t>
  </si>
  <si>
    <t xml:space="preserve">蒐集時，出版商官網在作業環境中無法連線（網路政策阻擋），因此本版資料來自網路搜尋，主要是各校公開的課程計畫與教學計畫表，每列都附來源網址。</t>
  </si>
  <si>
    <t xml:space="preserve">只收錄來源中實際看到、且明確標示版本的章節；查不到的冊次保留一列，章節空白（黃底），不做推測。</t>
  </si>
  <si>
    <t xml:space="preserve">學校課程計畫的單元名稱可能經過學校簡化或調整，與課本原文可能有些微差異；以出版商官網或課本為準。</t>
  </si>
  <si>
    <t xml:space="preserve">待辦：開放出版商網域後，到官網逐冊核對，並補上空白冊次；核對過的列，「來源類型」會改為「出版商官網」。</t>
  </si>
  <si>
    <r>
      <rPr>
        <sz val="10"/>
        <rFont val="WenQuanYi Zen Hei"/>
        <family val="2"/>
      </rPr>
      <t xml:space="preserve">官網網域：翰林 </t>
    </r>
    <r>
      <rPr>
        <sz val="10"/>
        <rFont val="Arial"/>
        <family val="0"/>
        <charset val="1"/>
      </rPr>
      <t xml:space="preserve">hle.com.tw</t>
    </r>
    <r>
      <rPr>
        <sz val="10"/>
        <rFont val="WenQuanYi Zen Hei"/>
        <family val="2"/>
      </rPr>
      <t xml:space="preserve">、康軒 </t>
    </r>
    <r>
      <rPr>
        <sz val="10"/>
        <rFont val="Arial"/>
        <family val="0"/>
        <charset val="1"/>
      </rPr>
      <t xml:space="preserve">knsh.com.tw</t>
    </r>
    <r>
      <rPr>
        <sz val="10"/>
        <rFont val="WenQuanYi Zen Hei"/>
        <family val="2"/>
      </rPr>
      <t xml:space="preserve">、南一 </t>
    </r>
    <r>
      <rPr>
        <sz val="10"/>
        <rFont val="Arial"/>
        <family val="0"/>
        <charset val="1"/>
      </rPr>
      <t xml:space="preserve">nani.com.tw</t>
    </r>
    <r>
      <rPr>
        <sz val="10"/>
        <rFont val="WenQuanYi Zen Hei"/>
        <family val="2"/>
      </rPr>
      <t xml:space="preserve">、三民 </t>
    </r>
    <r>
      <rPr>
        <sz val="10"/>
        <rFont val="Arial"/>
        <family val="0"/>
        <charset val="1"/>
      </rPr>
      <t xml:space="preserve">sanmin.com.tw</t>
    </r>
    <r>
      <rPr>
        <sz val="10"/>
        <rFont val="WenQuanYi Zen Hei"/>
        <family val="2"/>
      </rPr>
      <t xml:space="preserve">、龍騰 </t>
    </r>
    <r>
      <rPr>
        <sz val="10"/>
        <rFont val="Arial"/>
        <family val="0"/>
        <charset val="1"/>
      </rPr>
      <t xml:space="preserve">ltedu.com.tw</t>
    </r>
    <r>
      <rPr>
        <sz val="10"/>
        <rFont val="WenQuanYi Zen Hei"/>
        <family val="2"/>
      </rPr>
      <t xml:space="preserve">、全華 </t>
    </r>
    <r>
      <rPr>
        <sz val="10"/>
        <rFont val="Arial"/>
        <family val="0"/>
        <charset val="1"/>
      </rPr>
      <t xml:space="preserve">chwa.com.tw</t>
    </r>
    <r>
      <rPr>
        <sz val="10"/>
        <rFont val="WenQuanYi Zen Hei"/>
        <family val="2"/>
      </rPr>
      <t xml:space="preserve">、泰宇 </t>
    </r>
    <r>
      <rPr>
        <sz val="10"/>
        <rFont val="Arial"/>
        <family val="0"/>
        <charset val="1"/>
      </rPr>
      <t xml:space="preserve">tyedu.com.tw</t>
    </r>
    <r>
      <rPr>
        <sz val="10"/>
        <rFont val="WenQuanYi Zen Hei"/>
        <family val="2"/>
      </rPr>
      <t xml:space="preserve">（泰宇待確認）。</t>
    </r>
  </si>
  <si>
    <t xml:space="preserve">欄位說明</t>
  </si>
  <si>
    <t xml:space="preserve">「國中」「高中」：一章（國文、英文為一課）一列；「節」以全形分號「；」分隔。</t>
  </si>
  <si>
    <t xml:space="preserve">「涵蓋總覽」：每冊已查到的章數，以公式從資料表計算，資料增修後會自動更新。</t>
  </si>
  <si>
    <r>
      <rPr>
        <sz val="10"/>
        <rFont val="WenQuanYi Zen Hei"/>
        <family val="2"/>
      </rPr>
      <t xml:space="preserve">目前共 </t>
    </r>
    <r>
      <rPr>
        <sz val="10"/>
        <rFont val="Arial"/>
        <family val="0"/>
        <charset val="1"/>
      </rPr>
      <t xml:space="preserve">796 </t>
    </r>
    <r>
      <rPr>
        <sz val="10"/>
        <rFont val="WenQuanYi Zen Hei"/>
        <family val="2"/>
      </rPr>
      <t xml:space="preserve">列，其中 </t>
    </r>
    <r>
      <rPr>
        <sz val="10"/>
        <rFont val="Arial"/>
        <family val="0"/>
        <charset val="1"/>
      </rPr>
      <t xml:space="preserve">374 </t>
    </r>
    <r>
      <rPr>
        <sz val="10"/>
        <rFont val="WenQuanYi Zen Hei"/>
        <family val="2"/>
      </rPr>
      <t xml:space="preserve">列有章節內容。</t>
    </r>
  </si>
  <si>
    <t xml:space="preserve">版本</t>
  </si>
  <si>
    <t xml:space="preserve">學段</t>
  </si>
  <si>
    <t xml:space="preserve">年級</t>
  </si>
  <si>
    <t xml:space="preserve">冊次</t>
  </si>
  <si>
    <t xml:space="preserve">科目</t>
  </si>
  <si>
    <t xml:space="preserve">章</t>
  </si>
  <si>
    <t xml:space="preserve">節</t>
  </si>
  <si>
    <t xml:space="preserve">學年度</t>
  </si>
  <si>
    <t xml:space="preserve">來源類型</t>
  </si>
  <si>
    <t xml:space="preserve">來源網址</t>
  </si>
  <si>
    <t xml:space="preserve">備註</t>
  </si>
  <si>
    <t xml:space="preserve">翰林</t>
  </si>
  <si>
    <t xml:space="preserve">國中</t>
  </si>
  <si>
    <t xml:space="preserve">7</t>
  </si>
  <si>
    <t xml:space="preserve">上</t>
  </si>
  <si>
    <t xml:space="preserve">國文</t>
  </si>
  <si>
    <t xml:space="preserve">第一課 夏夜</t>
  </si>
  <si>
    <t xml:space="preserve">115</t>
  </si>
  <si>
    <t xml:space="preserve">出版商頁面</t>
  </si>
  <si>
    <t xml:space="preserve">https://sites.google.com/hanlin.com.tw/112chwebppt/1%E4%B8%8A</t>
  </si>
  <si>
    <r>
      <rPr>
        <sz val="10"/>
        <rFont val="WenQuanYi Zen Hei"/>
        <family val="2"/>
      </rPr>
      <t xml:space="preserve">來源為翰林官方</t>
    </r>
    <r>
      <rPr>
        <sz val="10"/>
        <rFont val="Arial"/>
        <family val="0"/>
        <charset val="1"/>
      </rPr>
      <t xml:space="preserve">Google Sites</t>
    </r>
    <r>
      <rPr>
        <sz val="10"/>
        <rFont val="WenQuanYi Zen Hei"/>
        <family val="2"/>
      </rPr>
      <t xml:space="preserve">「國文網頁版</t>
    </r>
    <r>
      <rPr>
        <sz val="10"/>
        <rFont val="Arial"/>
        <family val="0"/>
        <charset val="1"/>
      </rPr>
      <t xml:space="preserve">PPT</t>
    </r>
    <r>
      <rPr>
        <sz val="10"/>
        <rFont val="WenQuanYi Zen Hei"/>
        <family val="2"/>
      </rPr>
      <t xml:space="preserve">」課次清單，頁面標示【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上】入口；經搜尋摘要擷取，非直接開啟頁面</t>
    </r>
  </si>
  <si>
    <t xml:space="preserve">第二課 無心的錯誤</t>
  </si>
  <si>
    <t xml:space="preserve">第三課 母親的教誨</t>
  </si>
  <si>
    <t xml:space="preserve">語文常識一 標點符號使用法</t>
  </si>
  <si>
    <t xml:space="preserve">第四課 論語選</t>
  </si>
  <si>
    <t xml:space="preserve">第五課 背影</t>
  </si>
  <si>
    <t xml:space="preserve">第六課 心囚</t>
  </si>
  <si>
    <t xml:space="preserve">語文常識二 策略運用與資訊檢索</t>
  </si>
  <si>
    <t xml:space="preserve">第七課 兒時記趣</t>
  </si>
  <si>
    <t xml:space="preserve">第八課 朋友相交</t>
  </si>
  <si>
    <t xml:space="preserve">第九課 音樂家與職籃巨星</t>
  </si>
  <si>
    <t xml:space="preserve">第十課 玫瑰淚</t>
  </si>
  <si>
    <r>
      <rPr>
        <sz val="10"/>
        <rFont val="WenQuanYi Zen Hei"/>
        <family val="2"/>
      </rPr>
      <t xml:space="preserve">來源為翰林官方</t>
    </r>
    <r>
      <rPr>
        <sz val="10"/>
        <rFont val="Arial"/>
        <family val="0"/>
        <charset val="1"/>
      </rPr>
      <t xml:space="preserve">Google Sites</t>
    </r>
    <r>
      <rPr>
        <sz val="10"/>
        <rFont val="WenQuanYi Zen Hei"/>
        <family val="2"/>
      </rPr>
      <t xml:space="preserve">「國文網頁版</t>
    </r>
    <r>
      <rPr>
        <sz val="10"/>
        <rFont val="Arial"/>
        <family val="0"/>
        <charset val="1"/>
      </rPr>
      <t xml:space="preserve">PPT</t>
    </r>
    <r>
      <rPr>
        <sz val="10"/>
        <rFont val="WenQuanYi Zen Hei"/>
        <family val="2"/>
      </rPr>
      <t xml:space="preserve">」課次清單，頁面標示【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上】入口；經搜尋摘要擷取，非直接開啟頁面；翰林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學年度「數位互動資源平台」將</t>
    </r>
    <r>
      <rPr>
        <sz val="10"/>
        <rFont val="Arial"/>
        <family val="0"/>
        <charset val="1"/>
      </rPr>
      <t xml:space="preserve">L10</t>
    </r>
    <r>
      <rPr>
        <sz val="10"/>
        <rFont val="WenQuanYi Zen Hei"/>
        <family val="2"/>
      </rPr>
      <t xml:space="preserve">列為〈藍色串珠項鍊〉，與此處不同</t>
    </r>
  </si>
  <si>
    <t xml:space="preserve">自學一 古代神話與寓言選</t>
  </si>
  <si>
    <t xml:space="preserve">自學二 貪睡的長頸鹿</t>
  </si>
  <si>
    <t xml:space="preserve">自學三 行動的水滴才能匯流大河</t>
  </si>
  <si>
    <t xml:space="preserve">下</t>
  </si>
  <si>
    <t xml:space="preserve">第一課 聲音鐘</t>
  </si>
  <si>
    <t xml:space="preserve">114</t>
  </si>
  <si>
    <t xml:space="preserve">https://sites.google.com/hanlin.com.tw/112chwebppt/1%E4%B8%8B</t>
  </si>
  <si>
    <r>
      <rPr>
        <sz val="10"/>
        <rFont val="WenQuanYi Zen Hei"/>
        <family val="2"/>
      </rPr>
      <t xml:space="preserve">來源為翰林官方</t>
    </r>
    <r>
      <rPr>
        <sz val="10"/>
        <rFont val="Arial"/>
        <family val="0"/>
        <charset val="1"/>
      </rPr>
      <t xml:space="preserve">Google Sites</t>
    </r>
    <r>
      <rPr>
        <sz val="10"/>
        <rFont val="WenQuanYi Zen Hei"/>
        <family val="2"/>
      </rPr>
      <t xml:space="preserve">「國文網頁版</t>
    </r>
    <r>
      <rPr>
        <sz val="10"/>
        <rFont val="Arial"/>
        <family val="0"/>
        <charset val="1"/>
      </rPr>
      <t xml:space="preserve">PPT</t>
    </r>
    <r>
      <rPr>
        <sz val="10"/>
        <rFont val="WenQuanYi Zen Hei"/>
        <family val="2"/>
      </rPr>
      <t xml:space="preserve">」課次清單，頁面標題寫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年但入口標示【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下】，故記為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學年度；經搜尋摘要擷取</t>
    </r>
  </si>
  <si>
    <t xml:space="preserve">第二課 孩子的鐘塔</t>
  </si>
  <si>
    <t xml:space="preserve">第三課 紙船印象</t>
  </si>
  <si>
    <t xml:space="preserve">語文常識一 漢字的結構</t>
  </si>
  <si>
    <r>
      <rPr>
        <sz val="10"/>
        <rFont val="WenQuanYi Zen Hei"/>
        <family val="2"/>
      </rPr>
      <t xml:space="preserve">來源為翰林官方</t>
    </r>
    <r>
      <rPr>
        <sz val="10"/>
        <rFont val="Arial"/>
        <family val="0"/>
        <charset val="1"/>
      </rPr>
      <t xml:space="preserve">Google Sites</t>
    </r>
    <r>
      <rPr>
        <sz val="10"/>
        <rFont val="WenQuanYi Zen Hei"/>
        <family val="2"/>
      </rPr>
      <t xml:space="preserve">「國文網頁版</t>
    </r>
    <r>
      <rPr>
        <sz val="10"/>
        <rFont val="Arial"/>
        <family val="0"/>
        <charset val="1"/>
      </rPr>
      <t xml:space="preserve">PPT</t>
    </r>
    <r>
      <rPr>
        <sz val="10"/>
        <rFont val="WenQuanYi Zen Hei"/>
        <family val="2"/>
      </rPr>
      <t xml:space="preserve">」課次清單，頁面標題寫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年但入口標示【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下】，故記為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學年度；經搜尋摘要擷取；位於第三課與第四課之間；本冊語文常識二未查到</t>
    </r>
  </si>
  <si>
    <t xml:space="preserve">第四課 小詩選</t>
  </si>
  <si>
    <t xml:space="preserve">第五課 近體詩選</t>
  </si>
  <si>
    <t xml:space="preserve">第六課 石虎是我們的龍貓</t>
  </si>
  <si>
    <t xml:space="preserve">第七課 五柳先生傳</t>
  </si>
  <si>
    <t xml:space="preserve">第八課 摩登土產鳳梨酥</t>
  </si>
  <si>
    <t xml:space="preserve">第九課 謝天</t>
  </si>
  <si>
    <t xml:space="preserve">第十課 貓的天堂</t>
  </si>
  <si>
    <t xml:space="preserve">自學一 六朝志怪小說選</t>
  </si>
  <si>
    <t xml:space="preserve">自學二 放天燈</t>
  </si>
  <si>
    <t xml:space="preserve">自學三 越南安妮</t>
  </si>
  <si>
    <t xml:space="preserve">8</t>
  </si>
  <si>
    <t xml:space="preserve">第一課 田園之秋選</t>
  </si>
  <si>
    <t xml:space="preserve">https://sites.google.com/hanlin.com.tw/112chwebppt/2%E4%B8%8A</t>
  </si>
  <si>
    <t xml:space="preserve">第二課 古詩選</t>
  </si>
  <si>
    <t xml:space="preserve">第三課 下雨天，真好</t>
  </si>
  <si>
    <r>
      <rPr>
        <sz val="10"/>
        <rFont val="WenQuanYi Zen Hei"/>
        <family val="2"/>
      </rPr>
      <t xml:space="preserve">語文常識一 語法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上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詞類</t>
    </r>
  </si>
  <si>
    <t xml:space="preserve">第四課 愛蓮說</t>
  </si>
  <si>
    <t xml:space="preserve">第五課 生命中的碎珠</t>
  </si>
  <si>
    <t xml:space="preserve">第六課 鳥</t>
  </si>
  <si>
    <r>
      <rPr>
        <sz val="10"/>
        <rFont val="WenQuanYi Zen Hei"/>
        <family val="2"/>
      </rPr>
      <t xml:space="preserve">語文常識二 語法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下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句子</t>
    </r>
  </si>
  <si>
    <t xml:space="preserve">第七課 張釋之執法</t>
  </si>
  <si>
    <t xml:space="preserve">第八課 找尋失落的水源</t>
  </si>
  <si>
    <t xml:space="preserve">第九課 一棵開花的樹</t>
  </si>
  <si>
    <t xml:space="preserve">第十課 畫的哀傷</t>
  </si>
  <si>
    <t xml:space="preserve">自學一 世說新語選</t>
  </si>
  <si>
    <t xml:space="preserve">自學二 一團人生</t>
  </si>
  <si>
    <t xml:space="preserve">自學三 孤獨，也要讓夢想開花</t>
  </si>
  <si>
    <t xml:space="preserve">第一課 運動家的風度</t>
  </si>
  <si>
    <t xml:space="preserve">https://sites.google.com/hanlin.com.tw/112chwebppt/2%E4%B8%8B</t>
  </si>
  <si>
    <t xml:space="preserve">第二課 木蘭詩</t>
  </si>
  <si>
    <t xml:space="preserve">第三課 管好舌頭</t>
  </si>
  <si>
    <r>
      <rPr>
        <sz val="10"/>
        <rFont val="WenQuanYi Zen Hei"/>
        <family val="2"/>
      </rPr>
      <t xml:space="preserve">語文常識一 應用文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書信、便條</t>
    </r>
  </si>
  <si>
    <t xml:space="preserve">第四課 我所知道的康橋</t>
  </si>
  <si>
    <t xml:space="preserve">第五課 陋室銘</t>
  </si>
  <si>
    <t xml:space="preserve">第六課 森林最優美的一天</t>
  </si>
  <si>
    <r>
      <rPr>
        <sz val="10"/>
        <rFont val="WenQuanYi Zen Hei"/>
        <family val="2"/>
      </rPr>
      <t xml:space="preserve">語文常識二 應用文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題辭、柬帖</t>
    </r>
  </si>
  <si>
    <t xml:space="preserve">第七課 飛魚</t>
  </si>
  <si>
    <t xml:space="preserve">第八課 空城計</t>
  </si>
  <si>
    <t xml:space="preserve">第九課 汨羅江神</t>
  </si>
  <si>
    <t xml:space="preserve">第十課 科幻極短篇選</t>
  </si>
  <si>
    <t xml:space="preserve">自學一 唐宋筆記選</t>
  </si>
  <si>
    <t xml:space="preserve">自學二 面對假訊息其實我可以這麼做</t>
  </si>
  <si>
    <r>
      <rPr>
        <sz val="10"/>
        <rFont val="WenQuanYi Zen Hei"/>
        <family val="2"/>
      </rPr>
      <t xml:space="preserve">自學三 進軍葛萊美的華人設計師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蕭青陽</t>
    </r>
  </si>
  <si>
    <t xml:space="preserve">9</t>
  </si>
  <si>
    <t xml:space="preserve">第一課 土</t>
  </si>
  <si>
    <t xml:space="preserve">https://sites.google.com/hanlin.com.tw/112chwebppt/3%E4%B8%8A</t>
  </si>
  <si>
    <r>
      <rPr>
        <sz val="10"/>
        <rFont val="WenQuanYi Zen Hei"/>
        <family val="2"/>
      </rPr>
      <t xml:space="preserve">來源為翰林官方</t>
    </r>
    <r>
      <rPr>
        <sz val="10"/>
        <rFont val="Arial"/>
        <family val="0"/>
        <charset val="1"/>
      </rPr>
      <t xml:space="preserve">Google Sites</t>
    </r>
    <r>
      <rPr>
        <sz val="10"/>
        <rFont val="WenQuanYi Zen Hei"/>
        <family val="2"/>
      </rPr>
      <t xml:space="preserve">「國文網頁版</t>
    </r>
    <r>
      <rPr>
        <sz val="10"/>
        <rFont val="Arial"/>
        <family val="0"/>
        <charset val="1"/>
      </rPr>
      <t xml:space="preserve">PPT</t>
    </r>
    <r>
      <rPr>
        <sz val="10"/>
        <rFont val="WenQuanYi Zen Hei"/>
        <family val="2"/>
      </rPr>
      <t xml:space="preserve">」課次清單，頁面標示【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上】入口；經搜尋摘要擷取，非直接開啟頁面；本冊頁面僅見</t>
    </r>
    <r>
      <rPr>
        <sz val="10"/>
        <rFont val="Arial"/>
        <family val="0"/>
        <charset val="1"/>
      </rPr>
      <t xml:space="preserve">L01–L09</t>
    </r>
  </si>
  <si>
    <t xml:space="preserve">第二課 詞選</t>
  </si>
  <si>
    <r>
      <rPr>
        <sz val="10"/>
        <rFont val="WenQuanYi Zen Hei"/>
        <family val="2"/>
      </rPr>
      <t xml:space="preserve">第三課 與</t>
    </r>
    <r>
      <rPr>
        <sz val="10"/>
        <rFont val="Arial"/>
        <family val="0"/>
        <charset val="1"/>
      </rPr>
      <t xml:space="preserve">921</t>
    </r>
    <r>
      <rPr>
        <sz val="10"/>
        <rFont val="WenQuanYi Zen Hei"/>
        <family val="2"/>
      </rPr>
      <t xml:space="preserve">說再見</t>
    </r>
  </si>
  <si>
    <t xml:space="preserve">第四課 黃州突圍</t>
  </si>
  <si>
    <t xml:space="preserve">第五課 與宋元思書</t>
  </si>
  <si>
    <t xml:space="preserve">第六課 一家手語餐廳的誕生</t>
  </si>
  <si>
    <t xml:space="preserve">第七課 我們的饕餮時代</t>
  </si>
  <si>
    <t xml:space="preserve">第八課 生於憂患死於安樂</t>
  </si>
  <si>
    <r>
      <rPr>
        <sz val="10"/>
        <rFont val="WenQuanYi Zen Hei"/>
        <family val="2"/>
      </rPr>
      <t xml:space="preserve">來源為翰林官方</t>
    </r>
    <r>
      <rPr>
        <sz val="10"/>
        <rFont val="Arial"/>
        <family val="0"/>
        <charset val="1"/>
      </rPr>
      <t xml:space="preserve">Google Sites</t>
    </r>
    <r>
      <rPr>
        <sz val="10"/>
        <rFont val="WenQuanYi Zen Hei"/>
        <family val="2"/>
      </rPr>
      <t xml:space="preserve">「國文網頁版</t>
    </r>
    <r>
      <rPr>
        <sz val="10"/>
        <rFont val="Arial"/>
        <family val="0"/>
        <charset val="1"/>
      </rPr>
      <t xml:space="preserve">PPT</t>
    </r>
    <r>
      <rPr>
        <sz val="10"/>
        <rFont val="WenQuanYi Zen Hei"/>
        <family val="2"/>
      </rPr>
      <t xml:space="preserve">」課次清單，頁面標示【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上】入口；經搜尋摘要擷取，非直接開啟頁面；搜尋摘要原文顯示為「生憂患死於安樂」，疑為擷取漏字</t>
    </r>
  </si>
  <si>
    <r>
      <rPr>
        <sz val="10"/>
        <rFont val="WenQuanYi Zen Hei"/>
        <family val="2"/>
      </rPr>
      <t xml:space="preserve">第九課 射鵰英雄傳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智鬥書生</t>
    </r>
  </si>
  <si>
    <r>
      <rPr>
        <sz val="10"/>
        <rFont val="WenQuanYi Zen Hei"/>
        <family val="2"/>
      </rPr>
      <t xml:space="preserve">語文常識 應用文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對聯</t>
    </r>
  </si>
  <si>
    <r>
      <rPr>
        <sz val="10"/>
        <rFont val="WenQuanYi Zen Hei"/>
        <family val="2"/>
      </rPr>
      <t xml:space="preserve">來源為翰林官方</t>
    </r>
    <r>
      <rPr>
        <sz val="10"/>
        <rFont val="Arial"/>
        <family val="0"/>
        <charset val="1"/>
      </rPr>
      <t xml:space="preserve">Google Sites</t>
    </r>
    <r>
      <rPr>
        <sz val="10"/>
        <rFont val="WenQuanYi Zen Hei"/>
        <family val="2"/>
      </rPr>
      <t xml:space="preserve">「國文網頁版</t>
    </r>
    <r>
      <rPr>
        <sz val="10"/>
        <rFont val="Arial"/>
        <family val="0"/>
        <charset val="1"/>
      </rPr>
      <t xml:space="preserve">PPT</t>
    </r>
    <r>
      <rPr>
        <sz val="10"/>
        <rFont val="WenQuanYi Zen Hei"/>
        <family val="2"/>
      </rPr>
      <t xml:space="preserve">」課次清單，頁面標示【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上】入口；經搜尋摘要擷取，非直接開啟頁面；語文常識在課次間的位置未確認</t>
    </r>
  </si>
  <si>
    <t xml:space="preserve">自學一 大明湖</t>
  </si>
  <si>
    <t xml:space="preserve">自學二 有關氣候變遷的難題</t>
  </si>
  <si>
    <t xml:space="preserve">自學三 范鳳龍的故事</t>
  </si>
  <si>
    <t xml:space="preserve">第一課 元曲選</t>
  </si>
  <si>
    <t xml:space="preserve">https://sites.google.com/hanlin.com.tw/112chwebppt/3%E4%B8%8B</t>
  </si>
  <si>
    <r>
      <rPr>
        <sz val="10"/>
        <rFont val="WenQuanYi Zen Hei"/>
        <family val="2"/>
      </rPr>
      <t xml:space="preserve">來源為翰林官方</t>
    </r>
    <r>
      <rPr>
        <sz val="10"/>
        <rFont val="Arial"/>
        <family val="0"/>
        <charset val="1"/>
      </rPr>
      <t xml:space="preserve">Google Sites</t>
    </r>
    <r>
      <rPr>
        <sz val="10"/>
        <rFont val="WenQuanYi Zen Hei"/>
        <family val="2"/>
      </rPr>
      <t xml:space="preserve">「國文網頁版</t>
    </r>
    <r>
      <rPr>
        <sz val="10"/>
        <rFont val="Arial"/>
        <family val="0"/>
        <charset val="1"/>
      </rPr>
      <t xml:space="preserve">PPT</t>
    </r>
    <r>
      <rPr>
        <sz val="10"/>
        <rFont val="WenQuanYi Zen Hei"/>
        <family val="2"/>
      </rPr>
      <t xml:space="preserve">」課次清單，頁面標題寫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年但入口標示【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下】，故記為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學年度；經搜尋摘要擷取；本冊語文常識單元未查到</t>
    </r>
  </si>
  <si>
    <t xml:space="preserve">第二課 石滬</t>
  </si>
  <si>
    <t xml:space="preserve">第三課 人不可以無癖</t>
  </si>
  <si>
    <t xml:space="preserve">第四課 鄒忌諷齊王納諫</t>
  </si>
  <si>
    <t xml:space="preserve">第五課 永不滿足，長保傻勁</t>
  </si>
  <si>
    <t xml:space="preserve">第六課 羅密歐與茱麗葉樓臺會</t>
  </si>
  <si>
    <t xml:space="preserve">自學一 歷代小品文賞讀</t>
  </si>
  <si>
    <t xml:space="preserve">自學二 來自西方的舶來品——博物館</t>
  </si>
  <si>
    <t xml:space="preserve">自學三 捍衛性別平權的鬥士——金斯伯格</t>
  </si>
  <si>
    <t xml:space="preserve">英文</t>
  </si>
  <si>
    <t xml:space="preserve">Starter Unit</t>
  </si>
  <si>
    <t xml:space="preserve">https://website.hle.com.tw/market/jr/%E6%95%99%E6%9D%90/%E6%95%99%E6%9D%90%E6%A8%A3%E6%9B%B8/%E7%BF%B0%E6%9E%97%E5%9C%8B%E4%B8%AD%E8%8B%B1%E8%AA%9E%E4%B8%83%E4%B8%8A%E8%AA%B2%E6%9C%AC.pdf</t>
  </si>
  <si>
    <r>
      <rPr>
        <sz val="10"/>
        <rFont val="WenQuanYi Zen Hei"/>
        <family val="2"/>
      </rPr>
      <t xml:space="preserve">來源為翰林官網「教材樣書」七上課本</t>
    </r>
    <r>
      <rPr>
        <sz val="10"/>
        <rFont val="Arial"/>
        <family val="0"/>
        <charset val="1"/>
      </rPr>
      <t xml:space="preserve">PDF</t>
    </r>
    <r>
      <rPr>
        <sz val="10"/>
        <rFont val="WenQuanYi Zen Hei"/>
        <family val="2"/>
      </rPr>
      <t xml:space="preserve">目次（經搜尋摘要</t>
    </r>
    <r>
      <rPr>
        <sz val="10"/>
        <rFont val="Arial"/>
        <family val="0"/>
        <charset val="1"/>
      </rPr>
      <t xml:space="preserve">OCR</t>
    </r>
    <r>
      <rPr>
        <sz val="10"/>
        <rFont val="WenQuanYi Zen Hei"/>
        <family val="2"/>
      </rPr>
      <t xml:space="preserve">片段整理），來源未標示學年度，推定為出版商現行樣書（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）</t>
    </r>
  </si>
  <si>
    <t xml:space="preserve">Unit 1 Who's That Handsome Boy?</t>
  </si>
  <si>
    <t xml:space="preserve">Unit 2 What Are Those?</t>
  </si>
  <si>
    <t xml:space="preserve">Unit 3 Open the Magic Door</t>
  </si>
  <si>
    <t xml:space="preserve">Unit 4 What Time Is the Concert?</t>
  </si>
  <si>
    <r>
      <rPr>
        <sz val="10"/>
        <rFont val="WenQuanYi Zen Hei"/>
        <family val="2"/>
      </rPr>
      <t xml:space="preserve">來源為翰林官網「教材樣書」七上課本</t>
    </r>
    <r>
      <rPr>
        <sz val="10"/>
        <rFont val="Arial"/>
        <family val="0"/>
        <charset val="1"/>
      </rPr>
      <t xml:space="preserve">PDF</t>
    </r>
    <r>
      <rPr>
        <sz val="10"/>
        <rFont val="WenQuanYi Zen Hei"/>
        <family val="2"/>
      </rPr>
      <t xml:space="preserve">目次（經搜尋摘要</t>
    </r>
    <r>
      <rPr>
        <sz val="10"/>
        <rFont val="Arial"/>
        <family val="0"/>
        <charset val="1"/>
      </rPr>
      <t xml:space="preserve">OCR</t>
    </r>
    <r>
      <rPr>
        <sz val="10"/>
        <rFont val="WenQuanYi Zen Hei"/>
        <family val="2"/>
      </rPr>
      <t xml:space="preserve">片段整理），來源未標示學年度，推定為出版商現行樣書（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）；</t>
    </r>
    <r>
      <rPr>
        <sz val="10"/>
        <rFont val="Arial"/>
        <family val="0"/>
        <charset val="1"/>
      </rPr>
      <t xml:space="preserve">OCR</t>
    </r>
    <r>
      <rPr>
        <sz val="10"/>
        <rFont val="WenQuanYi Zen Hei"/>
        <family val="2"/>
      </rPr>
      <t xml:space="preserve">標題斷行，需再核對</t>
    </r>
  </si>
  <si>
    <t xml:space="preserve">Unit 5 What's the Date?</t>
  </si>
  <si>
    <t xml:space="preserve">Unit 6 There Are Some Elephants</t>
  </si>
  <si>
    <r>
      <rPr>
        <sz val="10"/>
        <rFont val="WenQuanYi Zen Hei"/>
        <family val="2"/>
      </rPr>
      <t xml:space="preserve">來源為翰林官網「教材樣書」七上課本</t>
    </r>
    <r>
      <rPr>
        <sz val="10"/>
        <rFont val="Arial"/>
        <family val="0"/>
        <charset val="1"/>
      </rPr>
      <t xml:space="preserve">PDF</t>
    </r>
    <r>
      <rPr>
        <sz val="10"/>
        <rFont val="WenQuanYi Zen Hei"/>
        <family val="2"/>
      </rPr>
      <t xml:space="preserve">目次（經搜尋摘要</t>
    </r>
    <r>
      <rPr>
        <sz val="10"/>
        <rFont val="Arial"/>
        <family val="0"/>
        <charset val="1"/>
      </rPr>
      <t xml:space="preserve">OCR</t>
    </r>
    <r>
      <rPr>
        <sz val="10"/>
        <rFont val="WenQuanYi Zen Hei"/>
        <family val="2"/>
      </rPr>
      <t xml:space="preserve">片段整理），來源未標示學年度，推定為出版商現行樣書（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）；</t>
    </r>
    <r>
      <rPr>
        <sz val="10"/>
        <rFont val="Arial"/>
        <family val="0"/>
        <charset val="1"/>
      </rPr>
      <t xml:space="preserve">Review</t>
    </r>
    <r>
      <rPr>
        <sz val="10"/>
        <rFont val="WenQuanYi Zen Hei"/>
        <family val="2"/>
      </rPr>
      <t xml:space="preserve">單元未列入</t>
    </r>
  </si>
  <si>
    <r>
      <rPr>
        <sz val="10"/>
        <rFont val="WenQuanYi Zen Hei"/>
        <family val="2"/>
      </rPr>
      <t xml:space="preserve">未查到（僅見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學年</t>
    </r>
    <r>
      <rPr>
        <sz val="10"/>
        <rFont val="Arial"/>
        <family val="0"/>
        <charset val="1"/>
      </rPr>
      <t xml:space="preserve">learnmode</t>
    </r>
    <r>
      <rPr>
        <sz val="10"/>
        <rFont val="WenQuanYi Zen Hei"/>
        <family val="2"/>
      </rPr>
      <t xml:space="preserve">舊版課程單元，不符</t>
    </r>
    <r>
      <rPr>
        <sz val="10"/>
        <rFont val="Arial"/>
        <family val="0"/>
        <charset val="1"/>
      </rPr>
      <t xml:space="preserve">115/114</t>
    </r>
    <r>
      <rPr>
        <sz val="10"/>
        <rFont val="WenQuanYi Zen Hei"/>
        <family val="2"/>
      </rPr>
      <t xml:space="preserve">學年度，未採用）</t>
    </r>
  </si>
  <si>
    <t xml:space="preserve">未查到</t>
  </si>
  <si>
    <t xml:space="preserve">數學</t>
  </si>
  <si>
    <t xml:space="preserve">第一章 數與數線</t>
  </si>
  <si>
    <t xml:space="preserve">未標示</t>
  </si>
  <si>
    <t xml:space="preserve">其他</t>
  </si>
  <si>
    <t xml:space="preserve">https://www.junyiacademy.org/topics/h-m7a</t>
  </si>
  <si>
    <t xml:space="preserve">來源為均一教育平台「類翰林版」七上課程（標示依據翰林版教科書編排），非課本目次本身；學年度未標示；節名未查到</t>
  </si>
  <si>
    <t xml:space="preserve">第二章 標準分解式與分數運算</t>
  </si>
  <si>
    <t xml:space="preserve">第三章 一元一次方程式</t>
  </si>
  <si>
    <t xml:space="preserve">來源為均一教育平台「類翰林版」七上課程（標示依據翰林版教科書編排），非課本目次本身；學年度未標示；節名未查到；第四章以後未查到</t>
  </si>
  <si>
    <t xml:space="preserve">生物</t>
  </si>
  <si>
    <r>
      <rPr>
        <sz val="10"/>
        <rFont val="WenQuanYi Zen Hei"/>
        <family val="2"/>
      </rPr>
      <t xml:space="preserve">未查到（有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學年校方計畫列「第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生命世界與科學方法」，但摘要未明示為翰林版，依規則未採用）</t>
    </r>
  </si>
  <si>
    <t xml:space="preserve">第一章 生殖</t>
  </si>
  <si>
    <t xml:space="preserve">學校課程計畫</t>
  </si>
  <si>
    <t xml:space="preserve">https://www.lkjh.tp.edu.tw/wp-content/uploads/doc/lkjh212/114%E5%AD%B8%E5%B9%B4%E5%BA%A6%E7%AC%AC%E4%BA%8C%E5%AD%B8%E6%9C%9F%E8%A6%AA%E5%B8%AB%E5%BA%A7%E8%AB%87%E6%9C%83%E4%B8%83%E5%B9%B4%E7%B4%9A%E7%94%9F%E7%89%A9%E7%A7%91%E6%95%99%E5%AD%B8%E8%A8%88%E7%95%AB-%E9%99%B3%E6%9F%94%E5%AE%89(%E4%B8%AD%E8%8B%B1%E6%96%87%E7%89%88).pdf</t>
  </si>
  <si>
    <r>
      <rPr>
        <sz val="10"/>
        <rFont val="WenQuanYi Zen Hei"/>
        <family val="2"/>
      </rPr>
      <t xml:space="preserve">臺北市瑠公國中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學年度第二學期七年級生物科教學計畫（翰林版）；未查到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學年度資料，改用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；節名未查到</t>
    </r>
  </si>
  <si>
    <t xml:space="preserve">第二章 遺傳</t>
  </si>
  <si>
    <t xml:space="preserve">第三章 生物的演化與分類</t>
  </si>
  <si>
    <t xml:space="preserve">第四章 生物與環境</t>
  </si>
  <si>
    <t xml:space="preserve">第五章 生物多樣性與保育</t>
  </si>
  <si>
    <t xml:space="preserve">理化</t>
  </si>
  <si>
    <t xml:space="preserve">地球科學</t>
  </si>
  <si>
    <r>
      <rPr>
        <sz val="10"/>
        <rFont val="WenQuanYi Zen Hei"/>
        <family val="2"/>
      </rPr>
      <t xml:space="preserve">社會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公民</t>
    </r>
  </si>
  <si>
    <t xml:space="preserve">未查到（搜尋額度用盡，未能搜尋）</t>
  </si>
  <si>
    <r>
      <rPr>
        <sz val="10"/>
        <rFont val="WenQuanYi Zen Hei"/>
        <family val="2"/>
      </rPr>
      <t xml:space="preserve">社會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地理</t>
    </r>
  </si>
  <si>
    <r>
      <rPr>
        <sz val="10"/>
        <rFont val="WenQuanYi Zen Hei"/>
        <family val="2"/>
      </rPr>
      <t xml:space="preserve">社會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歷史</t>
    </r>
  </si>
  <si>
    <t xml:space="preserve">康軒</t>
  </si>
  <si>
    <t xml:space="preserve">https://www.nmjh.tp.edu.tw/wp-content/uploads/doc/nmjh332/114七年級國語文領域.pdf</t>
  </si>
  <si>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學年度多校康軒版國文課程計畫（臺北市南門國中、民生國中、新竹市竹光國中）及一校特教班教學總表列第一課〈夏夜〉；康軒國中影音高手亦有「</t>
    </r>
    <r>
      <rPr>
        <sz val="10"/>
        <rFont val="Arial"/>
        <family val="0"/>
        <charset val="1"/>
      </rPr>
      <t xml:space="preserve">B1L01_</t>
    </r>
    <r>
      <rPr>
        <sz val="10"/>
        <rFont val="WenQuanYi Zen Hei"/>
        <family val="2"/>
      </rPr>
      <t xml:space="preserve">夏夜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課文朗讀」。第一課以外的課次見下列，其餘課次未查到</t>
    </r>
  </si>
  <si>
    <t xml:space="preserve">第二課 吃冰的滋味</t>
  </si>
  <si>
    <t xml:space="preserve">https://acerksy.pixnet.net/blog/posts/14220018170</t>
  </si>
  <si>
    <t xml:space="preserve">取自部落格「七上康軒國語」課次列表，年度版次未標示，未經學校計畫確認</t>
  </si>
  <si>
    <t xml:space="preserve">第三課 善用時間的方法</t>
  </si>
  <si>
    <t xml:space="preserve">第四課 差不多先生傳</t>
  </si>
  <si>
    <t xml:space="preserve">取自部落格「七上康軒國語」課次列表，年度版次未標示，未經學校計畫確認；第五課以後未查到</t>
  </si>
  <si>
    <t xml:space="preserve">未查到（共用的網路搜尋次數額度已用完，未能完成此冊此科的搜尋）</t>
  </si>
  <si>
    <t xml:space="preserve">自學一 運動家的風度</t>
  </si>
  <si>
    <t xml:space="preserve">https://digitalmaster.knsh.com.tw/all/video/j/mandarin_page.html?l1=8%E4%B8%8B&amp;l2=%E8%87%AA%E4%B8%80%E3%80%80%E9%81%8B%E5%8B%95%E5%AE%B6%E7%9A%84%E9%A2%A8%E5%BA%A6</t>
  </si>
  <si>
    <r>
      <rPr>
        <sz val="10"/>
        <rFont val="WenQuanYi Zen Hei"/>
        <family val="2"/>
      </rPr>
      <t xml:space="preserve">僅從康軒國中影音高手頁面網址看到「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下 自一 運動家的風度」；其餘課次未查到；學年度未標示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</si>
  <si>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整數的運算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</si>
  <si>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負數與數線；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整數的加減；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整數的乘除與四則運算；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指數記法與科學記號</t>
    </r>
  </si>
  <si>
    <t xml:space="preserve">112</t>
  </si>
  <si>
    <t xml:space="preserve">https://www.learnmode.net/course/592128/content</t>
  </si>
  <si>
    <r>
      <rPr>
        <sz val="10"/>
        <rFont val="WenQuanYi Zen Hei"/>
        <family val="2"/>
      </rPr>
      <t xml:space="preserve">節名取自 </t>
    </r>
    <r>
      <rPr>
        <sz val="10"/>
        <rFont val="Arial"/>
        <family val="0"/>
        <charset val="1"/>
      </rPr>
      <t xml:space="preserve">LearnMode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(112</t>
    </r>
    <r>
      <rPr>
        <sz val="10"/>
        <rFont val="WenQuanYi Zen Hei"/>
        <family val="2"/>
      </rPr>
      <t xml:space="preserve">學年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康軒版─國中數學【七上】」目錄；彰化縣大村國中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學年度課程計畫（康軒版）可見第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章整數的運算、</t>
    </r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負數與數線、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整數的乘除與四則運算，與此一致：</t>
    </r>
    <r>
      <rPr>
        <sz val="10"/>
        <rFont val="Arial"/>
        <family val="0"/>
        <charset val="1"/>
      </rPr>
      <t xml:space="preserve">https://www.curriculum.chc.edu.tw/storage/137/115/5-7%E6%95%B8%E5%AD%B8.pdf/PHHKAaoTMrf14KSv1nEscC86VW94PnKbCuS3kRSx.pdf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</si>
  <si>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分數的運算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</si>
  <si>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因數與倍數；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最大公因數與最小公倍數；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分數的四則運算；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指數律</t>
    </r>
  </si>
  <si>
    <r>
      <rPr>
        <sz val="10"/>
        <rFont val="WenQuanYi Zen Hei"/>
        <family val="2"/>
      </rPr>
      <t xml:space="preserve">取自 </t>
    </r>
    <r>
      <rPr>
        <sz val="10"/>
        <rFont val="Arial"/>
        <family val="0"/>
        <charset val="1"/>
      </rPr>
      <t xml:space="preserve">LearnMode 112</t>
    </r>
    <r>
      <rPr>
        <sz val="10"/>
        <rFont val="WenQuanYi Zen Hei"/>
        <family val="2"/>
      </rPr>
      <t xml:space="preserve">學年康軒版七上目錄；未找到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學年度明確節名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</si>
  <si>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一元一次方程式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</si>
  <si>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代數式的化簡；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一元一次方程式；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應用問題</t>
    </r>
  </si>
  <si>
    <r>
      <rPr>
        <sz val="10"/>
        <rFont val="WenQuanYi Zen Hei"/>
        <family val="2"/>
      </rPr>
      <t xml:space="preserve">取自 </t>
    </r>
    <r>
      <rPr>
        <sz val="10"/>
        <rFont val="Arial"/>
        <family val="0"/>
        <charset val="1"/>
      </rPr>
      <t xml:space="preserve">LearnMode 112</t>
    </r>
    <r>
      <rPr>
        <sz val="10"/>
        <rFont val="WenQuanYi Zen Hei"/>
        <family val="2"/>
      </rPr>
      <t xml:space="preserve">學年康軒版七上目錄；均一「類康軒版」節名不同（</t>
    </r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以符號列式與運算等），以 </t>
    </r>
    <r>
      <rPr>
        <sz val="10"/>
        <rFont val="Arial"/>
        <family val="0"/>
        <charset val="1"/>
      </rPr>
      <t xml:space="preserve">LearnMode </t>
    </r>
    <r>
      <rPr>
        <sz val="10"/>
        <rFont val="WenQuanYi Zen Hei"/>
        <family val="2"/>
      </rPr>
      <t xml:space="preserve">為準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</si>
  <si>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二元一次聯立方程式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</si>
  <si>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二元一次方程式；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解二元一次聯立方程式；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應用問題</t>
    </r>
  </si>
  <si>
    <t xml:space="preserve">https://www.junyiacademy.org/topics/k-m7a</t>
  </si>
  <si>
    <r>
      <rPr>
        <sz val="10"/>
        <rFont val="WenQuanYi Zen Hei"/>
        <family val="2"/>
      </rPr>
      <t xml:space="preserve">取自均一教育平台「類康軒版」（標示依康軒版教科書編排），學年度未標示；</t>
    </r>
    <r>
      <rPr>
        <sz val="10"/>
        <rFont val="Arial"/>
        <family val="0"/>
        <charset val="1"/>
      </rPr>
      <t xml:space="preserve">LearnMode 107</t>
    </r>
    <r>
      <rPr>
        <sz val="10"/>
        <rFont val="WenQuanYi Zen Hei"/>
        <family val="2"/>
      </rPr>
      <t xml:space="preserve">學年康軒版七下亦列此章名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</si>
  <si>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直角坐標與二元一次方程式的圖形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</si>
  <si>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直角坐標平面；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二元一次方程式的圖形</t>
    </r>
  </si>
  <si>
    <t xml:space="preserve">取自均一「類康軒版」，學年度未標示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</si>
  <si>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比與比例式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</si>
  <si>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比例式；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正比與反比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</si>
  <si>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一元一次不等式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</si>
  <si>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認識一元一次不等式；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解一元一次不等式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</si>
  <si>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統計</t>
    </r>
  </si>
  <si>
    <t xml:space="preserve">章名取自均一「類康軒版」，節名未查到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</si>
  <si>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生活中的幾何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</si>
  <si>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乘法公式與多項式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</si>
  <si>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乘法公式；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多項式與其加減運算；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多項式的乘除運算</t>
    </r>
  </si>
  <si>
    <t xml:space="preserve">113</t>
  </si>
  <si>
    <t xml:space="preserve">https://www.junyiacademy.org/topics/k-m8a</t>
  </si>
  <si>
    <r>
      <rPr>
        <sz val="10"/>
        <rFont val="WenQuanYi Zen Hei"/>
        <family val="2"/>
      </rPr>
      <t xml:space="preserve">取自均一教育平台「類康軒版」八年級（標示依康軒版</t>
    </r>
    <r>
      <rPr>
        <sz val="10"/>
        <rFont val="Arial"/>
        <family val="0"/>
        <charset val="1"/>
      </rPr>
      <t xml:space="preserve">113</t>
    </r>
    <r>
      <rPr>
        <sz val="10"/>
        <rFont val="WenQuanYi Zen Hei"/>
        <family val="2"/>
      </rPr>
      <t xml:space="preserve">學年度教科書章節架構編排）；未找到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學年度明確節名；</t>
    </r>
    <r>
      <rPr>
        <sz val="10"/>
        <rFont val="Arial"/>
        <family val="0"/>
        <charset val="1"/>
      </rPr>
      <t xml:space="preserve">LearnMode 110</t>
    </r>
    <r>
      <rPr>
        <sz val="10"/>
        <rFont val="WenQuanYi Zen Hei"/>
        <family val="2"/>
      </rPr>
      <t xml:space="preserve">學年康軒版八上亦列相同主題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</si>
  <si>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平方根與畢氏定理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</si>
  <si>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平方根與近似值；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根式的運算；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畢氏定理</t>
    </r>
  </si>
  <si>
    <r>
      <rPr>
        <sz val="10"/>
        <rFont val="WenQuanYi Zen Hei"/>
        <family val="2"/>
      </rPr>
      <t xml:space="preserve">取自均一教育平台「類康軒版」八年級（標示依康軒版</t>
    </r>
    <r>
      <rPr>
        <sz val="10"/>
        <rFont val="Arial"/>
        <family val="0"/>
        <charset val="1"/>
      </rPr>
      <t xml:space="preserve">113</t>
    </r>
    <r>
      <rPr>
        <sz val="10"/>
        <rFont val="WenQuanYi Zen Hei"/>
        <family val="2"/>
      </rPr>
      <t xml:space="preserve">學年度教科書章節架構編排）；未找到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學年度明確節名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</si>
  <si>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因式分解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</si>
  <si>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利用提公因式與乘法公式做因式分解；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利用十字交乘法做因式分解</t>
    </r>
  </si>
  <si>
    <r>
      <rPr>
        <sz val="10"/>
        <rFont val="WenQuanYi Zen Hei"/>
        <family val="2"/>
      </rPr>
      <t xml:space="preserve">取自均一教育平台「類康軒版」八年級（標示依康軒版</t>
    </r>
    <r>
      <rPr>
        <sz val="10"/>
        <rFont val="Arial"/>
        <family val="0"/>
        <charset val="1"/>
      </rPr>
      <t xml:space="preserve">113</t>
    </r>
    <r>
      <rPr>
        <sz val="10"/>
        <rFont val="WenQuanYi Zen Hei"/>
        <family val="2"/>
      </rPr>
      <t xml:space="preserve">學年度教科書章節架構編排）；未找到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學年度明確節名；</t>
    </r>
    <r>
      <rPr>
        <sz val="10"/>
        <rFont val="Arial"/>
        <family val="0"/>
        <charset val="1"/>
      </rPr>
      <t xml:space="preserve">LearnMode 110</t>
    </r>
    <r>
      <rPr>
        <sz val="10"/>
        <rFont val="WenQuanYi Zen Hei"/>
        <family val="2"/>
      </rPr>
      <t xml:space="preserve">學年康軒版八上（</t>
    </r>
    <r>
      <rPr>
        <sz val="10"/>
        <rFont val="Arial"/>
        <family val="0"/>
        <charset val="1"/>
      </rPr>
      <t xml:space="preserve">https://www.learnmode.net/course/165854/content</t>
    </r>
    <r>
      <rPr>
        <sz val="10"/>
        <rFont val="WenQuanYi Zen Hei"/>
        <family val="2"/>
      </rPr>
      <t xml:space="preserve">）節名相同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</si>
  <si>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一元二次方程式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</si>
  <si>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因式分解解一元二次方程式；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配方法與公式解；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應用問題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</si>
  <si>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取自均一「類康軒版」；</t>
    </r>
    <r>
      <rPr>
        <sz val="10"/>
        <rFont val="Arial"/>
        <family val="0"/>
        <charset val="1"/>
      </rPr>
      <t xml:space="preserve">4-2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見於搜尋摘要中彰化縣弘文中學</t>
    </r>
    <r>
      <rPr>
        <sz val="10"/>
        <rFont val="Arial"/>
        <family val="0"/>
        <charset val="1"/>
      </rPr>
      <t xml:space="preserve">113</t>
    </r>
    <r>
      <rPr>
        <sz val="10"/>
        <rFont val="WenQuanYi Zen Hei"/>
        <family val="2"/>
      </rPr>
      <t xml:space="preserve">學年度第一學期國二數學（康軒版）教學進度表，該文件確切網址未取得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</si>
  <si>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統計資料處理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</si>
  <si>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資料整理與統計圖表</t>
    </r>
  </si>
  <si>
    <r>
      <rPr>
        <sz val="10"/>
        <rFont val="WenQuanYi Zen Hei"/>
        <family val="2"/>
      </rPr>
      <t xml:space="preserve">取自均一教育平台「類康軒版」八年級（標示依康軒版</t>
    </r>
    <r>
      <rPr>
        <sz val="10"/>
        <rFont val="Arial"/>
        <family val="0"/>
        <charset val="1"/>
      </rPr>
      <t xml:space="preserve">113</t>
    </r>
    <r>
      <rPr>
        <sz val="10"/>
        <rFont val="WenQuanYi Zen Hei"/>
        <family val="2"/>
      </rPr>
      <t xml:space="preserve">學年度教科書章節架構編排）；未找到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學年度明確節名；僅查到</t>
    </r>
    <r>
      <rPr>
        <sz val="10"/>
        <rFont val="Arial"/>
        <family val="0"/>
        <charset val="1"/>
      </rPr>
      <t xml:space="preserve">5-1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</si>
  <si>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數列與級數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</si>
  <si>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等差數列；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等差級數；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等比數列</t>
    </r>
  </si>
  <si>
    <t xml:space="preserve">https://www.learnmode.net/course/638732/content</t>
  </si>
  <si>
    <r>
      <rPr>
        <sz val="10"/>
        <rFont val="WenQuanYi Zen Hei"/>
        <family val="2"/>
      </rPr>
      <t xml:space="preserve">取自 </t>
    </r>
    <r>
      <rPr>
        <sz val="10"/>
        <rFont val="Arial"/>
        <family val="0"/>
        <charset val="1"/>
      </rPr>
      <t xml:space="preserve">LearnMode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(112</t>
    </r>
    <r>
      <rPr>
        <sz val="10"/>
        <rFont val="WenQuanYi Zen Hei"/>
        <family val="2"/>
      </rPr>
      <t xml:space="preserve">學年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康軒版─國中數學【八下】」目錄；未找到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學年度明確節名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</si>
  <si>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函數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</si>
  <si>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函數與函數圖形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</si>
  <si>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三角形的基本性質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</si>
  <si>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三角形與多邊形的內角與外角；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尺規作圖；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三角形的全等性質；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中垂線與角平分線的性質；</t>
    </r>
    <r>
      <rPr>
        <sz val="10"/>
        <rFont val="Arial"/>
        <family val="0"/>
        <charset val="1"/>
      </rPr>
      <t xml:space="preserve">3-5 </t>
    </r>
    <r>
      <rPr>
        <sz val="10"/>
        <rFont val="WenQuanYi Zen Hei"/>
        <family val="2"/>
      </rPr>
      <t xml:space="preserve">三角形的邊角關係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</si>
  <si>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平行與四邊形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</si>
  <si>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平行；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平行四邊形；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特殊四邊形的性質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</si>
  <si>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相似形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</si>
  <si>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連比例；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比例線段；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相似三角形判別性質；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相似三角形的應用</t>
    </r>
  </si>
  <si>
    <t xml:space="preserve">https://digitalmaster.knsh.com.tw/ju/math/webgames/B5.html</t>
  </si>
  <si>
    <r>
      <rPr>
        <sz val="10"/>
        <rFont val="WenQuanYi Zen Hei"/>
        <family val="2"/>
      </rPr>
      <t xml:space="preserve">節名取自康軒數位高手「康軒互動遊戲區」</t>
    </r>
    <r>
      <rPr>
        <sz val="10"/>
        <rFont val="Arial"/>
        <family val="0"/>
        <charset val="1"/>
      </rPr>
      <t xml:space="preserve">B5</t>
    </r>
    <r>
      <rPr>
        <sz val="10"/>
        <rFont val="WenQuanYi Zen Hei"/>
        <family val="2"/>
      </rPr>
      <t xml:space="preserve">（九上）頁面，該頁未標示學年度，且為遊戲目錄，可能未列出全部小節；章名另見均一「類康軒版」九年級（</t>
    </r>
    <r>
      <rPr>
        <sz val="10"/>
        <rFont val="Arial"/>
        <family val="0"/>
        <charset val="1"/>
      </rPr>
      <t xml:space="preserve">https://www.junyiacademy.org/topics/k-m9a</t>
    </r>
    <r>
      <rPr>
        <sz val="10"/>
        <rFont val="WenQuanYi Zen Hei"/>
        <family val="2"/>
      </rPr>
      <t xml:space="preserve">）；均一將</t>
    </r>
    <r>
      <rPr>
        <sz val="10"/>
        <rFont val="Arial"/>
        <family val="0"/>
        <charset val="1"/>
      </rPr>
      <t xml:space="preserve">1-3</t>
    </r>
    <r>
      <rPr>
        <sz val="10"/>
        <rFont val="WenQuanYi Zen Hei"/>
        <family val="2"/>
      </rPr>
      <t xml:space="preserve">列為「縮放與相似」，兩來源不一致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</si>
  <si>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圓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</si>
  <si>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點、直線與圓之間的位置關係；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圓心角、圓周角與弧的關係</t>
    </r>
  </si>
  <si>
    <r>
      <rPr>
        <sz val="10"/>
        <rFont val="WenQuanYi Zen Hei"/>
        <family val="2"/>
      </rPr>
      <t xml:space="preserve">節名取自康軒數位高手「康軒互動遊戲區」</t>
    </r>
    <r>
      <rPr>
        <sz val="10"/>
        <rFont val="Arial"/>
        <family val="0"/>
        <charset val="1"/>
      </rPr>
      <t xml:space="preserve">B5</t>
    </r>
    <r>
      <rPr>
        <sz val="10"/>
        <rFont val="WenQuanYi Zen Hei"/>
        <family val="2"/>
      </rPr>
      <t xml:space="preserve">（九上）頁面，該頁未標示學年度，且為遊戲目錄，可能未列出全部小節；章名另見均一「類康軒版」九年級（</t>
    </r>
    <r>
      <rPr>
        <sz val="10"/>
        <rFont val="Arial"/>
        <family val="0"/>
        <charset val="1"/>
      </rPr>
      <t xml:space="preserve">https://www.junyiacademy.org/topics/k-m9a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</si>
  <si>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幾何與證明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</si>
  <si>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證明與推理；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三角形的外心、內心與重心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</si>
  <si>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章（章名未查到）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</si>
  <si>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二次函數的最大值與最小值</t>
    </r>
  </si>
  <si>
    <t xml:space="preserve">https://digitalmaster.knsh.com.tw/all/video/j/math_page.html?l1=%E7%BF%92%E4%BD%9C%E8%A7%A3%E9%A1%8C&amp;l2=9%E4%B8%8B</t>
  </si>
  <si>
    <r>
      <rPr>
        <sz val="10"/>
        <rFont val="WenQuanYi Zen Hei"/>
        <family val="2"/>
      </rPr>
      <t xml:space="preserve">取自康軒國中影音高手「習作解題 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下」目錄，僅見</t>
    </r>
    <r>
      <rPr>
        <sz val="10"/>
        <rFont val="Arial"/>
        <family val="0"/>
        <charset val="1"/>
      </rPr>
      <t xml:space="preserve">1-1</t>
    </r>
    <r>
      <rPr>
        <sz val="10"/>
        <rFont val="WenQuanYi Zen Hei"/>
        <family val="2"/>
      </rPr>
      <t xml:space="preserve">，章名與其餘小節未查到；學年度未標示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</si>
  <si>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統計與機率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</si>
  <si>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資料的分析；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機率</t>
    </r>
  </si>
  <si>
    <r>
      <rPr>
        <sz val="10"/>
        <rFont val="WenQuanYi Zen Hei"/>
        <family val="2"/>
      </rPr>
      <t xml:space="preserve">取自康軒國中影音高手「習作解題 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下」目錄（含「第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章統計與機率綜合練習」）；學年度未標示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</si>
  <si>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章（章名未查到）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</si>
  <si>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空間中的線、平面與形體</t>
    </r>
  </si>
  <si>
    <t xml:space="preserve">https://digitalmaster.knsh.com.tw/ju/math/webgames/B6.html</t>
  </si>
  <si>
    <r>
      <rPr>
        <sz val="10"/>
        <rFont val="WenQuanYi Zen Hei"/>
        <family val="2"/>
      </rPr>
      <t xml:space="preserve">取自康軒互動遊戲區 </t>
    </r>
    <r>
      <rPr>
        <sz val="10"/>
        <rFont val="Arial"/>
        <family val="0"/>
        <charset val="1"/>
      </rPr>
      <t xml:space="preserve">B6 </t>
    </r>
    <r>
      <rPr>
        <sz val="10"/>
        <rFont val="WenQuanYi Zen Hei"/>
        <family val="2"/>
      </rPr>
      <t xml:space="preserve">頁面（推定為九下，頁面未明示冊次）；章名與其餘小節未查到</t>
    </r>
  </si>
  <si>
    <t xml:space="preserve">歷史</t>
  </si>
  <si>
    <t xml:space="preserve">地理</t>
  </si>
  <si>
    <t xml:space="preserve">公民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</si>
  <si>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課 犯罪與刑罰</t>
    </r>
  </si>
  <si>
    <t xml:space="preserve">https://digitalmaster.knsh.com.tw/all/video/j/cs_page.html?l1=8%E4%B8%8B&amp;l2=%E7%AC%AC3%E8%AA%B2%E3%80%80%E7%8A%AF%E7%BD%AA%E8%88%87%E5%88%91%E7%BD%B0</t>
  </si>
  <si>
    <r>
      <rPr>
        <sz val="10"/>
        <rFont val="WenQuanYi Zen Hei"/>
        <family val="2"/>
      </rPr>
      <t xml:space="preserve">僅從康軒國中影音高手公民頁面網址看到「</t>
    </r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下 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課 犯罪與刑罰」；其餘課次未查到；學年度未標示</t>
    </r>
  </si>
  <si>
    <t xml:space="preserve">南一</t>
  </si>
  <si>
    <t xml:space="preserve">110</t>
  </si>
  <si>
    <t xml:space="preserve">https://course.cyc.edu.tw/upfile/course110/sub1/14793292177358929.pdf</t>
  </si>
  <si>
    <r>
      <rPr>
        <sz val="10"/>
        <rFont val="WenQuanYi Zen Hei"/>
        <family val="2"/>
      </rPr>
      <t xml:space="preserve">未找到</t>
    </r>
    <r>
      <rPr>
        <sz val="10"/>
        <rFont val="Arial"/>
        <family val="0"/>
        <charset val="1"/>
      </rPr>
      <t xml:space="preserve">115/114</t>
    </r>
    <r>
      <rPr>
        <sz val="10"/>
        <rFont val="WenQuanYi Zen Hei"/>
        <family val="2"/>
      </rPr>
      <t xml:space="preserve">學年度南一版資料，此為</t>
    </r>
    <r>
      <rPr>
        <sz val="10"/>
        <rFont val="Arial"/>
        <family val="0"/>
        <charset val="1"/>
      </rPr>
      <t xml:space="preserve">110</t>
    </r>
    <r>
      <rPr>
        <sz val="10"/>
        <rFont val="WenQuanYi Zen Hei"/>
        <family val="2"/>
      </rPr>
      <t xml:space="preserve">學年度嘉義縣豐山實驗教育學校南一版第一冊進度（搜尋摘要所見，僅列出部分課次，第四至六課未見）；課次可能與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學年度不同</t>
    </r>
  </si>
  <si>
    <t xml:space="preserve">第二課 絕句選</t>
  </si>
  <si>
    <t xml:space="preserve">自學一 故鄉的桂花雨</t>
  </si>
  <si>
    <r>
      <rPr>
        <sz val="10"/>
        <rFont val="WenQuanYi Zen Hei"/>
        <family val="2"/>
      </rPr>
      <t xml:space="preserve">未找到</t>
    </r>
    <r>
      <rPr>
        <sz val="10"/>
        <rFont val="Arial"/>
        <family val="0"/>
        <charset val="1"/>
      </rPr>
      <t xml:space="preserve">115/114</t>
    </r>
    <r>
      <rPr>
        <sz val="10"/>
        <rFont val="WenQuanYi Zen Hei"/>
        <family val="2"/>
      </rPr>
      <t xml:space="preserve">學年度南一版資料，此為</t>
    </r>
    <r>
      <rPr>
        <sz val="10"/>
        <rFont val="Arial"/>
        <family val="0"/>
        <charset val="1"/>
      </rPr>
      <t xml:space="preserve">110</t>
    </r>
    <r>
      <rPr>
        <sz val="10"/>
        <rFont val="WenQuanYi Zen Hei"/>
        <family val="2"/>
      </rPr>
      <t xml:space="preserve">學年度嘉義縣豐山實驗教育學校南一版第一冊進度（搜尋摘要所見，僅列出部分課次，第四至六課未見）；課次可能與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學年度不同；苗栗卓蘭高中附設國中</t>
    </r>
    <r>
      <rPr>
        <sz val="10"/>
        <rFont val="Arial"/>
        <family val="0"/>
        <charset val="1"/>
      </rPr>
      <t xml:space="preserve">111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112</t>
    </r>
    <r>
      <rPr>
        <sz val="10"/>
        <rFont val="WenQuanYi Zen Hei"/>
        <family val="2"/>
      </rPr>
      <t xml:space="preserve">學年度計畫亦載「南一版教科書 自學一『故鄉的桂花雨』」</t>
    </r>
  </si>
  <si>
    <t xml:space="preserve">第七課 鮭魚產卵，力爭上游</t>
  </si>
  <si>
    <t xml:space="preserve">第八課 論語選</t>
  </si>
  <si>
    <t xml:space="preserve">第九課 飛翔的舞者</t>
  </si>
  <si>
    <t xml:space="preserve">第十課 值得記憶的小事：日記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</si>
  <si>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整數運算與科學記號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</si>
  <si>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數與數線；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整數的加減運算；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整數的乘除運算；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指數記法與科學記號</t>
    </r>
  </si>
  <si>
    <t xml:space="preserve">https://www.junyiacademy.org/topics/n-m7a</t>
  </si>
  <si>
    <r>
      <rPr>
        <sz val="10"/>
        <rFont val="WenQuanYi Zen Hei"/>
        <family val="2"/>
      </rPr>
      <t xml:space="preserve">均一教育平台「類南一版」（頁面註明依南一版教科書章節架構編排），非出版商原始目錄；頁面未標示學年度；臺南市太子國中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學年度南一版計畫亦載「第一章 整數運算與科學記號 </t>
    </r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數與數線」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</si>
  <si>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因數分解與分數運算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</si>
  <si>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質因數分解；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公因數與公倍數；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分數的四則運算</t>
    </r>
  </si>
  <si>
    <r>
      <rPr>
        <sz val="10"/>
        <rFont val="WenQuanYi Zen Hei"/>
        <family val="2"/>
      </rPr>
      <t xml:space="preserve">均一教育平台「類南一版」（頁面註明依南一版教科書章節架構編排），非出版商原始目錄；頁面未標示學年度；注意：臺南市太子國中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學年度南一版計畫（</t>
    </r>
    <r>
      <rPr>
        <sz val="10"/>
        <rFont val="Arial"/>
        <family val="0"/>
        <charset val="1"/>
      </rPr>
      <t xml:space="preserve">http://course.tn.edu.tw/course/114J</t>
    </r>
    <r>
      <rPr>
        <sz val="10"/>
        <rFont val="WenQuanYi Zen Hei"/>
        <family val="2"/>
      </rPr>
      <t xml:space="preserve">太子國中</t>
    </r>
    <r>
      <rPr>
        <sz val="10"/>
        <rFont val="Arial"/>
        <family val="0"/>
        <charset val="1"/>
      </rPr>
      <t xml:space="preserve">C5-1</t>
    </r>
    <r>
      <rPr>
        <sz val="10"/>
        <rFont val="WenQuanYi Zen Hei"/>
        <family val="2"/>
      </rPr>
      <t xml:space="preserve">領域學習課程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調整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計畫普通班七年級數學</t>
    </r>
    <r>
      <rPr>
        <sz val="10"/>
        <rFont val="Arial"/>
        <family val="0"/>
        <charset val="1"/>
      </rPr>
      <t xml:space="preserve">0712114735.pdf</t>
    </r>
    <r>
      <rPr>
        <sz val="10"/>
        <rFont val="WenQuanYi Zen Hei"/>
        <family val="2"/>
      </rPr>
      <t xml:space="preserve">）第二章作「因數分解與分數」，含「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分數的四則運算」「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指數律」，與均一不同，現行版可能以學校計畫為準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</si>
  <si>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以符號列式與運算；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一元一次方程式的列式與求解；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一元一次方程式的應用</t>
    </r>
  </si>
  <si>
    <t xml:space="preserve">均一教育平台「類南一版」（頁面註明依南一版教科書章節架構編排），非出版商原始目錄；頁面未標示學年度</t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</si>
  <si>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二元一次方程式；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解二元一次聯立方程式；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二元一次聯立方程式的應用</t>
    </r>
  </si>
  <si>
    <t xml:space="preserve">https://junyiacademy.org/n-m7b-c01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</si>
  <si>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平面直角坐標系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</si>
  <si>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直角坐標平面</t>
    </r>
  </si>
  <si>
    <r>
      <rPr>
        <sz val="10"/>
        <rFont val="WenQuanYi Zen Hei"/>
        <family val="2"/>
      </rPr>
      <t xml:space="preserve">均一教育平台「類南一版」（頁面註明依南一版教科書章節架構編排），非出版商原始目錄；頁面未標示學年度；僅見</t>
    </r>
    <r>
      <rPr>
        <sz val="10"/>
        <rFont val="Arial"/>
        <family val="0"/>
        <charset val="1"/>
      </rPr>
      <t xml:space="preserve">2-1</t>
    </r>
    <r>
      <rPr>
        <sz val="10"/>
        <rFont val="WenQuanYi Zen Hei"/>
        <family val="2"/>
      </rPr>
      <t xml:space="preserve">；此章下掛有標題為「南一七下</t>
    </r>
    <r>
      <rPr>
        <sz val="10"/>
        <rFont val="Arial"/>
        <family val="0"/>
        <charset val="1"/>
      </rPr>
      <t xml:space="preserve">3-1</t>
    </r>
    <r>
      <rPr>
        <sz val="10"/>
        <rFont val="WenQuanYi Zen Hei"/>
        <family val="2"/>
      </rPr>
      <t xml:space="preserve">」的影片，實際課本章次可能與均一不同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</si>
  <si>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比例</t>
    </r>
  </si>
  <si>
    <t xml:space="preserve">均一教育平台「類南一版」（頁面註明依南一版教科書章節架構編排），非出版商原始目錄；頁面未標示學年度；節名未查到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</si>
  <si>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統計圖表與資料分析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</si>
  <si>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生活中的幾何圖形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</si>
  <si>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乘法公式；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多項式的加減；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多項式的乘除</t>
    </r>
  </si>
  <si>
    <t xml:space="preserve">https://www.junyiacademy.org/topics/n-m8a</t>
  </si>
  <si>
    <r>
      <rPr>
        <sz val="10"/>
        <rFont val="WenQuanYi Zen Hei"/>
        <family val="2"/>
      </rPr>
      <t xml:space="preserve">均一教育平台「類南一版」（頁面註明依南一版教科書章節架構編排），非出版商原始目錄；頁面註明依「南一版</t>
    </r>
    <r>
      <rPr>
        <sz val="10"/>
        <rFont val="Arial"/>
        <family val="0"/>
        <charset val="1"/>
      </rPr>
      <t xml:space="preserve">113</t>
    </r>
    <r>
      <rPr>
        <sz val="10"/>
        <rFont val="WenQuanYi Zen Hei"/>
        <family val="2"/>
      </rPr>
      <t xml:space="preserve">學年度」教科書；未找到</t>
    </r>
    <r>
      <rPr>
        <sz val="10"/>
        <rFont val="Arial"/>
        <family val="0"/>
        <charset val="1"/>
      </rPr>
      <t xml:space="preserve">115/114</t>
    </r>
    <r>
      <rPr>
        <sz val="10"/>
        <rFont val="WenQuanYi Zen Hei"/>
        <family val="2"/>
      </rPr>
      <t xml:space="preserve">學年度資料；均一不同頁面節名略異：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亦作「多項式與其加減運算」、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亦作「多項式的乘法與除法」</t>
    </r>
  </si>
  <si>
    <r>
      <rPr>
        <sz val="10"/>
        <rFont val="WenQuanYi Zen Hei"/>
        <family val="2"/>
      </rPr>
      <t xml:space="preserve">均一教育平台「類南一版」（頁面註明依南一版教科書章節架構編排），非出版商原始目錄；頁面註明依「南一版</t>
    </r>
    <r>
      <rPr>
        <sz val="10"/>
        <rFont val="Arial"/>
        <family val="0"/>
        <charset val="1"/>
      </rPr>
      <t xml:space="preserve">113</t>
    </r>
    <r>
      <rPr>
        <sz val="10"/>
        <rFont val="WenQuanYi Zen Hei"/>
        <family val="2"/>
      </rPr>
      <t xml:space="preserve">學年度」教科書；未找到</t>
    </r>
    <r>
      <rPr>
        <sz val="10"/>
        <rFont val="Arial"/>
        <family val="0"/>
        <charset val="1"/>
      </rPr>
      <t xml:space="preserve">115/114</t>
    </r>
    <r>
      <rPr>
        <sz val="10"/>
        <rFont val="WenQuanYi Zen Hei"/>
        <family val="2"/>
      </rPr>
      <t xml:space="preserve">學年度資料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</si>
  <si>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提公因式法與乘法公式因式分解；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利用十字交乘法因式分解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</si>
  <si>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因式分解法解一元二次方程式；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配方法與一元二次方程式的公式解；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一元二次方程式的應用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</si>
  <si>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數列與等差級數</t>
    </r>
  </si>
  <si>
    <t xml:space="preserve">https://www.junyiacademy.org/topics/n-m8b-c01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</si>
  <si>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函數及其圖形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</si>
  <si>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一次函數</t>
    </r>
  </si>
  <si>
    <r>
      <rPr>
        <sz val="10"/>
        <rFont val="WenQuanYi Zen Hei"/>
        <family val="2"/>
      </rPr>
      <t xml:space="preserve">均一教育平台「類南一版」（頁面註明依南一版教科書章節架構編排），非出版商原始目錄；頁面註明依「南一版</t>
    </r>
    <r>
      <rPr>
        <sz val="10"/>
        <rFont val="Arial"/>
        <family val="0"/>
        <charset val="1"/>
      </rPr>
      <t xml:space="preserve">113</t>
    </r>
    <r>
      <rPr>
        <sz val="10"/>
        <rFont val="WenQuanYi Zen Hei"/>
        <family val="2"/>
      </rPr>
      <t xml:space="preserve">學年度」教科書；未找到</t>
    </r>
    <r>
      <rPr>
        <sz val="10"/>
        <rFont val="Arial"/>
        <family val="0"/>
        <charset val="1"/>
      </rPr>
      <t xml:space="preserve">115/114</t>
    </r>
    <r>
      <rPr>
        <sz val="10"/>
        <rFont val="WenQuanYi Zen Hei"/>
        <family val="2"/>
      </rPr>
      <t xml:space="preserve">學年度資料；僅見</t>
    </r>
    <r>
      <rPr>
        <sz val="10"/>
        <rFont val="Arial"/>
        <family val="0"/>
        <charset val="1"/>
      </rPr>
      <t xml:space="preserve">2-1</t>
    </r>
    <r>
      <rPr>
        <sz val="10"/>
        <rFont val="WenQuanYi Zen Hei"/>
        <family val="2"/>
      </rPr>
      <t xml:space="preserve">，其餘節名未查到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</si>
  <si>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三角形的性質與尺規作圖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</si>
  <si>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內角與外角；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基本尺規作圖；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三角形全等；</t>
    </r>
    <r>
      <rPr>
        <sz val="10"/>
        <rFont val="Arial"/>
        <family val="0"/>
        <charset val="1"/>
      </rPr>
      <t xml:space="preserve">3-4 </t>
    </r>
    <r>
      <rPr>
        <sz val="10"/>
        <rFont val="WenQuanYi Zen Hei"/>
        <family val="2"/>
      </rPr>
      <t xml:space="preserve">全等三角形的應用；</t>
    </r>
    <r>
      <rPr>
        <sz val="10"/>
        <rFont val="Arial"/>
        <family val="0"/>
        <charset val="1"/>
      </rPr>
      <t xml:space="preserve">3-5 </t>
    </r>
    <r>
      <rPr>
        <sz val="10"/>
        <rFont val="WenQuanYi Zen Hei"/>
        <family val="2"/>
      </rPr>
      <t xml:space="preserve">三角形的邊角關係</t>
    </r>
  </si>
  <si>
    <t xml:space="preserve">https://www.junyiacademy.org/topics/n-m8b-c03</t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</si>
  <si>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平行線；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平行四邊形；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特殊的四邊形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</si>
  <si>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比例線段與相似形</t>
    </r>
  </si>
  <si>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相似形</t>
    </r>
  </si>
  <si>
    <t xml:space="preserve">https://www.junyiacademy.org/n-m9a-c01</t>
  </si>
  <si>
    <r>
      <rPr>
        <sz val="10"/>
        <rFont val="WenQuanYi Zen Hei"/>
        <family val="2"/>
      </rPr>
      <t xml:space="preserve">均一教育平台「類南一版」（頁面註明依南一版教科書章節架構編排），非出版商原始目錄；頁面未標示學年度；僅見</t>
    </r>
    <r>
      <rPr>
        <sz val="10"/>
        <rFont val="Arial"/>
        <family val="0"/>
        <charset val="1"/>
      </rPr>
      <t xml:space="preserve">1-3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1-1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1-2</t>
    </r>
    <r>
      <rPr>
        <sz val="10"/>
        <rFont val="WenQuanYi Zen Hei"/>
        <family val="2"/>
      </rPr>
      <t xml:space="preserve">節名未查到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</si>
  <si>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圓的性質</t>
    </r>
  </si>
  <si>
    <t xml:space="preserve">https://www.junyiacademy.org/topics/math-9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</si>
  <si>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推理證明與三角形的心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</si>
  <si>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推理與證明</t>
    </r>
  </si>
  <si>
    <t xml:space="preserve">https://www.junyiacademy.org/videos/GRSPmQ04hB0?topic=course-compare%2Fmath-juni%2Fmath-9%2Fn-m9a%2Fn-m9a-c03%2Fn-m9a-c03-1</t>
  </si>
  <si>
    <r>
      <rPr>
        <sz val="10"/>
        <rFont val="WenQuanYi Zen Hei"/>
        <family val="2"/>
      </rPr>
      <t xml:space="preserve">均一教育平台「類南一版」（頁面註明依南一版教科書章節架構編排），非出版商原始目錄；頁面未標示學年度；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內容為三角形的外心、內心、重心（有「南一九上</t>
    </r>
    <r>
      <rPr>
        <sz val="10"/>
        <rFont val="Arial"/>
        <family val="0"/>
        <charset val="1"/>
      </rPr>
      <t xml:space="preserve">3-2</t>
    </r>
    <r>
      <rPr>
        <sz val="10"/>
        <rFont val="WenQuanYi Zen Hei"/>
        <family val="2"/>
      </rPr>
      <t xml:space="preserve">」影片），但正式節名未確認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</si>
  <si>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統計數據的分布</t>
    </r>
  </si>
  <si>
    <t xml:space="preserve">https://www.junyiacademy.org/exercise/n-m9bch3-2-4a?parent-topic-id=n-m9b-c02-1</t>
  </si>
  <si>
    <r>
      <rPr>
        <sz val="10"/>
        <rFont val="WenQuanYi Zen Hei"/>
        <family val="2"/>
      </rPr>
      <t xml:space="preserve">均一教育平台「類南一版」（頁面註明依南一版教科書章節架構編排），非出版商原始目錄；頁面未標示學年度；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節名未查到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</si>
  <si>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立體幾何圖形</t>
    </r>
  </si>
  <si>
    <t xml:space="preserve">https://www.junyiacademy.org/n-m9b-c03</t>
  </si>
  <si>
    <r>
      <rPr>
        <sz val="10"/>
        <rFont val="WenQuanYi Zen Hei"/>
        <family val="2"/>
      </rPr>
      <t xml:space="preserve">均一教育平台「類南一版」（頁面註明依南一版教科書章節架構編排），非出版商原始目錄；頁面未標示學年度；</t>
    </r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內容含柱體、錐體、空間中的線與平面，但正式節名未確認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</si>
  <si>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生命的發現</t>
    </r>
  </si>
  <si>
    <t xml:space="preserve">https://www.junyiacademy.org/exercises/njbsb7cb?topic=junyi-science%2Fscience-juni%2Ftmp_js%2Fn-s7a%2Fn-s7a-ch1</t>
  </si>
  <si>
    <r>
      <rPr>
        <sz val="10"/>
        <rFont val="WenQuanYi Zen Hei"/>
        <family val="2"/>
      </rPr>
      <t xml:space="preserve">均一教育平台自然科 </t>
    </r>
    <r>
      <rPr>
        <sz val="10"/>
        <rFont val="Arial"/>
        <family val="0"/>
        <charset val="1"/>
      </rPr>
      <t xml:space="preserve">n-s7a</t>
    </r>
    <r>
      <rPr>
        <sz val="10"/>
        <rFont val="WenQuanYi Zen Hei"/>
        <family val="2"/>
      </rPr>
      <t xml:space="preserve">（南一七上）路徑所見章名，非出版商原始目錄、未標示學年度；其餘章節未查到（搜尋次數用盡）</t>
    </r>
  </si>
  <si>
    <t xml:space="preserve">高中</t>
  </si>
  <si>
    <t xml:space="preserve">10</t>
  </si>
  <si>
    <t xml:space="preserve">第一冊</t>
  </si>
  <si>
    <t xml:space="preserve">第二冊</t>
  </si>
  <si>
    <t xml:space="preserve">11</t>
  </si>
  <si>
    <t xml:space="preserve">第三冊</t>
  </si>
  <si>
    <t xml:space="preserve">第四冊</t>
  </si>
  <si>
    <t xml:space="preserve">12</t>
  </si>
  <si>
    <t xml:space="preserve">第五冊</t>
  </si>
  <si>
    <t xml:space="preserve">第六冊</t>
  </si>
  <si>
    <t xml:space="preserve">加深加廣選修：各類文學選讀</t>
  </si>
  <si>
    <t xml:space="preserve">加深加廣選修：國學常識</t>
  </si>
  <si>
    <t xml:space="preserve">加深加廣選修：專題閱讀與研究</t>
  </si>
  <si>
    <t xml:space="preserve">加深加廣選修：語文表達及傳播應用</t>
  </si>
  <si>
    <t xml:space="preserve">加深加廣選修：英文閱讀與寫作</t>
  </si>
  <si>
    <t xml:space="preserve">加深加廣選修：英語聽講</t>
  </si>
  <si>
    <r>
      <rPr>
        <sz val="10"/>
        <rFont val="WenQuanYi Zen Hei"/>
        <family val="2"/>
      </rPr>
      <t xml:space="preserve">未查到（南一官方商城有「高中數學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一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課本【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上適用】」商品頁 </t>
    </r>
    <r>
      <rPr>
        <sz val="10"/>
        <rFont val="Arial"/>
        <family val="0"/>
        <charset val="1"/>
      </rPr>
      <t xml:space="preserve">https://shop.nani1953.com.tw/products/%E9%AB%98%E4%B8%AD%E6%95%B8%E5%AD%B8%E4%B8%80%E8%AA%B2%E6%9C%AC </t>
    </r>
    <r>
      <rPr>
        <sz val="10"/>
        <rFont val="WenQuanYi Zen Hei"/>
        <family val="2"/>
      </rPr>
      <t xml:space="preserve">，但未見目錄）</t>
    </r>
  </si>
  <si>
    <r>
      <rPr>
        <sz val="10"/>
        <rFont val="WenQuanYi Zen Hei"/>
        <family val="2"/>
      </rPr>
      <t xml:space="preserve">未查到（南一商城有「高中數學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二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課本【</t>
    </r>
    <r>
      <rPr>
        <sz val="10"/>
        <rFont val="Arial"/>
        <family val="0"/>
        <charset val="1"/>
      </rPr>
      <t xml:space="preserve">113</t>
    </r>
    <r>
      <rPr>
        <sz val="10"/>
        <rFont val="WenQuanYi Zen Hei"/>
        <family val="2"/>
      </rPr>
      <t xml:space="preserve">下適用】」商品頁，未見目錄）</t>
    </r>
  </si>
  <si>
    <r>
      <rPr>
        <sz val="10"/>
        <rFont val="WenQuanYi Zen Hei"/>
        <family val="2"/>
      </rPr>
      <t xml:space="preserve">第三冊</t>
    </r>
    <r>
      <rPr>
        <sz val="10"/>
        <rFont val="Arial"/>
        <family val="0"/>
        <charset val="1"/>
      </rPr>
      <t xml:space="preserve">A</t>
    </r>
  </si>
  <si>
    <r>
      <rPr>
        <sz val="10"/>
        <rFont val="WenQuanYi Zen Hei"/>
        <family val="2"/>
      </rPr>
      <t xml:space="preserve">第三冊</t>
    </r>
    <r>
      <rPr>
        <sz val="10"/>
        <rFont val="Arial"/>
        <family val="0"/>
        <charset val="1"/>
      </rPr>
      <t xml:space="preserve">B</t>
    </r>
  </si>
  <si>
    <r>
      <rPr>
        <sz val="10"/>
        <rFont val="WenQuanYi Zen Hei"/>
        <family val="2"/>
      </rPr>
      <t xml:space="preserve">第四冊</t>
    </r>
    <r>
      <rPr>
        <sz val="10"/>
        <rFont val="Arial"/>
        <family val="0"/>
        <charset val="1"/>
      </rPr>
      <t xml:space="preserve">A</t>
    </r>
  </si>
  <si>
    <r>
      <rPr>
        <sz val="10"/>
        <rFont val="WenQuanYi Zen Hei"/>
        <family val="2"/>
      </rPr>
      <t xml:space="preserve">第四冊</t>
    </r>
    <r>
      <rPr>
        <sz val="10"/>
        <rFont val="Arial"/>
        <family val="0"/>
        <charset val="1"/>
      </rPr>
      <t xml:space="preserve">B</t>
    </r>
  </si>
  <si>
    <t xml:space="preserve">數學乙上</t>
  </si>
  <si>
    <t xml:space="preserve">數學乙下</t>
  </si>
  <si>
    <t xml:space="preserve">數學甲上</t>
  </si>
  <si>
    <t xml:space="preserve">數學甲下</t>
  </si>
  <si>
    <r>
      <rPr>
        <sz val="10"/>
        <rFont val="WenQuanYi Zen Hei"/>
        <family val="2"/>
      </rPr>
      <t xml:space="preserve">未查到（南一商城有「高中選修數學甲下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乙版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課本【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下適用】」商品頁，未見目錄）</t>
    </r>
  </si>
  <si>
    <t xml:space="preserve">基礎生物（一）</t>
  </si>
  <si>
    <r>
      <rPr>
        <sz val="10"/>
        <rFont val="WenQuanYi Zen Hei"/>
        <family val="2"/>
      </rPr>
      <t xml:space="preserve">未查到章節；師大附中</t>
    </r>
    <r>
      <rPr>
        <sz val="10"/>
        <rFont val="Arial"/>
        <family val="0"/>
        <charset val="1"/>
      </rPr>
      <t xml:space="preserve">111</t>
    </r>
    <r>
      <rPr>
        <sz val="10"/>
        <rFont val="WenQuanYi Zen Hei"/>
        <family val="2"/>
      </rPr>
      <t xml:space="preserve">學年度資料顯示曾用南一版生物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，但沒有單元名稱</t>
    </r>
  </si>
  <si>
    <t xml:space="preserve">基礎生物（二）</t>
  </si>
  <si>
    <r>
      <rPr>
        <sz val="10"/>
        <rFont val="WenQuanYi Zen Hei"/>
        <family val="2"/>
      </rPr>
      <t xml:space="preserve">選修生物</t>
    </r>
    <r>
      <rPr>
        <sz val="10"/>
        <rFont val="Arial"/>
        <family val="0"/>
        <charset val="1"/>
      </rPr>
      <t xml:space="preserve">I</t>
    </r>
  </si>
  <si>
    <r>
      <rPr>
        <sz val="10"/>
        <rFont val="WenQuanYi Zen Hei"/>
        <family val="2"/>
      </rPr>
      <t xml:space="preserve">未查到章節；師大附中</t>
    </r>
    <r>
      <rPr>
        <sz val="10"/>
        <rFont val="Arial"/>
        <family val="0"/>
        <charset val="1"/>
      </rPr>
      <t xml:space="preserve">112-2</t>
    </r>
    <r>
      <rPr>
        <sz val="10"/>
        <rFont val="WenQuanYi Zen Hei"/>
        <family val="2"/>
      </rPr>
      <t xml:space="preserve">資料顯示曾用南一版選修生物，但沒有單元名稱與冊次</t>
    </r>
  </si>
  <si>
    <r>
      <rPr>
        <sz val="10"/>
        <rFont val="WenQuanYi Zen Hei"/>
        <family val="2"/>
      </rPr>
      <t xml:space="preserve">選修生物</t>
    </r>
    <r>
      <rPr>
        <sz val="10"/>
        <rFont val="Arial"/>
        <family val="0"/>
        <charset val="1"/>
      </rPr>
      <t xml:space="preserve">II</t>
    </r>
  </si>
  <si>
    <r>
      <rPr>
        <sz val="10"/>
        <rFont val="WenQuanYi Zen Hei"/>
        <family val="2"/>
      </rPr>
      <t xml:space="preserve">選修生物</t>
    </r>
    <r>
      <rPr>
        <sz val="10"/>
        <rFont val="Arial"/>
        <family val="0"/>
        <charset val="1"/>
      </rPr>
      <t xml:space="preserve">III</t>
    </r>
  </si>
  <si>
    <r>
      <rPr>
        <sz val="10"/>
        <rFont val="WenQuanYi Zen Hei"/>
        <family val="2"/>
      </rPr>
      <t xml:space="preserve">選修生物</t>
    </r>
    <r>
      <rPr>
        <sz val="10"/>
        <rFont val="Arial"/>
        <family val="0"/>
        <charset val="1"/>
      </rPr>
      <t xml:space="preserve">IV</t>
    </r>
  </si>
  <si>
    <t xml:space="preserve">基礎物理（一）</t>
  </si>
  <si>
    <t xml:space="preserve">物理</t>
  </si>
  <si>
    <r>
      <rPr>
        <sz val="10"/>
        <rFont val="WenQuanYi Zen Hei"/>
        <family val="2"/>
      </rPr>
      <t xml:space="preserve">選修物理</t>
    </r>
    <r>
      <rPr>
        <sz val="10"/>
        <rFont val="Arial"/>
        <family val="0"/>
        <charset val="1"/>
      </rPr>
      <t xml:space="preserve">I</t>
    </r>
  </si>
  <si>
    <r>
      <rPr>
        <sz val="10"/>
        <rFont val="WenQuanYi Zen Hei"/>
        <family val="2"/>
      </rPr>
      <t xml:space="preserve">選修物理</t>
    </r>
    <r>
      <rPr>
        <sz val="10"/>
        <rFont val="Arial"/>
        <family val="0"/>
        <charset val="1"/>
      </rPr>
      <t xml:space="preserve">II</t>
    </r>
  </si>
  <si>
    <r>
      <rPr>
        <sz val="10"/>
        <rFont val="WenQuanYi Zen Hei"/>
        <family val="2"/>
      </rPr>
      <t xml:space="preserve">選修物理</t>
    </r>
    <r>
      <rPr>
        <sz val="10"/>
        <rFont val="Arial"/>
        <family val="0"/>
        <charset val="1"/>
      </rPr>
      <t xml:space="preserve">III</t>
    </r>
  </si>
  <si>
    <r>
      <rPr>
        <sz val="10"/>
        <rFont val="WenQuanYi Zen Hei"/>
        <family val="2"/>
      </rPr>
      <t xml:space="preserve">選修物理</t>
    </r>
    <r>
      <rPr>
        <sz val="10"/>
        <rFont val="Arial"/>
        <family val="0"/>
        <charset val="1"/>
      </rPr>
      <t xml:space="preserve">IV</t>
    </r>
  </si>
  <si>
    <r>
      <rPr>
        <sz val="10"/>
        <rFont val="WenQuanYi Zen Hei"/>
        <family val="2"/>
      </rPr>
      <t xml:space="preserve">選修物理</t>
    </r>
    <r>
      <rPr>
        <sz val="10"/>
        <rFont val="Arial"/>
        <family val="0"/>
        <charset val="1"/>
      </rPr>
      <t xml:space="preserve">V</t>
    </r>
  </si>
  <si>
    <t xml:space="preserve">高一化學（來源未寫冊名）</t>
  </si>
  <si>
    <t xml:space="preserve">化學</t>
  </si>
  <si>
    <t xml:space="preserve">物質的組成</t>
  </si>
  <si>
    <t xml:space="preserve">109</t>
  </si>
  <si>
    <t xml:space="preserve">https://www.nhush.tp.edu.tw/wp-content/uploads/doc/nhush602/109年度第2學期高一化學.pdf</t>
  </si>
  <si>
    <r>
      <rPr>
        <sz val="10"/>
        <rFont val="WenQuanYi Zen Hei"/>
        <family val="2"/>
      </rPr>
      <t xml:space="preserve">南湖高中</t>
    </r>
    <r>
      <rPr>
        <sz val="10"/>
        <rFont val="Arial"/>
        <family val="0"/>
        <charset val="1"/>
      </rPr>
      <t xml:space="preserve">109</t>
    </r>
    <r>
      <rPr>
        <sz val="10"/>
        <rFont val="WenQuanYi Zen Hei"/>
        <family val="2"/>
      </rPr>
      <t xml:space="preserve">學年度第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學期高一化學教學計畫表：「本學期採用南一版化學，內容分物質的組成、物質的形成、物質間的反應、生活中的化學共四大章」；冊名未寫明，章號依列出順序，未列節名；未查到</t>
    </r>
    <r>
      <rPr>
        <sz val="10"/>
        <rFont val="Arial"/>
        <family val="0"/>
        <charset val="1"/>
      </rPr>
      <t xml:space="preserve">115/114</t>
    </r>
    <r>
      <rPr>
        <sz val="10"/>
        <rFont val="WenQuanYi Zen Hei"/>
        <family val="2"/>
      </rPr>
      <t xml:space="preserve">學年度資料；章節文字取自搜尋引擎對來源內容的摘要，請以原檔核對</t>
    </r>
  </si>
  <si>
    <t xml:space="preserve">物質的形成</t>
  </si>
  <si>
    <t xml:space="preserve">物質間的反應</t>
  </si>
  <si>
    <t xml:space="preserve">生活中的化學</t>
  </si>
  <si>
    <r>
      <rPr>
        <sz val="10"/>
        <rFont val="WenQuanYi Zen Hei"/>
        <family val="2"/>
      </rPr>
      <t xml:space="preserve">選修化學</t>
    </r>
    <r>
      <rPr>
        <sz val="10"/>
        <rFont val="Arial"/>
        <family val="0"/>
        <charset val="1"/>
      </rPr>
      <t xml:space="preserve">V</t>
    </r>
    <r>
      <rPr>
        <sz val="10"/>
        <rFont val="WenQuanYi Zen Hei"/>
        <family val="2"/>
      </rPr>
      <t xml:space="preserve">（來源只寫「選修化學」）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</si>
  <si>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章（章名未見）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</si>
  <si>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烴類；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有機鹵化物；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醇、酚、醚；</t>
    </r>
    <r>
      <rPr>
        <sz val="10"/>
        <rFont val="Arial"/>
        <family val="0"/>
        <charset val="1"/>
      </rPr>
      <t xml:space="preserve">1-4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1-5 </t>
    </r>
    <r>
      <rPr>
        <sz val="10"/>
        <rFont val="WenQuanYi Zen Hei"/>
        <family val="2"/>
      </rPr>
      <t xml:space="preserve">醛、酮、酸、酯（來源合列）；</t>
    </r>
    <r>
      <rPr>
        <sz val="10"/>
        <rFont val="Arial"/>
        <family val="0"/>
        <charset val="1"/>
      </rPr>
      <t xml:space="preserve">1-6 </t>
    </r>
    <r>
      <rPr>
        <sz val="10"/>
        <rFont val="WenQuanYi Zen Hei"/>
        <family val="2"/>
      </rPr>
      <t xml:space="preserve">胺與醯胺</t>
    </r>
  </si>
  <si>
    <t xml:space="preserve">111</t>
  </si>
  <si>
    <t xml:space="preserve">https://www.hs.ntnu.edu.tw/static/webroot/G162269151451663/application/NW167904652851841.pdf</t>
  </si>
  <si>
    <r>
      <rPr>
        <sz val="10"/>
        <rFont val="WenQuanYi Zen Hei"/>
        <family val="2"/>
      </rPr>
      <t xml:space="preserve">師大附中</t>
    </r>
    <r>
      <rPr>
        <sz val="10"/>
        <rFont val="Arial"/>
        <family val="0"/>
        <charset val="1"/>
      </rPr>
      <t xml:space="preserve">111</t>
    </r>
    <r>
      <rPr>
        <sz val="10"/>
        <rFont val="WenQuanYi Zen Hei"/>
        <family val="2"/>
      </rPr>
      <t xml:space="preserve">學年度第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學期高三化學進度表，課程名稱：選修化學，教科書版本：南一；來源沒有寫冊次，依內容（有機、聚合物）歸入選修化學</t>
    </r>
    <r>
      <rPr>
        <sz val="10"/>
        <rFont val="Arial"/>
        <family val="0"/>
        <charset val="1"/>
      </rPr>
      <t xml:space="preserve">V</t>
    </r>
    <r>
      <rPr>
        <sz val="10"/>
        <rFont val="WenQuanYi Zen Hei"/>
        <family val="2"/>
      </rPr>
      <t xml:space="preserve">，請核實；章名未見；摘要只到第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週；未查到</t>
    </r>
    <r>
      <rPr>
        <sz val="10"/>
        <rFont val="Arial"/>
        <family val="0"/>
        <charset val="1"/>
      </rPr>
      <t xml:space="preserve">115/114</t>
    </r>
    <r>
      <rPr>
        <sz val="10"/>
        <rFont val="WenQuanYi Zen Hei"/>
        <family val="2"/>
      </rPr>
      <t xml:space="preserve">學年度資料；章節文字取自搜尋引擎對來源內容的摘要，請以原檔核對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</si>
  <si>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章（章名未見）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</si>
  <si>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聚合物分類；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天然聚合物</t>
    </r>
  </si>
  <si>
    <t xml:space="preserve">基礎化學（三）</t>
  </si>
  <si>
    <t xml:space="preserve">基礎化學（二）</t>
  </si>
  <si>
    <r>
      <rPr>
        <sz val="10"/>
        <rFont val="WenQuanYi Zen Hei"/>
        <family val="2"/>
      </rPr>
      <t xml:space="preserve">選修化學</t>
    </r>
    <r>
      <rPr>
        <sz val="10"/>
        <rFont val="Arial"/>
        <family val="0"/>
        <charset val="1"/>
      </rPr>
      <t xml:space="preserve">I</t>
    </r>
  </si>
  <si>
    <r>
      <rPr>
        <sz val="10"/>
        <rFont val="WenQuanYi Zen Hei"/>
        <family val="2"/>
      </rPr>
      <t xml:space="preserve">選修化學</t>
    </r>
    <r>
      <rPr>
        <sz val="10"/>
        <rFont val="Arial"/>
        <family val="0"/>
        <charset val="1"/>
      </rPr>
      <t xml:space="preserve">II</t>
    </r>
  </si>
  <si>
    <r>
      <rPr>
        <sz val="10"/>
        <rFont val="WenQuanYi Zen Hei"/>
        <family val="2"/>
      </rPr>
      <t xml:space="preserve">選修化學</t>
    </r>
    <r>
      <rPr>
        <sz val="10"/>
        <rFont val="Arial"/>
        <family val="0"/>
        <charset val="1"/>
      </rPr>
      <t xml:space="preserve">III</t>
    </r>
  </si>
  <si>
    <r>
      <rPr>
        <sz val="10"/>
        <rFont val="WenQuanYi Zen Hei"/>
        <family val="2"/>
      </rPr>
      <t xml:space="preserve">選修化學</t>
    </r>
    <r>
      <rPr>
        <sz val="10"/>
        <rFont val="Arial"/>
        <family val="0"/>
        <charset val="1"/>
      </rPr>
      <t xml:space="preserve">IV</t>
    </r>
  </si>
  <si>
    <t xml:space="preserve">基礎地球科學（一）</t>
  </si>
  <si>
    <t xml:space="preserve">基礎地球科學（二）</t>
  </si>
  <si>
    <r>
      <rPr>
        <sz val="10"/>
        <rFont val="WenQuanYi Zen Hei"/>
        <family val="2"/>
      </rPr>
      <t xml:space="preserve">選修地球科學</t>
    </r>
    <r>
      <rPr>
        <sz val="10"/>
        <rFont val="Arial"/>
        <family val="0"/>
        <charset val="1"/>
      </rPr>
      <t xml:space="preserve">I</t>
    </r>
  </si>
  <si>
    <r>
      <rPr>
        <sz val="10"/>
        <rFont val="WenQuanYi Zen Hei"/>
        <family val="2"/>
      </rPr>
      <t xml:space="preserve">選修地球科學</t>
    </r>
    <r>
      <rPr>
        <sz val="10"/>
        <rFont val="Arial"/>
        <family val="0"/>
        <charset val="1"/>
      </rPr>
      <t xml:space="preserve">II</t>
    </r>
  </si>
  <si>
    <r>
      <rPr>
        <sz val="10"/>
        <rFont val="WenQuanYi Zen Hei"/>
        <family val="2"/>
      </rPr>
      <t xml:space="preserve">選修地球科學</t>
    </r>
    <r>
      <rPr>
        <sz val="10"/>
        <rFont val="Arial"/>
        <family val="0"/>
        <charset val="1"/>
      </rPr>
      <t xml:space="preserve">III</t>
    </r>
  </si>
  <si>
    <r>
      <rPr>
        <sz val="10"/>
        <rFont val="WenQuanYi Zen Hei"/>
        <family val="2"/>
      </rPr>
      <t xml:space="preserve">選修地球科學</t>
    </r>
    <r>
      <rPr>
        <sz val="10"/>
        <rFont val="Arial"/>
        <family val="0"/>
        <charset val="1"/>
      </rPr>
      <t xml:space="preserve">IV</t>
    </r>
  </si>
  <si>
    <r>
      <rPr>
        <sz val="10"/>
        <rFont val="WenQuanYi Zen Hei"/>
        <family val="2"/>
      </rPr>
      <t xml:space="preserve">未查到（</t>
    </r>
    <r>
      <rPr>
        <sz val="10"/>
        <rFont val="Arial"/>
        <family val="0"/>
        <charset val="1"/>
      </rPr>
      <t xml:space="preserve">WebSearch </t>
    </r>
    <r>
      <rPr>
        <sz val="10"/>
        <rFont val="WenQuanYi Zen Hei"/>
        <family val="2"/>
      </rPr>
      <t xml:space="preserve">額度用盡，未及搜尋）</t>
    </r>
  </si>
  <si>
    <t xml:space="preserve">加深加廣選修 探究與實作：歷史學探究</t>
  </si>
  <si>
    <t xml:space="preserve">加深加廣選修 族群、性別與國家的歷史</t>
  </si>
  <si>
    <t xml:space="preserve">加深加廣選修 科技、環境與藝術的歷史</t>
  </si>
  <si>
    <t xml:space="preserve">加深加廣選修 探究與實作：地理與人文社會科學研究</t>
  </si>
  <si>
    <t xml:space="preserve">加深加廣選修 社會環境議題</t>
  </si>
  <si>
    <t xml:space="preserve">加深加廣選修 空間資訊科技</t>
  </si>
  <si>
    <t xml:space="preserve">公民與社會</t>
  </si>
  <si>
    <t xml:space="preserve">加深加廣選修 探究與實作：公共議題與社會探究</t>
  </si>
  <si>
    <t xml:space="preserve">加深加廣選修 民主政治與法律</t>
  </si>
  <si>
    <t xml:space="preserve">加深加廣選修 現代社會與經濟</t>
  </si>
  <si>
    <t xml:space="preserve">三民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</si>
  <si>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數與式</t>
    </r>
  </si>
  <si>
    <t xml:space="preserve">實數；絕對值；式的運算；指數與對數</t>
  </si>
  <si>
    <t xml:space="preserve">書店頁面</t>
  </si>
  <si>
    <t xml:space="preserve">https://www.sanmin.com.tw/product/index/013368794</t>
  </si>
  <si>
    <r>
      <rPr>
        <sz val="10"/>
        <rFont val="WenQuanYi Zen Hei"/>
        <family val="2"/>
      </rPr>
      <t xml:space="preserve">取自三民網路書店配套書（普通型高中數學第一冊實力習作）商品頁目次，配合三民（鄭惟厚主編）課本編寫；節號未於摘要中逐一列出，僅列節名；較早（</t>
    </r>
    <r>
      <rPr>
        <sz val="10"/>
        <rFont val="Arial"/>
        <family val="0"/>
        <charset val="1"/>
      </rPr>
      <t xml:space="preserve">2019</t>
    </r>
    <r>
      <rPr>
        <sz val="10"/>
        <rFont val="WenQuanYi Zen Hei"/>
        <family val="2"/>
      </rPr>
      <t xml:space="preserve">）教學講義版</t>
    </r>
    <r>
      <rPr>
        <sz val="10"/>
        <rFont val="Arial"/>
        <family val="0"/>
        <charset val="1"/>
      </rPr>
      <t xml:space="preserve">2-2</t>
    </r>
    <r>
      <rPr>
        <sz val="10"/>
        <rFont val="WenQuanYi Zen Hei"/>
        <family val="2"/>
      </rPr>
      <t xml:space="preserve">作「二元一次方程式與不等式」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</si>
  <si>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直線與圓</t>
    </r>
  </si>
  <si>
    <t xml:space="preserve">直線方程式；直線方程式的應用；圓與直線的關係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</si>
  <si>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多項式函數</t>
    </r>
  </si>
  <si>
    <t xml:space="preserve">多項式及其運算；簡單多項式函數及其圖形；多項式不等式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</si>
  <si>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三角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</si>
  <si>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直角三角形的三角比；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廣義角與極座標；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正弦定理與餘弦定理</t>
    </r>
  </si>
  <si>
    <t xml:space="preserve">https://www.sanmin.com.tw/product/index/007588879</t>
  </si>
  <si>
    <r>
      <rPr>
        <sz val="10"/>
        <rFont val="WenQuanYi Zen Hei"/>
        <family val="2"/>
      </rPr>
      <t xml:space="preserve">取自三民網路書店配套書（普通型高中數學第二冊習作，</t>
    </r>
    <r>
      <rPr>
        <sz val="10"/>
        <rFont val="Arial"/>
        <family val="0"/>
        <charset val="1"/>
      </rPr>
      <t xml:space="preserve">2020/02/01</t>
    </r>
    <r>
      <rPr>
        <sz val="10"/>
        <rFont val="WenQuanYi Zen Hei"/>
        <family val="2"/>
      </rPr>
      <t xml:space="preserve">）商品頁目次，配合三民（鄭惟厚主編）課本編寫；</t>
    </r>
    <r>
      <rPr>
        <sz val="10"/>
        <rFont val="Arial"/>
        <family val="0"/>
        <charset val="1"/>
      </rPr>
      <t xml:space="preserve">2024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年另有新版配套書，目次未見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</si>
  <si>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數列與級數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</si>
  <si>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數列與遞迴關係；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級數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</si>
  <si>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數據分析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</si>
  <si>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一維數據分析；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二維數據分析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</si>
  <si>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排列組合</t>
    </r>
  </si>
  <si>
    <r>
      <rPr>
        <sz val="10"/>
        <rFont val="Arial"/>
        <family val="0"/>
        <charset val="1"/>
      </rPr>
      <t xml:space="preserve">4-1 </t>
    </r>
    <r>
      <rPr>
        <sz val="10"/>
        <rFont val="WenQuanYi Zen Hei"/>
        <family val="2"/>
      </rPr>
      <t xml:space="preserve">集合與計數原理；</t>
    </r>
    <r>
      <rPr>
        <sz val="10"/>
        <rFont val="Arial"/>
        <family val="0"/>
        <charset val="1"/>
      </rPr>
      <t xml:space="preserve">4-2 </t>
    </r>
    <r>
      <rPr>
        <sz val="10"/>
        <rFont val="WenQuanYi Zen Hei"/>
        <family val="2"/>
      </rPr>
      <t xml:space="preserve">排列；</t>
    </r>
    <r>
      <rPr>
        <sz val="10"/>
        <rFont val="Arial"/>
        <family val="0"/>
        <charset val="1"/>
      </rPr>
      <t xml:space="preserve">4-3 </t>
    </r>
    <r>
      <rPr>
        <sz val="10"/>
        <rFont val="WenQuanYi Zen Hei"/>
        <family val="2"/>
      </rPr>
      <t xml:space="preserve">組合與二項式定理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</si>
  <si>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古典機率</t>
    </r>
  </si>
  <si>
    <r>
      <rPr>
        <sz val="10"/>
        <rFont val="Arial"/>
        <family val="0"/>
        <charset val="1"/>
      </rPr>
      <t xml:space="preserve">5-1 </t>
    </r>
    <r>
      <rPr>
        <sz val="10"/>
        <rFont val="WenQuanYi Zen Hei"/>
        <family val="2"/>
      </rPr>
      <t xml:space="preserve">機率的定義與性質；</t>
    </r>
    <r>
      <rPr>
        <sz val="10"/>
        <rFont val="Arial"/>
        <family val="0"/>
        <charset val="1"/>
      </rPr>
      <t xml:space="preserve">5-2 </t>
    </r>
    <r>
      <rPr>
        <sz val="10"/>
        <rFont val="WenQuanYi Zen Hei"/>
        <family val="2"/>
      </rPr>
      <t xml:space="preserve">期望值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</si>
  <si>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指數函數與對數函數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</si>
  <si>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指數函數；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對數律；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對數函數</t>
    </r>
  </si>
  <si>
    <t xml:space="preserve">https://www.sanmin.com.tw/product/index/007762030</t>
  </si>
  <si>
    <r>
      <rPr>
        <sz val="10"/>
        <rFont val="WenQuanYi Zen Hei"/>
        <family val="2"/>
      </rPr>
      <t xml:space="preserve">取自三民網路書店配套書（普通型高中數學第三冊</t>
    </r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習作／教學講義，</t>
    </r>
    <r>
      <rPr>
        <sz val="10"/>
        <rFont val="Arial"/>
        <family val="0"/>
        <charset val="1"/>
      </rPr>
      <t xml:space="preserve">2020/08/01</t>
    </r>
    <r>
      <rPr>
        <sz val="10"/>
        <rFont val="WenQuanYi Zen Hei"/>
        <family val="2"/>
      </rPr>
      <t xml:space="preserve">）商品頁目次，配合三民（鄭惟厚主編）課本編寫；</t>
    </r>
    <r>
      <rPr>
        <sz val="10"/>
        <rFont val="Arial"/>
        <family val="0"/>
        <charset val="1"/>
      </rPr>
      <t xml:space="preserve">3-3</t>
    </r>
    <r>
      <rPr>
        <sz val="10"/>
        <rFont val="WenQuanYi Zen Hei"/>
        <family val="2"/>
      </rPr>
      <t xml:space="preserve">見於習作目次；</t>
    </r>
    <r>
      <rPr>
        <sz val="10"/>
        <rFont val="Arial"/>
        <family val="0"/>
        <charset val="1"/>
      </rPr>
      <t xml:space="preserve">2025</t>
    </r>
    <r>
      <rPr>
        <sz val="10"/>
        <rFont val="WenQuanYi Zen Hei"/>
        <family val="2"/>
      </rPr>
      <t xml:space="preserve">年新版目次未見；是否尚有第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章未見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</si>
  <si>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三角函數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</si>
  <si>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弧度量；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正餘弦的疊合（</t>
    </r>
    <r>
      <rPr>
        <sz val="10"/>
        <rFont val="Arial"/>
        <family val="0"/>
        <charset val="1"/>
      </rPr>
      <t xml:space="preserve">2-2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2-3</t>
    </r>
    <r>
      <rPr>
        <sz val="10"/>
        <rFont val="WenQuanYi Zen Hei"/>
        <family val="2"/>
      </rPr>
      <t xml:space="preserve">節名未見）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</si>
  <si>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平面向量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</si>
  <si>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平面向量的表示法；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平面向量的內積；</t>
    </r>
    <r>
      <rPr>
        <sz val="10"/>
        <rFont val="Arial"/>
        <family val="0"/>
        <charset val="1"/>
      </rPr>
      <t xml:space="preserve">3-3 </t>
    </r>
    <r>
      <rPr>
        <sz val="10"/>
        <rFont val="WenQuanYi Zen Hei"/>
        <family val="2"/>
      </rPr>
      <t xml:space="preserve">面積與二階行列式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</si>
  <si>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按比例成長模型</t>
    </r>
  </si>
  <si>
    <t xml:space="preserve">指數函數；對數函數</t>
  </si>
  <si>
    <t xml:space="preserve">https://www.sanmin.com.tw/product/index/007761890</t>
  </si>
  <si>
    <r>
      <rPr>
        <sz val="10"/>
        <rFont val="WenQuanYi Zen Hei"/>
        <family val="2"/>
      </rPr>
      <t xml:space="preserve">取自三民網路書店配套書（普通型高中數學第三冊</t>
    </r>
    <r>
      <rPr>
        <sz val="10"/>
        <rFont val="Arial"/>
        <family val="0"/>
        <charset val="1"/>
      </rPr>
      <t xml:space="preserve">B</t>
    </r>
    <r>
      <rPr>
        <sz val="10"/>
        <rFont val="WenQuanYi Zen Hei"/>
        <family val="2"/>
      </rPr>
      <t xml:space="preserve">學習講義，</t>
    </r>
    <r>
      <rPr>
        <sz val="10"/>
        <rFont val="Arial"/>
        <family val="0"/>
        <charset val="1"/>
      </rPr>
      <t xml:space="preserve">2020/08/01</t>
    </r>
    <r>
      <rPr>
        <sz val="10"/>
        <rFont val="WenQuanYi Zen Hei"/>
        <family val="2"/>
      </rPr>
      <t xml:space="preserve">）商品頁目次，配合三民（鄭惟厚主編）課本編寫；節名為搜尋摘要所記，可能為簡稱；</t>
    </r>
    <r>
      <rPr>
        <sz val="10"/>
        <rFont val="Arial"/>
        <family val="0"/>
        <charset val="1"/>
      </rPr>
      <t xml:space="preserve">2025</t>
    </r>
    <r>
      <rPr>
        <sz val="10"/>
        <rFont val="WenQuanYi Zen Hei"/>
        <family val="2"/>
      </rPr>
      <t xml:space="preserve">年新版目次未見</t>
    </r>
  </si>
  <si>
    <t xml:space="preserve">弧度量；三角函數與週期現象</t>
  </si>
  <si>
    <t xml:space="preserve">平面向量的表示法；內積；平面上的比例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</si>
  <si>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空間向量</t>
    </r>
  </si>
  <si>
    <t xml:space="preserve">空間概念；空間向量的坐標表示；內積；外積與行列式</t>
  </si>
  <si>
    <t xml:space="preserve">https://www.sanmin.com.tw/product/index/008521408</t>
  </si>
  <si>
    <r>
      <rPr>
        <sz val="10"/>
        <rFont val="WenQuanYi Zen Hei"/>
        <family val="2"/>
      </rPr>
      <t xml:space="preserve">取自三民網路書店配套書（普通型高中數學第四冊</t>
    </r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習作／教學講義／學習講義）商品頁目次，配合三民（鄭惟厚主編）課本編寫；節名為搜尋摘要所記，可能為簡稱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</si>
  <si>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空間中的平面與直線</t>
    </r>
  </si>
  <si>
    <t xml:space="preserve">平面方程式；直線方程式；三元一次方程組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</si>
  <si>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矩陣</t>
    </r>
  </si>
  <si>
    <t xml:space="preserve">線性方程組與矩陣；矩陣運算；矩陣的應用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</si>
  <si>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條件機率與貝氏定理</t>
    </r>
  </si>
  <si>
    <t xml:space="preserve">條件機率與獨立事件；貝氏定理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</si>
  <si>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空間的幾何概念</t>
    </r>
  </si>
  <si>
    <t xml:space="preserve">空間概念；空間坐標；球面與圓錐截痕</t>
  </si>
  <si>
    <t xml:space="preserve">https://www.sanmin.com.tw/product/index/010193633</t>
  </si>
  <si>
    <r>
      <rPr>
        <sz val="10"/>
        <rFont val="WenQuanYi Zen Hei"/>
        <family val="2"/>
      </rPr>
      <t xml:space="preserve">取自三民網路書店配套書（普通型高中數學第四冊</t>
    </r>
    <r>
      <rPr>
        <sz val="10"/>
        <rFont val="Arial"/>
        <family val="0"/>
        <charset val="1"/>
      </rPr>
      <t xml:space="preserve">B</t>
    </r>
    <r>
      <rPr>
        <sz val="10"/>
        <rFont val="WenQuanYi Zen Hei"/>
        <family val="2"/>
      </rPr>
      <t xml:space="preserve">學習講義，</t>
    </r>
    <r>
      <rPr>
        <sz val="10"/>
        <rFont val="Arial"/>
        <family val="0"/>
        <charset val="1"/>
      </rPr>
      <t xml:space="preserve">2023/02/01</t>
    </r>
    <r>
      <rPr>
        <sz val="10"/>
        <rFont val="WenQuanYi Zen Hei"/>
        <family val="2"/>
      </rPr>
      <t xml:space="preserve">）商品頁目次，配合三民（鄭惟厚主編）課本編寫；節名為搜尋摘要所記，可能為簡稱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</si>
  <si>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矩陣</t>
    </r>
  </si>
  <si>
    <t xml:space="preserve">矩陣定義與運算；乘法與反矩陣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</si>
  <si>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條件機率與貝氏定理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</si>
  <si>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極限與函數</t>
    </r>
  </si>
  <si>
    <t xml:space="preserve">數列及其極限；函數與函數圖形的性質；函數的極限</t>
  </si>
  <si>
    <t xml:space="preserve">https://www.sanmin.com.tw/product/index/009636572</t>
  </si>
  <si>
    <r>
      <rPr>
        <sz val="10"/>
        <rFont val="WenQuanYi Zen Hei"/>
        <family val="2"/>
      </rPr>
      <t xml:space="preserve">取自三民網路書店配套書（普通型高中選修數學乙上冊學習講義，</t>
    </r>
    <r>
      <rPr>
        <sz val="10"/>
        <rFont val="Arial"/>
        <family val="0"/>
        <charset val="1"/>
      </rPr>
      <t xml:space="preserve">2023/08</t>
    </r>
    <r>
      <rPr>
        <sz val="10"/>
        <rFont val="WenQuanYi Zen Hei"/>
        <family val="2"/>
      </rPr>
      <t xml:space="preserve">）商品頁目次，配合三民（鄭惟厚主編）課本編寫；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</si>
  <si>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多項式函數的微分</t>
    </r>
  </si>
  <si>
    <t xml:space="preserve">微分；導函數與函數的圖形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</si>
  <si>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多項式函數的積分</t>
    </r>
  </si>
  <si>
    <t xml:space="preserve">積分（其餘節名未見）</t>
  </si>
  <si>
    <t xml:space="preserve">未查到（三民網路書店有乙下冊學習講義、習作商品頁，但搜尋結果未見目次）</t>
  </si>
  <si>
    <t xml:space="preserve">數列及其極限；無窮等比級數；函數與函數圖形的性質；函數的極限</t>
  </si>
  <si>
    <t xml:space="preserve">https://www.sanmin.com.tw/product/index/010611856</t>
  </si>
  <si>
    <r>
      <rPr>
        <sz val="10"/>
        <rFont val="WenQuanYi Zen Hei"/>
        <family val="2"/>
      </rPr>
      <t xml:space="preserve">取自三民網路書店配套書（普通型高中選修數學甲上冊教學講義，</t>
    </r>
    <r>
      <rPr>
        <sz val="10"/>
        <rFont val="Arial"/>
        <family val="0"/>
        <charset val="1"/>
      </rPr>
      <t xml:space="preserve">2023/08</t>
    </r>
    <r>
      <rPr>
        <sz val="10"/>
        <rFont val="WenQuanYi Zen Hei"/>
        <family val="2"/>
      </rPr>
      <t xml:space="preserve">）商品頁目次，配合三民（鄭惟厚主編）課本編寫；習作（</t>
    </r>
    <r>
      <rPr>
        <sz val="10"/>
        <rFont val="Arial"/>
        <family val="0"/>
        <charset val="1"/>
      </rPr>
      <t xml:space="preserve">https://www.sanmin.com.tw/product/index/009636583</t>
    </r>
    <r>
      <rPr>
        <sz val="10"/>
        <rFont val="WenQuanYi Zen Hei"/>
        <family val="2"/>
      </rPr>
      <t xml:space="preserve">）章架構相同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</si>
  <si>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函數的微分</t>
    </r>
  </si>
  <si>
    <t xml:space="preserve">微分與導函數；（導）函數與函數圖形（摘要記為兩節，第二節確切名稱待核）</t>
  </si>
  <si>
    <t xml:space="preserve">黎曼和與積分；積分的應用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</si>
  <si>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二次曲線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</si>
  <si>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拋物線；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橢圓；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雙曲線</t>
    </r>
  </si>
  <si>
    <t xml:space="preserve">https://www.sanmin.com.tw/product/index/010194614</t>
  </si>
  <si>
    <r>
      <rPr>
        <sz val="10"/>
        <rFont val="WenQuanYi Zen Hei"/>
        <family val="2"/>
      </rPr>
      <t xml:space="preserve">取自三民網路書店配套書（普通型高中選修數學甲下冊教學講義）商品頁目次，配合三民（鄭惟厚主編）課本編寫；習作（</t>
    </r>
    <r>
      <rPr>
        <sz val="10"/>
        <rFont val="Arial"/>
        <family val="0"/>
        <charset val="1"/>
      </rPr>
      <t xml:space="preserve">https://www.sanmin.com.tw/product/index/010194617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2024/02</t>
    </r>
    <r>
      <rPr>
        <sz val="10"/>
        <rFont val="WenQuanYi Zen Hei"/>
        <family val="2"/>
      </rPr>
      <t xml:space="preserve">）目次相同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</si>
  <si>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複數與方程式</t>
    </r>
  </si>
  <si>
    <t xml:space="preserve">複數與方程式；複數的幾何意涵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</si>
  <si>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隨機變數及其應用</t>
    </r>
  </si>
  <si>
    <t xml:space="preserve">離散型隨機變數；二項分布及其應用</t>
  </si>
  <si>
    <t xml:space="preserve">基礎化學（一）</t>
  </si>
  <si>
    <r>
      <rPr>
        <sz val="10"/>
        <rFont val="WenQuanYi Zen Hei"/>
        <family val="2"/>
      </rPr>
      <t xml:space="preserve">選修化學</t>
    </r>
    <r>
      <rPr>
        <sz val="10"/>
        <rFont val="Arial"/>
        <family val="0"/>
        <charset val="1"/>
      </rPr>
      <t xml:space="preserve">V</t>
    </r>
  </si>
  <si>
    <t xml:space="preserve">龍騰</t>
  </si>
  <si>
    <r>
      <rPr>
        <sz val="10"/>
        <rFont val="WenQuanYi Zen Hei"/>
        <family val="2"/>
      </rPr>
      <t xml:space="preserve">未查到課名（國立彰化高中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學期計畫僅記「龍騰 </t>
    </r>
    <r>
      <rPr>
        <sz val="10"/>
        <rFont val="Arial"/>
        <family val="0"/>
        <charset val="1"/>
      </rPr>
      <t xml:space="preserve">B1(L1-L3)</t>
    </r>
    <r>
      <rPr>
        <sz val="10"/>
        <rFont val="WenQuanYi Zen Hei"/>
        <family val="2"/>
      </rPr>
      <t xml:space="preserve">」，無課名）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</si>
  <si>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實數</t>
    </r>
  </si>
  <si>
    <t xml:space="preserve">https://www.ltedu.com.tw/web/prodDetail.aspx?ID=9723</t>
  </si>
  <si>
    <r>
      <rPr>
        <sz val="10"/>
        <rFont val="WenQuanYi Zen Hei"/>
        <family val="2"/>
      </rPr>
      <t xml:space="preserve">龍騰普高數學以「單元」取代章節；資料來自龍騰官網產品頁（搜尋結果摘要），頁面未標示學年度；單元編號依產品頁列出順序。另：臺北市大直高中</t>
    </r>
    <r>
      <rPr>
        <sz val="10"/>
        <rFont val="Arial"/>
        <family val="0"/>
        <charset val="1"/>
      </rPr>
      <t xml:space="preserve">111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112</t>
    </r>
    <r>
      <rPr>
        <sz val="10"/>
        <rFont val="WenQuanYi Zen Hei"/>
        <family val="2"/>
      </rPr>
      <t xml:space="preserve">學年度教學計畫（龍騰版）將單元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寫作「科學記號與常用對數」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</si>
  <si>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絕對值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</si>
  <si>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指數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</si>
  <si>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常用對數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</si>
  <si>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直線方程式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</si>
  <si>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圓方程式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</si>
  <si>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圓與直線的關係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</si>
  <si>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8 </t>
    </r>
    <r>
      <rPr>
        <sz val="10"/>
        <rFont val="WenQuanYi Zen Hei"/>
        <family val="2"/>
      </rPr>
      <t xml:space="preserve">多項式的除法原理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</si>
  <si>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9 </t>
    </r>
    <r>
      <rPr>
        <sz val="10"/>
        <rFont val="WenQuanYi Zen Hei"/>
        <family val="2"/>
      </rPr>
      <t xml:space="preserve">一次與二次函數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</si>
  <si>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三次函數的圖形特徵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</si>
  <si>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11 </t>
    </r>
    <r>
      <rPr>
        <sz val="10"/>
        <rFont val="WenQuanYi Zen Hei"/>
        <family val="2"/>
      </rPr>
      <t xml:space="preserve">多項式不等式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</si>
  <si>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數列與遞迴關係</t>
    </r>
  </si>
  <si>
    <t xml:space="preserve">https://senior.wagor.tc.edu.tw/sites/default/files/edu12/21092/FILE_114 學年度課程學習成果內容說明(普一下_黃俊賢).docx</t>
  </si>
  <si>
    <r>
      <rPr>
        <sz val="10"/>
        <rFont val="WenQuanYi Zen Hei"/>
        <family val="2"/>
      </rPr>
      <t xml:space="preserve">臺中市葳格高中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學年度第二學期課程學習成果內容說明（龍騰高中數學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）；單元編號依列出順序。龍騰官網產品頁（</t>
    </r>
    <r>
      <rPr>
        <sz val="10"/>
        <rFont val="Arial"/>
        <family val="0"/>
        <charset val="1"/>
      </rPr>
      <t xml:space="preserve">https://www.ltedu.com.tw/web/prodDetail.aspx?ID=9814</t>
    </r>
    <r>
      <rPr>
        <sz val="10"/>
        <rFont val="WenQuanYi Zen Hei"/>
        <family val="2"/>
      </rPr>
      <t xml:space="preserve">）亦列相同前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單元順序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</si>
  <si>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級數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</si>
  <si>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計數原理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</si>
  <si>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排列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</si>
  <si>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組合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</si>
  <si>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古典機率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</si>
  <si>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數學期望值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</si>
  <si>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8 </t>
    </r>
    <r>
      <rPr>
        <sz val="10"/>
        <rFont val="WenQuanYi Zen Hei"/>
        <family val="2"/>
      </rPr>
      <t xml:space="preserve">一維數據分析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</si>
  <si>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9 </t>
    </r>
    <r>
      <rPr>
        <sz val="10"/>
        <rFont val="WenQuanYi Zen Hei"/>
        <family val="2"/>
      </rPr>
      <t xml:space="preserve">二維數據分析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</si>
  <si>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直角三角形三角比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</si>
  <si>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11 </t>
    </r>
    <r>
      <rPr>
        <sz val="10"/>
        <rFont val="WenQuanYi Zen Hei"/>
        <family val="2"/>
      </rPr>
      <t xml:space="preserve">廣義角三角比與極坐標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</si>
  <si>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12 </t>
    </r>
    <r>
      <rPr>
        <sz val="10"/>
        <rFont val="WenQuanYi Zen Hei"/>
        <family val="2"/>
      </rPr>
      <t xml:space="preserve">三角比的性質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</si>
  <si>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弧度量</t>
    </r>
  </si>
  <si>
    <t xml:space="preserve">https://www.ltedu.com.tw/web/prodDetail.aspx?ID=9994</t>
  </si>
  <si>
    <r>
      <rPr>
        <sz val="10"/>
        <rFont val="WenQuanYi Zen Hei"/>
        <family val="2"/>
      </rPr>
      <t xml:space="preserve">取自龍騰同步參考書《月考王》數學</t>
    </r>
    <r>
      <rPr>
        <sz val="10"/>
        <rFont val="Arial"/>
        <family val="0"/>
        <charset val="1"/>
      </rPr>
      <t xml:space="preserve">3A</t>
    </r>
    <r>
      <rPr>
        <sz val="10"/>
        <rFont val="WenQuanYi Zen Hei"/>
        <family val="2"/>
      </rPr>
      <t xml:space="preserve">產品頁之單元列表（非課本產品頁本身），未必與課本完全一致；頁面未標示學年度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</si>
  <si>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三角函數的圖形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</si>
  <si>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三角的和差角公式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</si>
  <si>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正餘弦的疊合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</si>
  <si>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指數函數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</si>
  <si>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對數與對數律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</si>
  <si>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對數函數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</si>
  <si>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8 </t>
    </r>
    <r>
      <rPr>
        <sz val="10"/>
        <rFont val="WenQuanYi Zen Hei"/>
        <family val="2"/>
      </rPr>
      <t xml:space="preserve">平面向量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</si>
  <si>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9 </t>
    </r>
    <r>
      <rPr>
        <sz val="10"/>
        <rFont val="WenQuanYi Zen Hei"/>
        <family val="2"/>
      </rPr>
      <t xml:space="preserve">平面向量的運算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</si>
  <si>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二元一次聯立方程式</t>
    </r>
  </si>
  <si>
    <t xml:space="preserve">https://www.ltedu.com.tw/web/prodDetail.aspx?ID=9972</t>
  </si>
  <si>
    <r>
      <rPr>
        <sz val="10"/>
        <rFont val="WenQuanYi Zen Hei"/>
        <family val="2"/>
      </rPr>
      <t xml:space="preserve">龍騰普高數學以「單元」取代章節；資料來自龍騰官網產品頁（搜尋結果摘要），頁面未標示學年度；搜尋摘要僅列至單元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，其後是否尚有單元未見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</si>
  <si>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週期性數學模型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</si>
  <si>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指數函數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</si>
  <si>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對數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</si>
  <si>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對數函數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</si>
  <si>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平面向量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</si>
  <si>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平面向量的運算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</si>
  <si>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空間概念</t>
    </r>
  </si>
  <si>
    <t xml:space="preserve">https://www.ltedu.com.tw/web/prodDetail.aspx?ID=10111</t>
  </si>
  <si>
    <t xml:space="preserve">龍騰普高數學以「單元」取代章節；資料來自龍騰官網產品頁（搜尋結果摘要），頁面未標示學年度</t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</si>
  <si>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空間向量的坐標表示法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</si>
  <si>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空間向量的運算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</si>
  <si>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三階行列式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</si>
  <si>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空間中的平面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</si>
  <si>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空間中的直線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</si>
  <si>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條件機率與貝氏定理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</si>
  <si>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8 </t>
    </r>
    <r>
      <rPr>
        <sz val="10"/>
        <rFont val="WenQuanYi Zen Hei"/>
        <family val="2"/>
      </rPr>
      <t xml:space="preserve">三元一次聯立方程式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</si>
  <si>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9 </t>
    </r>
    <r>
      <rPr>
        <sz val="10"/>
        <rFont val="WenQuanYi Zen Hei"/>
        <family val="2"/>
      </rPr>
      <t xml:space="preserve">矩陣的運算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</si>
  <si>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矩陣的應用</t>
    </r>
  </si>
  <si>
    <t xml:space="preserve">https://www.ltedu.com.tw/web/prodDetail.aspx?ID=10102</t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</si>
  <si>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空間坐標系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</si>
  <si>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平面上的比例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</si>
  <si>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條件機率</t>
    </r>
  </si>
  <si>
    <t xml:space="preserve">https://www.ltedu.com.tw/web/prodDetail.aspx?ID=10166</t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</si>
  <si>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4–8</t>
    </r>
    <r>
      <rPr>
        <sz val="10"/>
        <rFont val="WenQuanYi Zen Hei"/>
        <family val="2"/>
      </rPr>
      <t xml:space="preserve">取自龍騰</t>
    </r>
    <r>
      <rPr>
        <sz val="10"/>
        <rFont val="Arial"/>
        <family val="0"/>
        <charset val="1"/>
      </rPr>
      <t xml:space="preserve">4B</t>
    </r>
    <r>
      <rPr>
        <sz val="10"/>
        <rFont val="WenQuanYi Zen Hei"/>
        <family val="2"/>
      </rPr>
      <t xml:space="preserve">配套講義產品頁目錄（非課本產品頁），其單元</t>
    </r>
    <r>
      <rPr>
        <sz val="10"/>
        <rFont val="Arial"/>
        <family val="0"/>
        <charset val="1"/>
      </rPr>
      <t xml:space="preserve">1–3</t>
    </r>
    <r>
      <rPr>
        <sz val="10"/>
        <rFont val="WenQuanYi Zen Hei"/>
        <family val="2"/>
      </rPr>
      <t xml:space="preserve">與課本產品頁一致；頁面未標示學年度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</si>
  <si>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貝氏定理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</si>
  <si>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矩陣的運算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</si>
  <si>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矩陣的應用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</si>
  <si>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8 </t>
    </r>
    <r>
      <rPr>
        <sz val="10"/>
        <rFont val="WenQuanYi Zen Hei"/>
        <family val="2"/>
      </rPr>
      <t xml:space="preserve">圓錐曲線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</si>
  <si>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數列的極限與無窮等比級數</t>
    </r>
  </si>
  <si>
    <t xml:space="preserve">https://www.ltedu.com.tw/web/prodDetail.aspx?ID=10300</t>
  </si>
  <si>
    <r>
      <rPr>
        <sz val="10"/>
        <rFont val="WenQuanYi Zen Hei"/>
        <family val="2"/>
      </rPr>
      <t xml:space="preserve">龍騰普高數學以「單元」取代章節；資料來自龍騰官網產品頁（搜尋結果摘要），頁面未標示學年度；搜尋摘要所列單元與選修數學甲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上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完全相同，建議再核對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</si>
  <si>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函數與函數的極限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</si>
  <si>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微分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</si>
  <si>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函數性質的判定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</si>
  <si>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積分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</si>
  <si>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積分的應用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</si>
  <si>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離散型隨機變數</t>
    </r>
  </si>
  <si>
    <t xml:space="preserve">https://www.ltedu.com.tw/web/prodDetail.aspx?ID=10402</t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</si>
  <si>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二項分布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</si>
  <si>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複數與複數平面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</si>
  <si>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多項式方程式的根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</si>
  <si>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線性規劃</t>
    </r>
  </si>
  <si>
    <t xml:space="preserve">https://www.ltedu.com.tw/web/prodDetail.aspx?ID=10298</t>
  </si>
  <si>
    <t xml:space="preserve">https://www.ltedu.com.tw/web/prodDetail.aspx?ID=10403</t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</si>
  <si>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二項分布與幾何分布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</si>
  <si>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3 </t>
    </r>
    <r>
      <rPr>
        <sz val="10"/>
        <rFont val="WenQuanYi Zen Hei"/>
        <family val="2"/>
      </rPr>
      <t xml:space="preserve">複數與多項式方程式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</si>
  <si>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複數的幾何意涵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</si>
  <si>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5 </t>
    </r>
    <r>
      <rPr>
        <sz val="10"/>
        <rFont val="WenQuanYi Zen Hei"/>
        <family val="2"/>
      </rPr>
      <t xml:space="preserve">拋物線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</si>
  <si>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6 </t>
    </r>
    <r>
      <rPr>
        <sz val="10"/>
        <rFont val="WenQuanYi Zen Hei"/>
        <family val="2"/>
      </rPr>
      <t xml:space="preserve">橢圓</t>
    </r>
  </si>
  <si>
    <r>
      <rPr>
        <sz val="10"/>
        <rFont val="WenQuanYi Zen Hei"/>
        <family val="2"/>
      </rPr>
      <t xml:space="preserve">單元</t>
    </r>
    <r>
      <rPr>
        <sz val="10"/>
        <rFont val="Arial"/>
        <family val="0"/>
        <charset val="1"/>
      </rPr>
      <t xml:space="preserve">7 </t>
    </r>
    <r>
      <rPr>
        <sz val="10"/>
        <rFont val="WenQuanYi Zen Hei"/>
        <family val="2"/>
      </rPr>
      <t xml:space="preserve">雙曲線</t>
    </r>
  </si>
  <si>
    <t xml:space="preserve">生物（全）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</si>
  <si>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細胞的構造與功能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</si>
  <si>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細胞的構造；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細胞及能量；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細胞週期與細胞分裂</t>
    </r>
  </si>
  <si>
    <t xml:space="preserve">https://www.ltedu.com.tw/web/prodDetail.aspx?ID=9724</t>
  </si>
  <si>
    <r>
      <rPr>
        <sz val="10"/>
        <rFont val="WenQuanYi Zen Hei"/>
        <family val="2"/>
      </rPr>
      <t xml:space="preserve">龍騰官網產品頁「生物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」章節目錄；頁面未標學年度；第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章（若有）未在搜尋結果出現；師大附中</t>
    </r>
    <r>
      <rPr>
        <sz val="10"/>
        <rFont val="Arial"/>
        <family val="0"/>
        <charset val="1"/>
      </rPr>
      <t xml:space="preserve">112-2</t>
    </r>
    <r>
      <rPr>
        <sz val="10"/>
        <rFont val="WenQuanYi Zen Hei"/>
        <family val="2"/>
      </rPr>
      <t xml:space="preserve">高一生物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龍騰版進度表（</t>
    </r>
    <r>
      <rPr>
        <sz val="10"/>
        <rFont val="Arial"/>
        <family val="0"/>
        <charset val="1"/>
      </rPr>
      <t xml:space="preserve">https://www.hs.ntnu.edu.tw/static/webroot/G162269151451663/application/NW171325532341341.pdf</t>
    </r>
    <r>
      <rPr>
        <sz val="10"/>
        <rFont val="WenQuanYi Zen Hei"/>
        <family val="2"/>
      </rPr>
      <t xml:space="preserve">）同樣列出</t>
    </r>
    <r>
      <rPr>
        <sz val="10"/>
        <rFont val="Arial"/>
        <family val="0"/>
        <charset val="1"/>
      </rPr>
      <t xml:space="preserve">1-1</t>
    </r>
    <r>
      <rPr>
        <sz val="10"/>
        <rFont val="WenQuanYi Zen Hei"/>
        <family val="2"/>
      </rPr>
      <t xml:space="preserve">～</t>
    </r>
    <r>
      <rPr>
        <sz val="10"/>
        <rFont val="Arial"/>
        <family val="0"/>
        <charset val="1"/>
      </rPr>
      <t xml:space="preserve">1-3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</si>
  <si>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生殖與遺傳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</si>
  <si>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性狀的遺傳；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遺傳物質；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遺傳工程及其應用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</si>
  <si>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演化與多樣的生物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</si>
  <si>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生物的演化；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演化證據與生物分類</t>
    </r>
  </si>
  <si>
    <r>
      <rPr>
        <sz val="10"/>
        <rFont val="WenQuanYi Zen Hei"/>
        <family val="2"/>
      </rPr>
      <t xml:space="preserve">選修生物</t>
    </r>
    <r>
      <rPr>
        <sz val="10"/>
        <rFont val="Arial"/>
        <family val="0"/>
        <charset val="1"/>
      </rPr>
      <t xml:space="preserve">IV</t>
    </r>
    <r>
      <rPr>
        <sz val="10"/>
        <rFont val="WenQuanYi Zen Hei"/>
        <family val="2"/>
      </rPr>
      <t xml:space="preserve">（全）生態、演化及生物多樣性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</si>
  <si>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生物的演化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</si>
  <si>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遺傳變異與演化；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族群遺傳；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現代演化理論的發展；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物種的形成</t>
    </r>
  </si>
  <si>
    <t xml:space="preserve">https://www.ltedu.com.tw/web/prodDetail.aspx?ID=10308</t>
  </si>
  <si>
    <r>
      <rPr>
        <sz val="10"/>
        <rFont val="WenQuanYi Zen Hei"/>
        <family val="2"/>
      </rPr>
      <t xml:space="preserve">龍騰官網產品頁「選修生物Ⅳ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生態、演化及生物多樣性」（書號</t>
    </r>
    <r>
      <rPr>
        <sz val="10"/>
        <rFont val="Arial"/>
        <family val="0"/>
        <charset val="1"/>
      </rPr>
      <t xml:space="preserve">65006</t>
    </r>
    <r>
      <rPr>
        <sz val="10"/>
        <rFont val="WenQuanYi Zen Hei"/>
        <family val="2"/>
      </rPr>
      <t xml:space="preserve">）；頁面未標學年度；師大附中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學期高三選修生物（龍騰版）進度表（</t>
    </r>
    <r>
      <rPr>
        <sz val="10"/>
        <rFont val="Arial"/>
        <family val="0"/>
        <charset val="1"/>
      </rPr>
      <t xml:space="preserve">https://www.hs.ntnu.edu.tw/static/webroot/G162269151451663/application/NW177276101098806.pdf</t>
    </r>
    <r>
      <rPr>
        <sz val="10"/>
        <rFont val="WenQuanYi Zen Hei"/>
        <family val="2"/>
      </rPr>
      <t xml:space="preserve">）列出的</t>
    </r>
    <r>
      <rPr>
        <sz val="10"/>
        <rFont val="Arial"/>
        <family val="0"/>
        <charset val="1"/>
      </rPr>
      <t xml:space="preserve">1-1</t>
    </r>
    <r>
      <rPr>
        <sz val="10"/>
        <rFont val="WenQuanYi Zen Hei"/>
        <family val="2"/>
      </rPr>
      <t xml:space="preserve">～</t>
    </r>
    <r>
      <rPr>
        <sz val="10"/>
        <rFont val="Arial"/>
        <family val="0"/>
        <charset val="1"/>
      </rPr>
      <t xml:space="preserve">1-4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2-1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2-2</t>
    </r>
    <r>
      <rPr>
        <sz val="10"/>
        <rFont val="WenQuanYi Zen Hei"/>
        <family val="2"/>
      </rPr>
      <t xml:space="preserve">與此一致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</si>
  <si>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生物與環境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</si>
  <si>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生態學的研究內容；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族群；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群集；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生態系；</t>
    </r>
    <r>
      <rPr>
        <sz val="10"/>
        <rFont val="Arial"/>
        <family val="0"/>
        <charset val="1"/>
      </rPr>
      <t xml:space="preserve">2-5 </t>
    </r>
    <r>
      <rPr>
        <sz val="10"/>
        <rFont val="WenQuanYi Zen Hei"/>
        <family val="2"/>
      </rPr>
      <t xml:space="preserve">多樣的生態系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</si>
  <si>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生物多樣性與保育</t>
    </r>
  </si>
  <si>
    <r>
      <rPr>
        <sz val="10"/>
        <rFont val="Arial"/>
        <family val="0"/>
        <charset val="1"/>
      </rPr>
      <t xml:space="preserve">3-1 </t>
    </r>
    <r>
      <rPr>
        <sz val="10"/>
        <rFont val="WenQuanYi Zen Hei"/>
        <family val="2"/>
      </rPr>
      <t xml:space="preserve">生物多樣性；</t>
    </r>
    <r>
      <rPr>
        <sz val="10"/>
        <rFont val="Arial"/>
        <family val="0"/>
        <charset val="1"/>
      </rPr>
      <t xml:space="preserve">3-2 </t>
    </r>
    <r>
      <rPr>
        <sz val="10"/>
        <rFont val="WenQuanYi Zen Hei"/>
        <family val="2"/>
      </rPr>
      <t xml:space="preserve">人類與生態系</t>
    </r>
  </si>
  <si>
    <r>
      <rPr>
        <sz val="10"/>
        <rFont val="WenQuanYi Zen Hei"/>
        <family val="2"/>
      </rPr>
      <t xml:space="preserve">選修生物</t>
    </r>
    <r>
      <rPr>
        <sz val="10"/>
        <rFont val="Arial"/>
        <family val="0"/>
        <charset val="1"/>
      </rPr>
      <t xml:space="preserve">III</t>
    </r>
    <r>
      <rPr>
        <sz val="10"/>
        <rFont val="WenQuanYi Zen Hei"/>
        <family val="2"/>
      </rPr>
      <t xml:space="preserve">（全）動物體的構造與功能</t>
    </r>
  </si>
  <si>
    <t xml:space="preserve">https://www.ltedu.com.tw/web/prodDetail.aspx?ID=10118</t>
  </si>
  <si>
    <t xml:space="preserve">未查到；龍騰官網有此書產品頁，但搜尋額度用完前沒有取得目錄</t>
  </si>
  <si>
    <r>
      <rPr>
        <sz val="10"/>
        <rFont val="WenQuanYi Zen Hei"/>
        <family val="2"/>
      </rPr>
      <t xml:space="preserve">選修生物</t>
    </r>
    <r>
      <rPr>
        <sz val="10"/>
        <rFont val="Arial"/>
        <family val="0"/>
        <charset val="1"/>
      </rPr>
      <t xml:space="preserve">II</t>
    </r>
    <r>
      <rPr>
        <sz val="10"/>
        <rFont val="WenQuanYi Zen Hei"/>
        <family val="2"/>
      </rPr>
      <t xml:space="preserve">（全）生命的起源與植物體的構造與功能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</si>
  <si>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生命的起源</t>
    </r>
  </si>
  <si>
    <t xml:space="preserve">生物起源的主要假說；生物起源的過程；生命型式的演化歷程（轉述）</t>
  </si>
  <si>
    <t xml:space="preserve">https://www.ltedu.com.tw/web/prodDetail.aspx?ID=9984</t>
  </si>
  <si>
    <r>
      <rPr>
        <sz val="10"/>
        <rFont val="WenQuanYi Zen Hei"/>
        <family val="2"/>
      </rPr>
      <t xml:space="preserve">龍騰官網產品頁「選修生物</t>
    </r>
    <r>
      <rPr>
        <sz val="10"/>
        <rFont val="Arial"/>
        <family val="0"/>
        <charset val="1"/>
      </rPr>
      <t xml:space="preserve">II(</t>
    </r>
    <r>
      <rPr>
        <sz val="10"/>
        <rFont val="WenQuanYi Zen Hei"/>
        <family val="2"/>
      </rPr>
      <t xml:space="preserve">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生命的起源與植物體的構造與功能」；頁面未標學年度；搜尋摘要只列前三章，章名與節名是摘要的轉述，未附節號，請以原頁核對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</si>
  <si>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植物體的形態、構造與功能（轉述）</t>
    </r>
  </si>
  <si>
    <t xml:space="preserve">植物體的組成層次；營養器官的形態、構造與功能（轉述）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</si>
  <si>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植物體的物質吸收、合成與運輸（轉述）</t>
    </r>
  </si>
  <si>
    <t xml:space="preserve">水和礦物質的吸收與運輸；光合作用；有機養分的運輸（轉述）</t>
  </si>
  <si>
    <r>
      <rPr>
        <sz val="10"/>
        <rFont val="WenQuanYi Zen Hei"/>
        <family val="2"/>
      </rPr>
      <t xml:space="preserve">選修生物</t>
    </r>
    <r>
      <rPr>
        <sz val="10"/>
        <rFont val="Arial"/>
        <family val="0"/>
        <charset val="1"/>
      </rPr>
      <t xml:space="preserve">I</t>
    </r>
    <r>
      <rPr>
        <sz val="10"/>
        <rFont val="WenQuanYi Zen Hei"/>
        <family val="2"/>
      </rPr>
      <t xml:space="preserve">（全）細胞與遺傳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</si>
  <si>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細胞的特性</t>
    </r>
  </si>
  <si>
    <t xml:space="preserve">分子組成；細胞構造與功能；細胞生命歷程（轉述）</t>
  </si>
  <si>
    <t xml:space="preserve">https://www.ltedu.com.tw/web/prodDetail.aspx?ID=9990</t>
  </si>
  <si>
    <r>
      <rPr>
        <sz val="10"/>
        <rFont val="WenQuanYi Zen Hei"/>
        <family val="2"/>
      </rPr>
      <t xml:space="preserve">龍騰官網產品頁「選修生物</t>
    </r>
    <r>
      <rPr>
        <sz val="10"/>
        <rFont val="Arial"/>
        <family val="0"/>
        <charset val="1"/>
      </rPr>
      <t xml:space="preserve">I(</t>
    </r>
    <r>
      <rPr>
        <sz val="10"/>
        <rFont val="WenQuanYi Zen Hei"/>
        <family val="2"/>
      </rPr>
      <t xml:space="preserve">全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細胞與遺傳」（書號</t>
    </r>
    <r>
      <rPr>
        <sz val="10"/>
        <rFont val="Arial"/>
        <family val="0"/>
        <charset val="1"/>
      </rPr>
      <t xml:space="preserve">65003</t>
    </r>
    <r>
      <rPr>
        <sz val="10"/>
        <rFont val="WenQuanYi Zen Hei"/>
        <family val="2"/>
      </rPr>
      <t xml:space="preserve">）；頁面未標學年度；搜尋摘要沒有逐字列出節名，以下節名是摘要的轉述，未附節號，請以原頁核對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</si>
  <si>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細胞的代謝與能量（轉述）</t>
    </r>
  </si>
  <si>
    <t xml:space="preserve">代謝作用；呼吸作用與能量的流轉使用（轉述）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</si>
  <si>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從染色體到</t>
    </r>
    <r>
      <rPr>
        <sz val="10"/>
        <rFont val="Arial"/>
        <family val="0"/>
        <charset val="1"/>
      </rPr>
      <t xml:space="preserve">DNA</t>
    </r>
  </si>
  <si>
    <r>
      <rPr>
        <sz val="10"/>
        <rFont val="WenQuanYi Zen Hei"/>
        <family val="2"/>
      </rPr>
      <t xml:space="preserve">遺傳的染色體學說驗證；遺傳訊息分子；</t>
    </r>
    <r>
      <rPr>
        <sz val="10"/>
        <rFont val="Arial"/>
        <family val="0"/>
        <charset val="1"/>
      </rPr>
      <t xml:space="preserve">DNA</t>
    </r>
    <r>
      <rPr>
        <sz val="10"/>
        <rFont val="WenQuanYi Zen Hei"/>
        <family val="2"/>
      </rPr>
      <t xml:space="preserve">結構（轉述）</t>
    </r>
  </si>
  <si>
    <r>
      <rPr>
        <sz val="10"/>
        <rFont val="WenQuanYi Zen Hei"/>
        <family val="2"/>
      </rPr>
      <t xml:space="preserve">龍騰官網產品頁「選修生物</t>
    </r>
    <r>
      <rPr>
        <sz val="10"/>
        <rFont val="Arial"/>
        <family val="0"/>
        <charset val="1"/>
      </rPr>
      <t xml:space="preserve">I(</t>
    </r>
    <r>
      <rPr>
        <sz val="10"/>
        <rFont val="WenQuanYi Zen Hei"/>
        <family val="2"/>
      </rPr>
      <t xml:space="preserve">全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細胞與遺傳」（書號</t>
    </r>
    <r>
      <rPr>
        <sz val="10"/>
        <rFont val="Arial"/>
        <family val="0"/>
        <charset val="1"/>
      </rPr>
      <t xml:space="preserve">65003</t>
    </r>
    <r>
      <rPr>
        <sz val="10"/>
        <rFont val="WenQuanYi Zen Hei"/>
        <family val="2"/>
      </rPr>
      <t xml:space="preserve">）；頁面未標學年度；搜尋摘要沒有逐字列出節名，以下節名是摘要的轉述，未附節號，請以原頁核對；章名「從染色體到</t>
    </r>
    <r>
      <rPr>
        <sz val="10"/>
        <rFont val="Arial"/>
        <family val="0"/>
        <charset val="1"/>
      </rPr>
      <t xml:space="preserve">DNA</t>
    </r>
    <r>
      <rPr>
        <sz val="10"/>
        <rFont val="WenQuanYi Zen Hei"/>
        <family val="2"/>
      </rPr>
      <t xml:space="preserve">」見於學習卷與教學講義，官網課本頁寫法可能略有不同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</si>
  <si>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</t>
    </r>
    <r>
      <rPr>
        <sz val="10"/>
        <rFont val="Arial"/>
        <family val="0"/>
        <charset val="1"/>
      </rPr>
      <t xml:space="preserve">DNA</t>
    </r>
    <r>
      <rPr>
        <sz val="10"/>
        <rFont val="WenQuanYi Zen Hei"/>
        <family val="2"/>
      </rPr>
      <t xml:space="preserve">與生物科技</t>
    </r>
  </si>
  <si>
    <r>
      <rPr>
        <sz val="10"/>
        <rFont val="Arial"/>
        <family val="0"/>
        <charset val="1"/>
      </rPr>
      <t xml:space="preserve">DNA</t>
    </r>
    <r>
      <rPr>
        <sz val="10"/>
        <rFont val="WenQuanYi Zen Hei"/>
        <family val="2"/>
      </rPr>
      <t xml:space="preserve">複製；基因表現；基因表現調控；遺傳變異；生物科技（轉述）</t>
    </r>
  </si>
  <si>
    <t xml:space="preserve">測量與不確定度</t>
  </si>
  <si>
    <t xml:space="preserve">https://oldcsjh.kl.edu.tw/docs/file/421/112_1_%E9%AB%98%E4%BA%8C%E9%81%B8%E4%BF%AE%E7%89%A9%E7%90%86%E6%95%99%E5%AD%B8%E8%A8%88%E7%95%AB.docx</t>
  </si>
  <si>
    <r>
      <rPr>
        <sz val="10"/>
        <rFont val="WenQuanYi Zen Hei"/>
        <family val="2"/>
      </rPr>
      <t xml:space="preserve">基隆市立中山高中</t>
    </r>
    <r>
      <rPr>
        <sz val="10"/>
        <rFont val="Arial"/>
        <family val="0"/>
        <charset val="1"/>
      </rPr>
      <t xml:space="preserve">112</t>
    </r>
    <r>
      <rPr>
        <sz val="10"/>
        <rFont val="WenQuanYi Zen Hei"/>
        <family val="2"/>
      </rPr>
      <t xml:space="preserve">學年度第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學期高二選修物理教學計畫，教材：龍騰版選修物理</t>
    </r>
    <r>
      <rPr>
        <sz val="10"/>
        <rFont val="Arial"/>
        <family val="0"/>
        <charset val="1"/>
      </rPr>
      <t xml:space="preserve">I</t>
    </r>
    <r>
      <rPr>
        <sz val="10"/>
        <rFont val="WenQuanYi Zen Hei"/>
        <family val="2"/>
      </rPr>
      <t xml:space="preserve">；來源只列單元名稱，沒有章號；未查到</t>
    </r>
    <r>
      <rPr>
        <sz val="10"/>
        <rFont val="Arial"/>
        <family val="0"/>
        <charset val="1"/>
      </rPr>
      <t xml:space="preserve">115/114</t>
    </r>
    <r>
      <rPr>
        <sz val="10"/>
        <rFont val="WenQuanYi Zen Hei"/>
        <family val="2"/>
      </rPr>
      <t xml:space="preserve">學年度資料；章節文字取自搜尋引擎對來源內容的摘要，請以原檔核對</t>
    </r>
  </si>
  <si>
    <t xml:space="preserve">直線運動</t>
  </si>
  <si>
    <t xml:space="preserve">平面運動</t>
  </si>
  <si>
    <t xml:space="preserve">牛頓運動定律</t>
  </si>
  <si>
    <t xml:space="preserve">週期運動</t>
  </si>
  <si>
    <t xml:space="preserve">萬有引力</t>
  </si>
  <si>
    <t xml:space="preserve">（佐證）直線運動、週期性運動、萬有引力、測量與不確定度（實驗單元）</t>
  </si>
  <si>
    <t xml:space="preserve">https://www.hs.ntnu.edu.tw/static/webroot/G162269151451663/application/NW172662319529837.pdf</t>
  </si>
  <si>
    <r>
      <rPr>
        <sz val="10"/>
        <rFont val="WenQuanYi Zen Hei"/>
        <family val="2"/>
      </rPr>
      <t xml:space="preserve">師大附中</t>
    </r>
    <r>
      <rPr>
        <sz val="10"/>
        <rFont val="Arial"/>
        <family val="0"/>
        <charset val="1"/>
      </rPr>
      <t xml:space="preserve">113</t>
    </r>
    <r>
      <rPr>
        <sz val="10"/>
        <rFont val="WenQuanYi Zen Hei"/>
        <family val="2"/>
      </rPr>
      <t xml:space="preserve">學年度第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學期選修物理第一冊進度表，採龍騰版；僅見單元名稱，沒有章號；章節文字取自搜尋引擎對來源內容的摘要，請以原檔核對</t>
    </r>
  </si>
  <si>
    <t xml:space="preserve">https://schoolday.dcsh.tp.edu.tw/sites/schoolday/files/teach_plan/113-1/%E5%BB%96%E5%AE%87%E6%96%B0-%E5%8A%9B%E5%AD%B8%E4%B8%80-206%2C%20209.docx</t>
  </si>
  <si>
    <r>
      <rPr>
        <sz val="10"/>
        <rFont val="WenQuanYi Zen Hei"/>
        <family val="2"/>
      </rPr>
      <t xml:space="preserve">未查到章節；大直高中</t>
    </r>
    <r>
      <rPr>
        <sz val="10"/>
        <rFont val="Arial"/>
        <family val="0"/>
        <charset val="1"/>
      </rPr>
      <t xml:space="preserve">113-1</t>
    </r>
    <r>
      <rPr>
        <sz val="10"/>
        <rFont val="WenQuanYi Zen Hei"/>
        <family val="2"/>
      </rPr>
      <t xml:space="preserve">只寫「採用龍騰版選修物理</t>
    </r>
    <r>
      <rPr>
        <sz val="10"/>
        <rFont val="Arial"/>
        <family val="0"/>
        <charset val="1"/>
      </rPr>
      <t xml:space="preserve">(I.II)…</t>
    </r>
    <r>
      <rPr>
        <sz val="10"/>
        <rFont val="WenQuanYi Zen Hei"/>
        <family val="2"/>
      </rPr>
      <t xml:space="preserve">包含力學與熱學」，未列單元</t>
    </r>
  </si>
  <si>
    <t xml:space="preserve">波動</t>
  </si>
  <si>
    <t xml:space="preserve">https://schoolday.dcsh.tp.edu.tw/sites/schoolday/files/teach_plan/110-2/h271-%E7%89%A9%E7%90%86-306.docx</t>
  </si>
  <si>
    <r>
      <rPr>
        <sz val="10"/>
        <rFont val="WenQuanYi Zen Hei"/>
        <family val="2"/>
      </rPr>
      <t xml:space="preserve">大直高中</t>
    </r>
    <r>
      <rPr>
        <sz val="10"/>
        <rFont val="Arial"/>
        <family val="0"/>
        <charset val="1"/>
      </rPr>
      <t xml:space="preserve">110</t>
    </r>
    <r>
      <rPr>
        <sz val="10"/>
        <rFont val="WenQuanYi Zen Hei"/>
        <family val="2"/>
      </rPr>
      <t xml:space="preserve">學年度第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學期教學活動計畫書，教材：龍騰 選修物理</t>
    </r>
    <r>
      <rPr>
        <sz val="10"/>
        <rFont val="Arial"/>
        <family val="0"/>
        <charset val="1"/>
      </rPr>
      <t xml:space="preserve">III</t>
    </r>
    <r>
      <rPr>
        <sz val="10"/>
        <rFont val="WenQuanYi Zen Hei"/>
        <family val="2"/>
      </rPr>
      <t xml:space="preserve">；來源寫「本冊共分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章，包含波動、聲波、幾何光學及物理光學」，未列節名，也未標各章章號（僅依列出順序）；未查到</t>
    </r>
    <r>
      <rPr>
        <sz val="10"/>
        <rFont val="Arial"/>
        <family val="0"/>
        <charset val="1"/>
      </rPr>
      <t xml:space="preserve">115/114</t>
    </r>
    <r>
      <rPr>
        <sz val="10"/>
        <rFont val="WenQuanYi Zen Hei"/>
        <family val="2"/>
      </rPr>
      <t xml:space="preserve">學年度資料；章節文字取自搜尋引擎對來源內容的摘要，請以原檔核對</t>
    </r>
  </si>
  <si>
    <t xml:space="preserve">聲波</t>
  </si>
  <si>
    <t xml:space="preserve">幾何光學</t>
  </si>
  <si>
    <t xml:space="preserve">物理光學</t>
  </si>
  <si>
    <t xml:space="preserve">靜電學</t>
  </si>
  <si>
    <t xml:space="preserve">https://schoolday.dcsh.tp.edu.tw/sites/schoolday/files/teach_plan/113-1/%E9%BB%83%E4%BF%A1%E9%9B%84-%E7%89%A9%E7%90%86-310.docx</t>
  </si>
  <si>
    <r>
      <rPr>
        <sz val="10"/>
        <rFont val="WenQuanYi Zen Hei"/>
        <family val="2"/>
      </rPr>
      <t xml:space="preserve">大直高中</t>
    </r>
    <r>
      <rPr>
        <sz val="10"/>
        <rFont val="Arial"/>
        <family val="0"/>
        <charset val="1"/>
      </rPr>
      <t xml:space="preserve">113</t>
    </r>
    <r>
      <rPr>
        <sz val="10"/>
        <rFont val="WenQuanYi Zen Hei"/>
        <family val="2"/>
      </rPr>
      <t xml:space="preserve">學年度第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學期（黃信雄，</t>
    </r>
    <r>
      <rPr>
        <sz val="10"/>
        <rFont val="Arial"/>
        <family val="0"/>
        <charset val="1"/>
      </rPr>
      <t xml:space="preserve">H310</t>
    </r>
    <r>
      <rPr>
        <sz val="10"/>
        <rFont val="WenQuanYi Zen Hei"/>
        <family val="2"/>
      </rPr>
      <t xml:space="preserve">）：採用龍騰版選修物理</t>
    </r>
    <r>
      <rPr>
        <sz val="10"/>
        <rFont val="Arial"/>
        <family val="0"/>
        <charset val="1"/>
      </rPr>
      <t xml:space="preserve">(III.IV)</t>
    </r>
    <r>
      <rPr>
        <sz val="10"/>
        <rFont val="WenQuanYi Zen Hei"/>
        <family val="2"/>
      </rPr>
      <t xml:space="preserve">，內容包含波動、聲波、幾何光學、物理光學、靜電學。來源把</t>
    </r>
    <r>
      <rPr>
        <sz val="10"/>
        <rFont val="Arial"/>
        <family val="0"/>
        <charset val="1"/>
      </rPr>
      <t xml:space="preserve">III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IV</t>
    </r>
    <r>
      <rPr>
        <sz val="10"/>
        <rFont val="WenQuanYi Zen Hei"/>
        <family val="2"/>
      </rPr>
      <t xml:space="preserve">合併列出；因另一份來源寫</t>
    </r>
    <r>
      <rPr>
        <sz val="10"/>
        <rFont val="Arial"/>
        <family val="0"/>
        <charset val="1"/>
      </rPr>
      <t xml:space="preserve">III</t>
    </r>
    <r>
      <rPr>
        <sz val="10"/>
        <rFont val="WenQuanYi Zen Hei"/>
        <family val="2"/>
      </rPr>
      <t xml:space="preserve">共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章（波動至物理光學），推定靜電學屬</t>
    </r>
    <r>
      <rPr>
        <sz val="10"/>
        <rFont val="Arial"/>
        <family val="0"/>
        <charset val="1"/>
      </rPr>
      <t xml:space="preserve">IV</t>
    </r>
    <r>
      <rPr>
        <sz val="10"/>
        <rFont val="WenQuanYi Zen Hei"/>
        <family val="2"/>
      </rPr>
      <t xml:space="preserve">。</t>
    </r>
    <r>
      <rPr>
        <sz val="10"/>
        <rFont val="Arial"/>
        <family val="0"/>
        <charset val="1"/>
      </rPr>
      <t xml:space="preserve">IV</t>
    </r>
    <r>
      <rPr>
        <sz val="10"/>
        <rFont val="WenQuanYi Zen Hei"/>
        <family val="2"/>
      </rPr>
      <t xml:space="preserve">其餘章節未查到；章節文字取自搜尋引擎對來源內容的摘要，請以原檔核對</t>
    </r>
  </si>
  <si>
    <r>
      <rPr>
        <sz val="10"/>
        <rFont val="WenQuanYi Zen Hei"/>
        <family val="2"/>
      </rPr>
      <t xml:space="preserve">未查到；只找到大直高中</t>
    </r>
    <r>
      <rPr>
        <sz val="10"/>
        <rFont val="Arial"/>
        <family val="0"/>
        <charset val="1"/>
      </rPr>
      <t xml:space="preserve">102</t>
    </r>
    <r>
      <rPr>
        <sz val="10"/>
        <rFont val="WenQuanYi Zen Hei"/>
        <family val="2"/>
      </rPr>
      <t xml:space="preserve">學年度（</t>
    </r>
    <r>
      <rPr>
        <sz val="10"/>
        <rFont val="Arial"/>
        <family val="0"/>
        <charset val="1"/>
      </rPr>
      <t xml:space="preserve">99</t>
    </r>
    <r>
      <rPr>
        <sz val="10"/>
        <rFont val="WenQuanYi Zen Hei"/>
        <family val="2"/>
      </rPr>
      <t xml:space="preserve">課綱舊版）龍騰版基礎物理九章的資料，不是現行版，因此沒有採用</t>
    </r>
  </si>
  <si>
    <t xml:space="preserve">化學（全）</t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</si>
  <si>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物質的分類；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原子與分子；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原子量與莫耳數；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原子結構與元素週期表</t>
    </r>
  </si>
  <si>
    <t xml:space="preserve">https://www.hs.ntnu.edu.tw/static/webroot/G162269151451663/application/NW172662311667323.pdf</t>
  </si>
  <si>
    <r>
      <rPr>
        <sz val="10"/>
        <rFont val="WenQuanYi Zen Hei"/>
        <family val="2"/>
      </rPr>
      <t xml:space="preserve">師大附中</t>
    </r>
    <r>
      <rPr>
        <sz val="10"/>
        <rFont val="Arial"/>
        <family val="0"/>
        <charset val="1"/>
      </rPr>
      <t xml:space="preserve">113</t>
    </r>
    <r>
      <rPr>
        <sz val="10"/>
        <rFont val="WenQuanYi Zen Hei"/>
        <family val="2"/>
      </rPr>
      <t xml:space="preserve">學年度第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學期高一進度表，課程名稱：化學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，教科書版本：龍騰；章名未見；摘要只到第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週；未查到</t>
    </r>
    <r>
      <rPr>
        <sz val="10"/>
        <rFont val="Arial"/>
        <family val="0"/>
        <charset val="1"/>
      </rPr>
      <t xml:space="preserve">115/114</t>
    </r>
    <r>
      <rPr>
        <sz val="10"/>
        <rFont val="WenQuanYi Zen Hei"/>
        <family val="2"/>
      </rPr>
      <t xml:space="preserve">學年度資料；章節文字取自搜尋引擎對來源內容的摘要，請以原檔核對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</si>
  <si>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化學鍵；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化學反應與化學計量</t>
    </r>
  </si>
  <si>
    <r>
      <rPr>
        <sz val="10"/>
        <rFont val="WenQuanYi Zen Hei"/>
        <family val="2"/>
      </rPr>
      <t xml:space="preserve">師大附中</t>
    </r>
    <r>
      <rPr>
        <sz val="10"/>
        <rFont val="Arial"/>
        <family val="0"/>
        <charset val="1"/>
      </rPr>
      <t xml:space="preserve">113</t>
    </r>
    <r>
      <rPr>
        <sz val="10"/>
        <rFont val="WenQuanYi Zen Hei"/>
        <family val="2"/>
      </rPr>
      <t xml:space="preserve">學年度第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學期高一進度表，課程名稱：化學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，教科書版本：龍騰；章名未見；摘要只到第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週；未查到</t>
    </r>
    <r>
      <rPr>
        <sz val="10"/>
        <rFont val="Arial"/>
        <family val="0"/>
        <charset val="1"/>
      </rPr>
      <t xml:space="preserve">115/114</t>
    </r>
    <r>
      <rPr>
        <sz val="10"/>
        <rFont val="WenQuanYi Zen Hei"/>
        <family val="2"/>
      </rPr>
      <t xml:space="preserve">學年度資料；章節文字取自搜尋引擎對來源內容的摘要，請以原檔核對；「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化學反應與化學計量」出自龍騰化學課程地圖說明頁 </t>
    </r>
    <r>
      <rPr>
        <sz val="10"/>
        <rFont val="Arial"/>
        <family val="0"/>
        <charset val="1"/>
      </rPr>
      <t xml:space="preserve">https://www.ltedu.com.tw/Web/Sharefile/EDM/curriculum-map/ghs/chem/index.html 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2-2</t>
    </r>
    <r>
      <rPr>
        <sz val="10"/>
        <rFont val="WenQuanYi Zen Hei"/>
        <family val="2"/>
      </rPr>
      <t xml:space="preserve">未見</t>
    </r>
  </si>
  <si>
    <t xml:space="preserve">基礎地球科學</t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</si>
  <si>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地球的起源；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大氣與海洋的演變；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探索地球的歷史</t>
    </r>
  </si>
  <si>
    <t xml:space="preserve">https://www.hs.ntnu.edu.tw/static/webroot/G162269151451663/application/NW175876360256029.pdf</t>
  </si>
  <si>
    <r>
      <rPr>
        <sz val="10"/>
        <rFont val="WenQuanYi Zen Hei"/>
        <family val="2"/>
      </rPr>
      <t xml:space="preserve">師大附中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學期地球科學進度表，課程名稱：基礎地球科學，教科書版本：龍騰；年級欄填「一」；章名未見；摘要只到第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週，第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章以後未見；未查到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學年度資料；章節文字取自搜尋引擎對來源內容的摘要，請以原檔核對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</si>
  <si>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地震波與地球內部分層；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地表與地殼的變動；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地震災害</t>
    </r>
  </si>
  <si>
    <t xml:space="preserve">（來源列教學主題，沒有章號）</t>
  </si>
  <si>
    <t xml:space="preserve">地球的歷史；固體地球的結構與組成；大氣；海洋；地球與太空；氣候變遷之影響與調適；永續發展與資源的利用</t>
  </si>
  <si>
    <t xml:space="preserve">https://oldcsjh.kl.edu.tw/docs/file/451/113_1_%E9%AB%98%E4%B8%80%E5%9C%B0%E7%90%83%E7%A7%91%E5%AD%B8%E6%95%99%E5%AD%B8%E8%A8%88%E7%95%AB.docx</t>
  </si>
  <si>
    <r>
      <rPr>
        <sz val="10"/>
        <rFont val="WenQuanYi Zen Hei"/>
        <family val="2"/>
      </rPr>
      <t xml:space="preserve">基隆市立中山高中</t>
    </r>
    <r>
      <rPr>
        <sz val="10"/>
        <rFont val="Arial"/>
        <family val="0"/>
        <charset val="1"/>
      </rPr>
      <t xml:space="preserve">113</t>
    </r>
    <r>
      <rPr>
        <sz val="10"/>
        <rFont val="WenQuanYi Zen Hei"/>
        <family val="2"/>
      </rPr>
      <t xml:space="preserve">學年度第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學期高一地球科學教學計畫，採龍騰版；只列七大教學主題，不一定等於課本章名；章節文字取自搜尋引擎對來源內容的摘要，請以原檔核對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</si>
  <si>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臺灣的原住民族</t>
    </r>
  </si>
  <si>
    <t xml:space="preserve">https://www.ltedu.com.tw/web/prodDetail.aspx?ID=9753</t>
  </si>
  <si>
    <r>
      <rPr>
        <sz val="10"/>
        <rFont val="WenQuanYi Zen Hei"/>
        <family val="2"/>
      </rPr>
      <t xml:space="preserve">第一篇 多元族群社會的形成；產品頁未標學年度；來源未標示學年度（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</si>
  <si>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移民社會的形成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</si>
  <si>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帝國的邊陲</t>
    </r>
  </si>
  <si>
    <r>
      <rPr>
        <sz val="10"/>
        <rFont val="WenQuanYi Zen Hei"/>
        <family val="2"/>
      </rPr>
      <t xml:space="preserve">第二篇 現代國家的形塑；產品頁未標學年度；來源未標示學年度（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</si>
  <si>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臺澎金馬一體化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</si>
  <si>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十六至十九世紀臺灣的經濟活動</t>
    </r>
  </si>
  <si>
    <r>
      <rPr>
        <sz val="10"/>
        <rFont val="WenQuanYi Zen Hei"/>
        <family val="2"/>
      </rPr>
      <t xml:space="preserve">第三篇 經濟與文化的多樣性；產品頁未標學年度；來源未標示學年度（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</si>
  <si>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二十世紀臺灣的經濟發展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</si>
  <si>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章 文學、藝術發展與信仰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</si>
  <si>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傳統政治權威的形塑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</si>
  <si>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節 東亞各國政治權威的建立</t>
    </r>
  </si>
  <si>
    <t xml:space="preserve">https://ltedu.com.tw/web/prodDetail.aspx?1=&amp;ID=9861</t>
  </si>
  <si>
    <r>
      <rPr>
        <sz val="10"/>
        <rFont val="WenQuanYi Zen Hei"/>
        <family val="2"/>
      </rPr>
      <t xml:space="preserve">第一篇 國家與社會；節名僅見第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節（引自龍騰學測模擬題出處標示）；產品頁未標學年度；來源未標示學年度（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</si>
  <si>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國家統治與社會結構</t>
    </r>
  </si>
  <si>
    <r>
      <rPr>
        <sz val="10"/>
        <rFont val="WenQuanYi Zen Hei"/>
        <family val="2"/>
      </rPr>
      <t xml:space="preserve">第一篇 國家與社會；產品頁未標學年度；來源未標示學年度（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</si>
  <si>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近代以前的人群移動與交流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</si>
  <si>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十四至十八世紀的東亞人群移動</t>
    </r>
  </si>
  <si>
    <r>
      <rPr>
        <sz val="10"/>
        <rFont val="WenQuanYi Zen Hei"/>
        <family val="2"/>
      </rPr>
      <t xml:space="preserve">第二篇 人群的移動與交流；節名僅見第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節；產品頁未標學年度；來源未標示學年度（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</si>
  <si>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近代以後的東亞人群移動及影響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</si>
  <si>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近代華人的移動</t>
    </r>
  </si>
  <si>
    <r>
      <rPr>
        <sz val="10"/>
        <rFont val="WenQuanYi Zen Hei"/>
        <family val="2"/>
      </rPr>
      <t xml:space="preserve">第二篇 人群的移動與交流；節名僅見第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節；產品頁未標學年度；來源未標示學年度（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</si>
  <si>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邁向現代化的東亞</t>
    </r>
  </si>
  <si>
    <r>
      <rPr>
        <sz val="10"/>
        <rFont val="WenQuanYi Zen Hei"/>
        <family val="2"/>
      </rPr>
      <t xml:space="preserve">第三篇 現代化的歷程；產品頁未標學年度；來源未標示學年度（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</si>
  <si>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近代東亞局勢的發展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</si>
  <si>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共產主義在東亞的發展</t>
    </r>
  </si>
  <si>
    <r>
      <rPr>
        <sz val="10"/>
        <rFont val="WenQuanYi Zen Hei"/>
        <family val="2"/>
      </rPr>
      <t xml:space="preserve">第三篇 現代化的歷程；節名僅見第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節；產品頁未標學年度；來源未標示學年度（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</si>
  <si>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古代文化與基督教傳統</t>
    </r>
  </si>
  <si>
    <t xml:space="preserve">https://www.ltedu.com.tw/web/prodDetail.aspx?ID=10020</t>
  </si>
  <si>
    <r>
      <rPr>
        <sz val="10"/>
        <rFont val="WenQuanYi Zen Hei"/>
        <family val="2"/>
      </rPr>
      <t xml:space="preserve">第一篇 歐洲文化與現代世界；產品頁註明供二年級採用；未標學年度；來源未標示學年度（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</si>
  <si>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個人、自由、理性</t>
    </r>
  </si>
  <si>
    <r>
      <rPr>
        <sz val="10"/>
        <rFont val="WenQuanYi Zen Hei"/>
        <family val="2"/>
      </rPr>
      <t xml:space="preserve">第一篇 歐洲文化與現代世界；未標學年度；來源未標示學年度（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</si>
  <si>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伊斯蘭與世界</t>
    </r>
  </si>
  <si>
    <r>
      <rPr>
        <sz val="10"/>
        <rFont val="WenQuanYi Zen Hei"/>
        <family val="2"/>
      </rPr>
      <t xml:space="preserve">第二篇 文化的交會與多元世界的發展；未標學年度；來源未標示學年度（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</si>
  <si>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西方與世界的交流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</si>
  <si>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世界大戰與冷戰局勢</t>
    </r>
  </si>
  <si>
    <r>
      <rPr>
        <sz val="10"/>
        <rFont val="WenQuanYi Zen Hei"/>
        <family val="2"/>
      </rPr>
      <t xml:space="preserve">第三篇 世界變遷與現代性；未標學年度；來源未標示學年度（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</si>
  <si>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歷史、當代與未來</t>
    </r>
  </si>
  <si>
    <t xml:space="preserve">選修歷史Ⅲ 探究與實作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</si>
  <si>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史料證據：掌握探索的資訊</t>
    </r>
  </si>
  <si>
    <t xml:space="preserve">https://www.ltedu.com.tw/web/prodDetail.aspx?ID=10022</t>
  </si>
  <si>
    <r>
      <rPr>
        <sz val="10"/>
        <rFont val="WenQuanYi Zen Hei"/>
        <family val="2"/>
      </rPr>
      <t xml:space="preserve">即「探究與實作：歷史學探究」；另有導論、實作引導</t>
    </r>
    <r>
      <rPr>
        <sz val="10"/>
        <rFont val="Arial"/>
        <family val="0"/>
        <charset val="1"/>
      </rPr>
      <t xml:space="preserve">1–3</t>
    </r>
    <r>
      <rPr>
        <sz val="10"/>
        <rFont val="WenQuanYi Zen Hei"/>
        <family val="2"/>
      </rPr>
      <t xml:space="preserve">、結語；產品頁註明供二年級採用；未標學年度；來源未標示學年度（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</si>
  <si>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時序觀念：走過時間的長河</t>
    </r>
  </si>
  <si>
    <r>
      <rPr>
        <sz val="10"/>
        <rFont val="WenQuanYi Zen Hei"/>
        <family val="2"/>
      </rPr>
      <t xml:space="preserve">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</si>
  <si>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歷史理解：回到當時的脈絡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</si>
  <si>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歷史解釋：註記旅人的發現</t>
    </r>
  </si>
  <si>
    <t xml:space="preserve">選修歷史Ⅰ 族群、性別與國家的歷史</t>
  </si>
  <si>
    <t xml:space="preserve">第一章 原住民族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</si>
  <si>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節 原住民族的社會與文化；第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節 原住民與外來者的互動；第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節 原住民族的權利復振運動</t>
    </r>
  </si>
  <si>
    <t xml:space="preserve">https://www.ltedu.com.tw/web/prodDetail.aspx?ID=10317</t>
  </si>
  <si>
    <r>
      <rPr>
        <sz val="10"/>
        <rFont val="WenQuanYi Zen Hei"/>
        <family val="2"/>
      </rPr>
      <t xml:space="preserve">第一篇 原住民、移民與殖民；節名見於教學講義摘要；未標學年度；來源未標示學年度（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</si>
  <si>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t xml:space="preserve">第二章 移民與殖民</t>
  </si>
  <si>
    <r>
      <rPr>
        <sz val="10"/>
        <rFont val="WenQuanYi Zen Hei"/>
        <family val="2"/>
      </rPr>
      <t xml:space="preserve">第一篇 原住民、移民與殖民；未標學年度；來源未標示學年度（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</si>
  <si>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t xml:space="preserve">第三章 性別與社會</t>
  </si>
  <si>
    <r>
      <rPr>
        <sz val="10"/>
        <rFont val="WenQuanYi Zen Hei"/>
        <family val="2"/>
      </rPr>
      <t xml:space="preserve">第二篇 性別與歷史；未標學年度；來源未標示學年度（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</si>
  <si>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t xml:space="preserve">第四章 女性與政治</t>
  </si>
  <si>
    <t xml:space="preserve">第五章 戰爭與歷史傷痛</t>
  </si>
  <si>
    <r>
      <rPr>
        <sz val="10"/>
        <rFont val="WenQuanYi Zen Hei"/>
        <family val="2"/>
      </rPr>
      <t xml:space="preserve">第三篇 現代戰爭與國家暴力；未標學年度；來源未標示學年度（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</si>
  <si>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t xml:space="preserve">第六章 國家暴力與轉型正義</t>
  </si>
  <si>
    <r>
      <rPr>
        <sz val="10"/>
        <rFont val="WenQuanYi Zen Hei"/>
        <family val="2"/>
      </rPr>
      <t xml:space="preserve">第三篇 現代戰爭與國家暴力；第六章章名僅見於搜尋摘要（摘要稱為整理），待核對；未標學年度；來源未標示學年度（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</si>
  <si>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t xml:space="preserve">選修歷史Ⅱ 科技、環境與藝術的歷史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</si>
  <si>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疾病與醫療</t>
    </r>
  </si>
  <si>
    <t xml:space="preserve">https://www.ltedu.com.tw/Web/mobile2/prodlist2.aspx?ID=10552&amp;SourceType=Subject&amp;SbjSubjectDesc=%E6%AD%B7%E5%8F%B2</t>
  </si>
  <si>
    <r>
      <rPr>
        <sz val="10"/>
        <rFont val="WenQuanYi Zen Hei"/>
        <family val="2"/>
      </rPr>
      <t xml:space="preserve">章名取自同書學習卷產品頁（各回對應課本章次）；未標學年度；來源未標示學年度（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</si>
  <si>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科技與社會</t>
    </r>
  </si>
  <si>
    <r>
      <rPr>
        <sz val="10"/>
        <rFont val="WenQuanYi Zen Hei"/>
        <family val="2"/>
      </rPr>
      <t xml:space="preserve">章名取自同書學習卷產品頁；未標學年度；來源未標示學年度（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</si>
  <si>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物種與文明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</si>
  <si>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文明與環境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</si>
  <si>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章 藝術與人文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</si>
  <si>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章 文化與生活</t>
    </r>
  </si>
  <si>
    <t xml:space="preserve">第一章 為什麼要學地理</t>
  </si>
  <si>
    <t xml:space="preserve">第一節 地理學的研究內涵；第二節 地理學的研究方法；地理探究：解決問題的策略與步驟</t>
  </si>
  <si>
    <t xml:space="preserve">https://www.ltedu.com.tw/web/prodDetail.aspx?ID=10431</t>
  </si>
  <si>
    <r>
      <rPr>
        <sz val="10"/>
        <rFont val="WenQuanYi Zen Hei"/>
        <family val="2"/>
      </rPr>
      <t xml:space="preserve">書號</t>
    </r>
    <r>
      <rPr>
        <sz val="10"/>
        <rFont val="Arial"/>
        <family val="0"/>
        <charset val="1"/>
      </rPr>
      <t xml:space="preserve">68001</t>
    </r>
    <r>
      <rPr>
        <sz val="10"/>
        <rFont val="WenQuanYi Zen Hei"/>
        <family val="2"/>
      </rPr>
      <t xml:space="preserve">；產品頁未標學年度；來源未標示學年度（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</si>
  <si>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t xml:space="preserve">第二章 地圖</t>
  </si>
  <si>
    <t xml:space="preserve">第一節 地圖的本質與要素；第二節 地圖投影；第三節 地圖的種類；地理探究：地圖量測與判讀</t>
  </si>
  <si>
    <r>
      <rPr>
        <sz val="10"/>
        <rFont val="WenQuanYi Zen Hei"/>
        <family val="2"/>
      </rPr>
      <t xml:space="preserve">產品頁未標學年度；來源未標示學年度（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</si>
  <si>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t xml:space="preserve">第三章 地理資訊</t>
  </si>
  <si>
    <t xml:space="preserve">第一節 地理資訊的組成；第二節 地理資訊系統的功能；地理探究：如何租好屋？</t>
  </si>
  <si>
    <t xml:space="preserve">第四章 地形系統</t>
  </si>
  <si>
    <t xml:space="preserve">第一節 地形系統與營力；第二節 流水、冰河塑造的地形與辨識；第三節 風、波浪塑造的地形與辨識；地理探究：地形與人類生活</t>
  </si>
  <si>
    <t xml:space="preserve">第五章 氣候系統</t>
  </si>
  <si>
    <t xml:space="preserve">第一節 氣候要素；第二節 大氣環流與洋流系統；第三節 氣候類型與自然景觀帶（一）；第四節 氣候類型與自然景觀帶（二）；地理探究：氣候、水資源與人類生活</t>
  </si>
  <si>
    <r>
      <rPr>
        <sz val="10"/>
        <rFont val="WenQuanYi Zen Hei"/>
        <family val="2"/>
      </rPr>
      <t xml:space="preserve">搜尋摘要只顯示到第五章，第五章之後是否還有其他章未查到；產品頁未標學年度；來源未標示學年度（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</si>
  <si>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t xml:space="preserve">選修地理Ⅱ 社會環境議題</t>
  </si>
  <si>
    <t xml:space="preserve">https://www.ltedu.com.tw/Web/prodDetail.aspx?ID=10322</t>
  </si>
  <si>
    <r>
      <rPr>
        <sz val="10"/>
        <rFont val="WenQuanYi Zen Hei"/>
        <family val="2"/>
      </rPr>
      <t xml:space="preserve">僅確認龍騰有「選修地理Ⅱ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全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社會環境議題」（學習卷產品頁），章節未查到；來源未標示學年度（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</si>
  <si>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t xml:space="preserve">公民身分與普世人權</t>
  </si>
  <si>
    <t xml:space="preserve">https://www.ltedu.com.tw/web/prodDetail.aspx?ID=10349</t>
  </si>
  <si>
    <r>
      <rPr>
        <sz val="10"/>
        <rFont val="WenQuanYi Zen Hei"/>
        <family val="2"/>
      </rPr>
      <t xml:space="preserve">公民與社會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（乙版）；摘要未顯示章次編號，以下七章依產品頁列出順序排列；節名未取得；未標學年度；來源未標示學年度（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</si>
  <si>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t xml:space="preserve">國家主權與認同</t>
  </si>
  <si>
    <r>
      <rPr>
        <sz val="10"/>
        <rFont val="WenQuanYi Zen Hei"/>
        <family val="2"/>
      </rPr>
      <t xml:space="preserve">公民與社會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（乙版）；章次編號未見；來源未標示學年度（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</si>
  <si>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t xml:space="preserve">政府組成與運作</t>
  </si>
  <si>
    <t xml:space="preserve">公民參與及民主治理</t>
  </si>
  <si>
    <t xml:space="preserve">媒體與公共生活</t>
  </si>
  <si>
    <t xml:space="preserve">公平正義與文化</t>
  </si>
  <si>
    <t xml:space="preserve">社會安全制度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</si>
  <si>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社會規範與法治建立</t>
    </r>
  </si>
  <si>
    <t xml:space="preserve">https://www.ltedu.com.tw/Web/mobile2/prodlist2.aspx?ID=10390&amp;SourceType=Subject&amp;SbjSubjectDesc=%E5%85%AC%E6%B0%91%E8%88%87%E7%A4%BE%E6%9C%83</t>
  </si>
  <si>
    <r>
      <rPr>
        <sz val="10"/>
        <rFont val="WenQuanYi Zen Hei"/>
        <family val="2"/>
      </rPr>
      <t xml:space="preserve">公民與社會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（乙版），書號</t>
    </r>
    <r>
      <rPr>
        <sz val="10"/>
        <rFont val="Arial"/>
        <family val="0"/>
        <charset val="1"/>
      </rPr>
      <t xml:space="preserve">69012</t>
    </r>
    <r>
      <rPr>
        <sz val="10"/>
        <rFont val="WenQuanYi Zen Hei"/>
        <family val="2"/>
      </rPr>
      <t xml:space="preserve">；摘要僅以概述方式提及內容（社會規範、規範改變、立法程序與法律解釋），未逐字取得節名；未標學年度；來源未標示學年度（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</si>
  <si>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憲法與權利保障</t>
    </r>
  </si>
  <si>
    <r>
      <rPr>
        <sz val="10"/>
        <rFont val="WenQuanYi Zen Hei"/>
        <family val="2"/>
      </rPr>
      <t xml:space="preserve">公民與社會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（乙版）；節名未逐字取得；來源未標示學年度（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</si>
  <si>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生活中的行政法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</si>
  <si>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章 刑罰與犯罪追訴</t>
    </r>
  </si>
  <si>
    <r>
      <rPr>
        <sz val="10"/>
        <rFont val="Arial"/>
        <family val="0"/>
        <charset val="1"/>
      </rPr>
      <t xml:space="preserve">CH1 </t>
    </r>
    <r>
      <rPr>
        <sz val="10"/>
        <rFont val="WenQuanYi Zen Hei"/>
        <family val="2"/>
      </rPr>
      <t xml:space="preserve">契約自由與財產權保障</t>
    </r>
  </si>
  <si>
    <t xml:space="preserve">https://www.ltedu.com.tw/Web/Sharefile/EDM/curriculum-map/ghs/civ/index.html</t>
  </si>
  <si>
    <r>
      <rPr>
        <sz val="10"/>
        <rFont val="WenQuanYi Zen Hei"/>
        <family val="2"/>
      </rPr>
      <t xml:space="preserve">取自龍騰公民課程地圖，該頁註明細節仍待審定公布，可能不是現行乙版定本；未查到公民與社會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（乙版）課本產品頁；來源未標示學年度（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</si>
  <si>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Arial"/>
        <family val="0"/>
        <charset val="1"/>
      </rPr>
      <t xml:space="preserve">CH2 </t>
    </r>
    <r>
      <rPr>
        <sz val="10"/>
        <rFont val="WenQuanYi Zen Hei"/>
        <family val="2"/>
      </rPr>
      <t xml:space="preserve">市場與交易</t>
    </r>
  </si>
  <si>
    <r>
      <rPr>
        <sz val="10"/>
        <rFont val="WenQuanYi Zen Hei"/>
        <family val="2"/>
      </rPr>
      <t xml:space="preserve">取自課程地圖（待審定版），待核對；來源未標示學年度（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</si>
  <si>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Arial"/>
        <family val="0"/>
        <charset val="1"/>
      </rPr>
      <t xml:space="preserve">CH3 </t>
    </r>
    <r>
      <rPr>
        <sz val="10"/>
        <rFont val="WenQuanYi Zen Hei"/>
        <family val="2"/>
      </rPr>
      <t xml:space="preserve">市場機能與政府管制</t>
    </r>
  </si>
  <si>
    <r>
      <rPr>
        <sz val="10"/>
        <rFont val="Arial"/>
        <family val="0"/>
        <charset val="1"/>
      </rPr>
      <t xml:space="preserve">CH4 </t>
    </r>
    <r>
      <rPr>
        <sz val="10"/>
        <rFont val="WenQuanYi Zen Hei"/>
        <family val="2"/>
      </rPr>
      <t xml:space="preserve">市場失靈與外部性</t>
    </r>
  </si>
  <si>
    <r>
      <rPr>
        <sz val="10"/>
        <rFont val="Arial"/>
        <family val="0"/>
        <charset val="1"/>
      </rPr>
      <t xml:space="preserve">CH5 </t>
    </r>
    <r>
      <rPr>
        <sz val="10"/>
        <rFont val="WenQuanYi Zen Hei"/>
        <family val="2"/>
      </rPr>
      <t xml:space="preserve">所得與貿易</t>
    </r>
  </si>
  <si>
    <r>
      <rPr>
        <sz val="10"/>
        <rFont val="Arial"/>
        <family val="0"/>
        <charset val="1"/>
      </rPr>
      <t xml:space="preserve">CH6 </t>
    </r>
    <r>
      <rPr>
        <sz val="10"/>
        <rFont val="WenQuanYi Zen Hei"/>
        <family val="2"/>
      </rPr>
      <t xml:space="preserve">全球化與永續發展</t>
    </r>
  </si>
  <si>
    <t xml:space="preserve">未查到（另見「選修公民Ⅰ（社會篇）」「選修公民Ⅱ（政治篇）」列，冊名與本課程對應關係未證實）</t>
  </si>
  <si>
    <t xml:space="preserve">選修公民Ⅰ（社會篇）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</si>
  <si>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社會階層化</t>
    </r>
  </si>
  <si>
    <t xml:space="preserve">社會階層與社會階層化</t>
  </si>
  <si>
    <t xml:space="preserve">https://www.ltedu.com.tw/Web/Sharefile/EDM/curriculum-map/ghs/civ/map.pdf</t>
  </si>
  <si>
    <r>
      <rPr>
        <sz val="10"/>
        <rFont val="WenQuanYi Zen Hei"/>
        <family val="2"/>
      </rPr>
      <t xml:space="preserve">取自龍騰公民課程地圖</t>
    </r>
    <r>
      <rPr>
        <sz val="10"/>
        <rFont val="Arial"/>
        <family val="0"/>
        <charset val="1"/>
      </rPr>
      <t xml:space="preserve">PDF</t>
    </r>
    <r>
      <rPr>
        <sz val="10"/>
        <rFont val="WenQuanYi Zen Hei"/>
        <family val="2"/>
      </rPr>
      <t xml:space="preserve">（舊版、排版錯亂），冊名以「選修</t>
    </r>
    <r>
      <rPr>
        <sz val="10"/>
        <rFont val="Arial"/>
        <family val="0"/>
        <charset val="1"/>
      </rPr>
      <t xml:space="preserve">I</t>
    </r>
    <r>
      <rPr>
        <sz val="10"/>
        <rFont val="WenQuanYi Zen Hei"/>
        <family val="2"/>
      </rPr>
      <t xml:space="preserve">」標示，推測對應「現代社會與經濟」但未證實；節名為</t>
    </r>
    <r>
      <rPr>
        <sz val="10"/>
        <rFont val="Arial"/>
        <family val="0"/>
        <charset val="1"/>
      </rPr>
      <t xml:space="preserve">PDF</t>
    </r>
    <r>
      <rPr>
        <sz val="10"/>
        <rFont val="WenQuanYi Zen Hei"/>
        <family val="2"/>
      </rPr>
      <t xml:space="preserve">擷取片段，待核對；來源未標示學年度（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</si>
  <si>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社會運動</t>
    </r>
  </si>
  <si>
    <r>
      <rPr>
        <sz val="10"/>
        <rFont val="WenQuanYi Zen Hei"/>
        <family val="2"/>
      </rPr>
      <t xml:space="preserve">取自課程地圖</t>
    </r>
    <r>
      <rPr>
        <sz val="10"/>
        <rFont val="Arial"/>
        <family val="0"/>
        <charset val="1"/>
      </rPr>
      <t xml:space="preserve">PDF</t>
    </r>
    <r>
      <rPr>
        <sz val="10"/>
        <rFont val="WenQuanYi Zen Hei"/>
        <family val="2"/>
      </rPr>
      <t xml:space="preserve">；另一次搜尋摘要將此章歸到其他冊，歸屬有疑義，待核對；來源未標示學年度（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</si>
  <si>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t xml:space="preserve">選修公民Ⅱ（政治篇）</t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</si>
  <si>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章 民主政治的變遷與發展</t>
    </r>
  </si>
  <si>
    <r>
      <rPr>
        <sz val="10"/>
        <rFont val="WenQuanYi Zen Hei"/>
        <family val="2"/>
      </rPr>
      <t xml:space="preserve">取自龍騰公民課程地圖</t>
    </r>
    <r>
      <rPr>
        <sz val="10"/>
        <rFont val="Arial"/>
        <family val="0"/>
        <charset val="1"/>
      </rPr>
      <t xml:space="preserve">PDF</t>
    </r>
    <r>
      <rPr>
        <sz val="10"/>
        <rFont val="WenQuanYi Zen Hei"/>
        <family val="2"/>
      </rPr>
      <t xml:space="preserve">（舊版），推測對應「民主政治與法律」但未證實；待核對；來源未標示學年度（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</si>
  <si>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章 中國政治與區域和平</t>
    </r>
  </si>
  <si>
    <r>
      <rPr>
        <sz val="10"/>
        <rFont val="WenQuanYi Zen Hei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章 國際關係與世界秩序</t>
    </r>
  </si>
  <si>
    <r>
      <rPr>
        <sz val="10"/>
        <rFont val="WenQuanYi Zen Hei"/>
        <family val="2"/>
      </rPr>
      <t xml:space="preserve">取自課程地圖</t>
    </r>
    <r>
      <rPr>
        <sz val="10"/>
        <rFont val="Arial"/>
        <family val="0"/>
        <charset val="1"/>
      </rPr>
      <t xml:space="preserve">PDF</t>
    </r>
    <r>
      <rPr>
        <sz val="10"/>
        <rFont val="WenQuanYi Zen Hei"/>
        <family val="2"/>
      </rPr>
      <t xml:space="preserve">；待核對；來源未標示學年度（</t>
    </r>
    <r>
      <rPr>
        <sz val="10"/>
        <rFont val="Arial"/>
        <family val="0"/>
        <charset val="1"/>
      </rPr>
      <t xml:space="preserve">108</t>
    </r>
    <r>
      <rPr>
        <sz val="10"/>
        <rFont val="WenQuanYi Zen Hei"/>
        <family val="2"/>
      </rPr>
      <t xml:space="preserve">課綱現行版產品資料），無法確認為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或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</t>
    </r>
  </si>
  <si>
    <t xml:space="preserve">全華</t>
  </si>
  <si>
    <r>
      <rPr>
        <sz val="10"/>
        <rFont val="WenQuanYi Zen Hei"/>
        <family val="2"/>
      </rPr>
      <t xml:space="preserve">未查到（搜尋僅見全華技術型高中數學</t>
    </r>
    <r>
      <rPr>
        <sz val="10"/>
        <rFont val="Arial"/>
        <family val="0"/>
        <charset val="1"/>
      </rPr>
      <t xml:space="preserve">B</t>
    </r>
    <r>
      <rPr>
        <sz val="10"/>
        <rFont val="WenQuanYi Zen Hei"/>
        <family val="2"/>
      </rPr>
      <t xml:space="preserve">，非普高）</t>
    </r>
  </si>
  <si>
    <t xml:space="preserve">https://www.pymhs.tyc.edu.tw/uploads/1677224026927kIufN9Qi.pdf</t>
  </si>
  <si>
    <r>
      <rPr>
        <sz val="10"/>
        <rFont val="WenQuanYi Zen Hei"/>
        <family val="2"/>
      </rPr>
      <t xml:space="preserve">未查到章節名稱；桃園陽明高中考試範圍表只寫「全華版選修生物</t>
    </r>
    <r>
      <rPr>
        <sz val="10"/>
        <rFont val="Arial"/>
        <family val="0"/>
        <charset val="1"/>
      </rPr>
      <t xml:space="preserve">IV 1-1</t>
    </r>
    <r>
      <rPr>
        <sz val="10"/>
        <rFont val="WenQuanYi Zen Hei"/>
        <family val="2"/>
      </rPr>
      <t xml:space="preserve">～</t>
    </r>
    <r>
      <rPr>
        <sz val="10"/>
        <rFont val="Arial"/>
        <family val="0"/>
        <charset val="1"/>
      </rPr>
      <t xml:space="preserve">3-1</t>
    </r>
    <r>
      <rPr>
        <sz val="10"/>
        <rFont val="WenQuanYi Zen Hei"/>
        <family val="2"/>
      </rPr>
      <t xml:space="preserve">」</t>
    </r>
  </si>
  <si>
    <t xml:space="preserve">選修地球科學（來源課程名：地球系統思維，未標冊次）</t>
  </si>
  <si>
    <t xml:space="preserve">（來源只列單元，沒有章號）</t>
  </si>
  <si>
    <t xml:space="preserve">古今天地觀；晝夜長度與季節變化；日月地相對運動與曆法</t>
  </si>
  <si>
    <t xml:space="preserve">https://www.hs.ntnu.edu.tw/static/webroot/G162269151451663/application/NW174253993646046.pdf</t>
  </si>
  <si>
    <r>
      <rPr>
        <sz val="10"/>
        <rFont val="WenQuanYi Zen Hei"/>
        <family val="2"/>
      </rPr>
      <t xml:space="preserve">師大附中</t>
    </r>
    <r>
      <rPr>
        <sz val="10"/>
        <rFont val="Arial"/>
        <family val="0"/>
        <charset val="1"/>
      </rPr>
      <t xml:space="preserve">113</t>
    </r>
    <r>
      <rPr>
        <sz val="10"/>
        <rFont val="WenQuanYi Zen Hei"/>
        <family val="2"/>
      </rPr>
      <t xml:space="preserve">學年度第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學期進度表，課程名稱：選修地球科學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地球系統思維，教科書版本：全華；來源沒有寫冊次（</t>
    </r>
    <r>
      <rPr>
        <sz val="10"/>
        <rFont val="Arial"/>
        <family val="0"/>
        <charset val="1"/>
      </rPr>
      <t xml:space="preserve">I</t>
    </r>
    <r>
      <rPr>
        <sz val="10"/>
        <rFont val="WenQuanYi Zen Hei"/>
        <family val="2"/>
      </rPr>
      <t xml:space="preserve">～</t>
    </r>
    <r>
      <rPr>
        <sz val="10"/>
        <rFont val="Arial"/>
        <family val="0"/>
        <charset val="1"/>
      </rPr>
      <t xml:space="preserve">IV</t>
    </r>
    <r>
      <rPr>
        <sz val="10"/>
        <rFont val="WenQuanYi Zen Hei"/>
        <family val="2"/>
      </rPr>
      <t xml:space="preserve">），這裡暫列在選修地球科學</t>
    </r>
    <r>
      <rPr>
        <sz val="10"/>
        <rFont val="Arial"/>
        <family val="0"/>
        <charset val="1"/>
      </rPr>
      <t xml:space="preserve">I</t>
    </r>
    <r>
      <rPr>
        <sz val="10"/>
        <rFont val="WenQuanYi Zen Hei"/>
        <family val="2"/>
      </rPr>
      <t xml:space="preserve">，請核實；摘要只到第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週；未查到</t>
    </r>
    <r>
      <rPr>
        <sz val="10"/>
        <rFont val="Arial"/>
        <family val="0"/>
        <charset val="1"/>
      </rPr>
      <t xml:space="preserve">115/114</t>
    </r>
    <r>
      <rPr>
        <sz val="10"/>
        <rFont val="WenQuanYi Zen Hei"/>
        <family val="2"/>
      </rPr>
      <t xml:space="preserve">學年度資料；章節文字取自搜尋引擎對來源內容的摘要，請以原檔核對</t>
    </r>
  </si>
  <si>
    <r>
      <rPr>
        <sz val="10"/>
        <rFont val="WenQuanYi Zen Hei"/>
        <family val="2"/>
      </rPr>
      <t xml:space="preserve">未查到（</t>
    </r>
    <r>
      <rPr>
        <sz val="10"/>
        <rFont val="Arial"/>
        <family val="0"/>
        <charset val="1"/>
      </rPr>
      <t xml:space="preserve">WebSearch </t>
    </r>
    <r>
      <rPr>
        <sz val="10"/>
        <rFont val="WenQuanYi Zen Hei"/>
        <family val="2"/>
      </rPr>
      <t xml:space="preserve">額度用盡前未能確認該出版商是否出版本冊）</t>
    </r>
  </si>
  <si>
    <t xml:space="preserve">泰宇</t>
  </si>
  <si>
    <r>
      <rPr>
        <sz val="10"/>
        <rFont val="Arial"/>
        <family val="0"/>
        <charset val="1"/>
      </rPr>
      <t xml:space="preserve">CH1 </t>
    </r>
    <r>
      <rPr>
        <sz val="10"/>
        <rFont val="WenQuanYi Zen Hei"/>
        <family val="2"/>
      </rPr>
      <t xml:space="preserve">科學的態度與方法</t>
    </r>
  </si>
  <si>
    <t xml:space="preserve">https://www.hs.ntnu.edu.tw/static/webroot/G162269151451663/application/NW175876390615937.pdf</t>
  </si>
  <si>
    <r>
      <rPr>
        <sz val="10"/>
        <rFont val="WenQuanYi Zen Hei"/>
        <family val="2"/>
      </rPr>
      <t xml:space="preserve">師大附中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學期高一物理教學進度表，教科書版本：泰宇；來源未寫冊名（高一必修物理）；章節文字取自搜尋引擎對來源內容的摘要，請以原檔核對；</t>
    </r>
    <r>
      <rPr>
        <sz val="10"/>
        <rFont val="Arial"/>
        <family val="0"/>
        <charset val="1"/>
      </rPr>
      <t xml:space="preserve">CH1</t>
    </r>
    <r>
      <rPr>
        <sz val="10"/>
        <rFont val="WenQuanYi Zen Hei"/>
        <family val="2"/>
      </rPr>
      <t xml:space="preserve">未列節次；未查到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學年度資料</t>
    </r>
  </si>
  <si>
    <r>
      <rPr>
        <sz val="10"/>
        <rFont val="Arial"/>
        <family val="0"/>
        <charset val="1"/>
      </rPr>
      <t xml:space="preserve">CH2</t>
    </r>
    <r>
      <rPr>
        <sz val="10"/>
        <rFont val="WenQuanYi Zen Hei"/>
        <family val="2"/>
      </rPr>
      <t xml:space="preserve">（章名未見）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</si>
  <si>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物質的組成；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原子的尺度與內部結構；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物質間的基本交互作用</t>
    </r>
  </si>
  <si>
    <r>
      <rPr>
        <sz val="10"/>
        <rFont val="WenQuanYi Zen Hei"/>
        <family val="2"/>
      </rPr>
      <t xml:space="preserve">師大附中</t>
    </r>
    <r>
      <rPr>
        <sz val="10"/>
        <rFont val="Arial"/>
        <family val="0"/>
        <charset val="1"/>
      </rPr>
      <t xml:space="preserve">114</t>
    </r>
    <r>
      <rPr>
        <sz val="10"/>
        <rFont val="WenQuanYi Zen Hei"/>
        <family val="2"/>
      </rPr>
      <t xml:space="preserve">學年度第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學期高一物理教學進度表，教科書版本：泰宇；來源未寫冊名（高一必修物理）；章節文字取自搜尋引擎對來源內容的摘要，請以原檔核對；之後各章因摘要截斷未見；未查到</t>
    </r>
    <r>
      <rPr>
        <sz val="10"/>
        <rFont val="Arial"/>
        <family val="0"/>
        <charset val="1"/>
      </rPr>
      <t xml:space="preserve">115</t>
    </r>
    <r>
      <rPr>
        <sz val="10"/>
        <rFont val="WenQuanYi Zen Hei"/>
        <family val="2"/>
      </rPr>
      <t xml:space="preserve">學年度資料</t>
    </r>
  </si>
  <si>
    <r>
      <rPr>
        <sz val="10"/>
        <rFont val="Arial"/>
        <family val="0"/>
        <charset val="1"/>
      </rPr>
      <t xml:space="preserve">1-1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波的性質與傳播、週期波（來源合列於同一週）；</t>
    </r>
    <r>
      <rPr>
        <sz val="10"/>
        <rFont val="Arial"/>
        <family val="0"/>
        <charset val="1"/>
      </rPr>
      <t xml:space="preserve">1-3 </t>
    </r>
    <r>
      <rPr>
        <sz val="10"/>
        <rFont val="WenQuanYi Zen Hei"/>
        <family val="2"/>
      </rPr>
      <t xml:space="preserve">波的反射與透射；</t>
    </r>
    <r>
      <rPr>
        <sz val="10"/>
        <rFont val="Arial"/>
        <family val="0"/>
        <charset val="1"/>
      </rPr>
      <t xml:space="preserve">1-4 </t>
    </r>
    <r>
      <rPr>
        <sz val="10"/>
        <rFont val="WenQuanYi Zen Hei"/>
        <family val="2"/>
      </rPr>
      <t xml:space="preserve">波的疊加與干涉；</t>
    </r>
    <r>
      <rPr>
        <sz val="10"/>
        <rFont val="Arial"/>
        <family val="0"/>
        <charset val="1"/>
      </rPr>
      <t xml:space="preserve">1-5 </t>
    </r>
    <r>
      <rPr>
        <sz val="10"/>
        <rFont val="WenQuanYi Zen Hei"/>
        <family val="2"/>
      </rPr>
      <t xml:space="preserve">駐波；</t>
    </r>
    <r>
      <rPr>
        <sz val="10"/>
        <rFont val="Arial"/>
        <family val="0"/>
        <charset val="1"/>
      </rPr>
      <t xml:space="preserve">1-6</t>
    </r>
    <r>
      <rPr>
        <sz val="10"/>
        <rFont val="WenQuanYi Zen Hei"/>
        <family val="2"/>
      </rPr>
      <t xml:space="preserve">（內容未見）</t>
    </r>
  </si>
  <si>
    <t xml:space="preserve">https://www.hs.ntnu.edu.tw/static/webroot/G162269151451663/application/NW172662366015169.pdf</t>
  </si>
  <si>
    <r>
      <rPr>
        <sz val="10"/>
        <rFont val="WenQuanYi Zen Hei"/>
        <family val="2"/>
      </rPr>
      <t xml:space="preserve">師大附中</t>
    </r>
    <r>
      <rPr>
        <sz val="10"/>
        <rFont val="Arial"/>
        <family val="0"/>
        <charset val="1"/>
      </rPr>
      <t xml:space="preserve">113</t>
    </r>
    <r>
      <rPr>
        <sz val="10"/>
        <rFont val="WenQuanYi Zen Hei"/>
        <family val="2"/>
      </rPr>
      <t xml:space="preserve">學年度第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學期物理進度表，課程：選修物理</t>
    </r>
    <r>
      <rPr>
        <sz val="10"/>
        <rFont val="Arial"/>
        <family val="0"/>
        <charset val="1"/>
      </rPr>
      <t xml:space="preserve">III</t>
    </r>
    <r>
      <rPr>
        <sz val="10"/>
        <rFont val="WenQuanYi Zen Hei"/>
        <family val="2"/>
      </rPr>
      <t xml:space="preserve">與</t>
    </r>
    <r>
      <rPr>
        <sz val="10"/>
        <rFont val="Arial"/>
        <family val="0"/>
        <charset val="1"/>
      </rPr>
      <t xml:space="preserve">IV</t>
    </r>
    <r>
      <rPr>
        <sz val="10"/>
        <rFont val="WenQuanYi Zen Hei"/>
        <family val="2"/>
      </rPr>
      <t xml:space="preserve">，教科書：泰宇；摘要只到第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週，其餘章節未見；未查到</t>
    </r>
    <r>
      <rPr>
        <sz val="10"/>
        <rFont val="Arial"/>
        <family val="0"/>
        <charset val="1"/>
      </rPr>
      <t xml:space="preserve">115/114</t>
    </r>
    <r>
      <rPr>
        <sz val="10"/>
        <rFont val="WenQuanYi Zen Hei"/>
        <family val="2"/>
      </rPr>
      <t xml:space="preserve">學年度資料；章節文字取自搜尋引擎對來源內容的摘要，請以原檔核對</t>
    </r>
  </si>
  <si>
    <r>
      <rPr>
        <sz val="10"/>
        <rFont val="WenQuanYi Zen Hei"/>
        <family val="2"/>
      </rPr>
      <t xml:space="preserve">選修化學</t>
    </r>
    <r>
      <rPr>
        <sz val="10"/>
        <rFont val="Arial"/>
        <family val="0"/>
        <charset val="1"/>
      </rPr>
      <t xml:space="preserve">I</t>
    </r>
    <r>
      <rPr>
        <sz val="10"/>
        <rFont val="WenQuanYi Zen Hei"/>
        <family val="2"/>
      </rPr>
      <t xml:space="preserve">（來源課程名：深廣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物質與能量）</t>
    </r>
  </si>
  <si>
    <r>
      <rPr>
        <sz val="10"/>
        <rFont val="Arial"/>
        <family val="0"/>
        <charset val="1"/>
      </rPr>
      <t xml:space="preserve">1-1 </t>
    </r>
    <r>
      <rPr>
        <sz val="10"/>
        <rFont val="WenQuanYi Zen Hei"/>
        <family val="2"/>
      </rPr>
      <t xml:space="preserve">化學反應式的平衡及應用；</t>
    </r>
    <r>
      <rPr>
        <sz val="10"/>
        <rFont val="Arial"/>
        <family val="0"/>
        <charset val="1"/>
      </rPr>
      <t xml:space="preserve">1-2 </t>
    </r>
    <r>
      <rPr>
        <sz val="10"/>
        <rFont val="WenQuanYi Zen Hei"/>
        <family val="2"/>
      </rPr>
      <t xml:space="preserve">化學反應中的能量變化</t>
    </r>
  </si>
  <si>
    <t xml:space="preserve">https://www.hs.ntnu.edu.tw/static/webroot/G162269151451663/application/NW172662342237371.pdf</t>
  </si>
  <si>
    <r>
      <rPr>
        <sz val="10"/>
        <rFont val="WenQuanYi Zen Hei"/>
        <family val="2"/>
      </rPr>
      <t xml:space="preserve">師大附中</t>
    </r>
    <r>
      <rPr>
        <sz val="10"/>
        <rFont val="Arial"/>
        <family val="0"/>
        <charset val="1"/>
      </rPr>
      <t xml:space="preserve">113</t>
    </r>
    <r>
      <rPr>
        <sz val="10"/>
        <rFont val="WenQuanYi Zen Hei"/>
        <family val="2"/>
      </rPr>
      <t xml:space="preserve">學年度第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學期高二化學進度表，課程名稱：「深廣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物質與能量」，教科書版本：泰宇；來源沒有寫「選修化學</t>
    </r>
    <r>
      <rPr>
        <sz val="10"/>
        <rFont val="Arial"/>
        <family val="0"/>
        <charset val="1"/>
      </rPr>
      <t xml:space="preserve">I</t>
    </r>
    <r>
      <rPr>
        <sz val="10"/>
        <rFont val="WenQuanYi Zen Hei"/>
        <family val="2"/>
      </rPr>
      <t xml:space="preserve">」，這裡依課程名稱歸入選修化學</t>
    </r>
    <r>
      <rPr>
        <sz val="10"/>
        <rFont val="Arial"/>
        <family val="0"/>
        <charset val="1"/>
      </rPr>
      <t xml:space="preserve">I</t>
    </r>
    <r>
      <rPr>
        <sz val="10"/>
        <rFont val="WenQuanYi Zen Hei"/>
        <family val="2"/>
      </rPr>
      <t xml:space="preserve">，請核實；章名未見；摘要只到第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週；未查到</t>
    </r>
    <r>
      <rPr>
        <sz val="10"/>
        <rFont val="Arial"/>
        <family val="0"/>
        <charset val="1"/>
      </rPr>
      <t xml:space="preserve">115/114</t>
    </r>
    <r>
      <rPr>
        <sz val="10"/>
        <rFont val="WenQuanYi Zen Hei"/>
        <family val="2"/>
      </rPr>
      <t xml:space="preserve">學年度資料；章節文字取自搜尋引擎對來源內容的摘要，請以原檔核對</t>
    </r>
  </si>
  <si>
    <r>
      <rPr>
        <sz val="10"/>
        <rFont val="Arial"/>
        <family val="0"/>
        <charset val="1"/>
      </rPr>
      <t xml:space="preserve">2-1 </t>
    </r>
    <r>
      <rPr>
        <sz val="10"/>
        <rFont val="WenQuanYi Zen Hei"/>
        <family val="2"/>
      </rPr>
      <t xml:space="preserve">氣體的性質；</t>
    </r>
    <r>
      <rPr>
        <sz val="10"/>
        <rFont val="Arial"/>
        <family val="0"/>
        <charset val="1"/>
      </rPr>
      <t xml:space="preserve">2-2 </t>
    </r>
    <r>
      <rPr>
        <sz val="10"/>
        <rFont val="WenQuanYi Zen Hei"/>
        <family val="2"/>
      </rPr>
      <t xml:space="preserve">氣體的基本定律；</t>
    </r>
    <r>
      <rPr>
        <sz val="10"/>
        <rFont val="Arial"/>
        <family val="0"/>
        <charset val="1"/>
      </rPr>
      <t xml:space="preserve">2-3 </t>
    </r>
    <r>
      <rPr>
        <sz val="10"/>
        <rFont val="WenQuanYi Zen Hei"/>
        <family val="2"/>
      </rPr>
      <t xml:space="preserve">理想氣體；</t>
    </r>
    <r>
      <rPr>
        <sz val="10"/>
        <rFont val="Arial"/>
        <family val="0"/>
        <charset val="1"/>
      </rPr>
      <t xml:space="preserve">2-4 </t>
    </r>
    <r>
      <rPr>
        <sz val="10"/>
        <rFont val="WenQuanYi Zen Hei"/>
        <family val="2"/>
      </rPr>
      <t xml:space="preserve">氣體的分壓</t>
    </r>
  </si>
  <si>
    <t xml:space="preserve">已查到章（課）數</t>
  </si>
  <si>
    <t xml:space="preserve">狀態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</si>
</sst>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2"/>
      <name val="WenQuanYi Zen Hei"/>
      <family val="2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1"/>
      <color rgb="FFFFFFFF"/>
      <name val="WenQuanYi Zen Hei"/>
      <family val="2"/>
    </font>
    <font>
      <u val="single"/>
      <sz val="10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sites.google.com/hanlin.com.tw/112chwebppt/1&#19978;" TargetMode="External"/><Relationship Id="rId2" Type="http://schemas.openxmlformats.org/officeDocument/2006/relationships/hyperlink" Target="https://sites.google.com/hanlin.com.tw/112chwebppt/1&#19978;" TargetMode="External"/><Relationship Id="rId3" Type="http://schemas.openxmlformats.org/officeDocument/2006/relationships/hyperlink" Target="https://sites.google.com/hanlin.com.tw/112chwebppt/1&#19978;" TargetMode="External"/><Relationship Id="rId4" Type="http://schemas.openxmlformats.org/officeDocument/2006/relationships/hyperlink" Target="https://sites.google.com/hanlin.com.tw/112chwebppt/1&#19978;" TargetMode="External"/><Relationship Id="rId5" Type="http://schemas.openxmlformats.org/officeDocument/2006/relationships/hyperlink" Target="https://sites.google.com/hanlin.com.tw/112chwebppt/1&#19978;" TargetMode="External"/><Relationship Id="rId6" Type="http://schemas.openxmlformats.org/officeDocument/2006/relationships/hyperlink" Target="https://sites.google.com/hanlin.com.tw/112chwebppt/1&#19978;" TargetMode="External"/><Relationship Id="rId7" Type="http://schemas.openxmlformats.org/officeDocument/2006/relationships/hyperlink" Target="https://sites.google.com/hanlin.com.tw/112chwebppt/1&#19978;" TargetMode="External"/><Relationship Id="rId8" Type="http://schemas.openxmlformats.org/officeDocument/2006/relationships/hyperlink" Target="https://sites.google.com/hanlin.com.tw/112chwebppt/1&#19978;" TargetMode="External"/><Relationship Id="rId9" Type="http://schemas.openxmlformats.org/officeDocument/2006/relationships/hyperlink" Target="https://sites.google.com/hanlin.com.tw/112chwebppt/1&#19978;" TargetMode="External"/><Relationship Id="rId10" Type="http://schemas.openxmlformats.org/officeDocument/2006/relationships/hyperlink" Target="https://sites.google.com/hanlin.com.tw/112chwebppt/1&#19978;" TargetMode="External"/><Relationship Id="rId11" Type="http://schemas.openxmlformats.org/officeDocument/2006/relationships/hyperlink" Target="https://sites.google.com/hanlin.com.tw/112chwebppt/1&#19978;" TargetMode="External"/><Relationship Id="rId12" Type="http://schemas.openxmlformats.org/officeDocument/2006/relationships/hyperlink" Target="https://sites.google.com/hanlin.com.tw/112chwebppt/1&#19978;" TargetMode="External"/><Relationship Id="rId13" Type="http://schemas.openxmlformats.org/officeDocument/2006/relationships/hyperlink" Target="https://sites.google.com/hanlin.com.tw/112chwebppt/1&#19978;" TargetMode="External"/><Relationship Id="rId14" Type="http://schemas.openxmlformats.org/officeDocument/2006/relationships/hyperlink" Target="https://sites.google.com/hanlin.com.tw/112chwebppt/1&#19978;" TargetMode="External"/><Relationship Id="rId15" Type="http://schemas.openxmlformats.org/officeDocument/2006/relationships/hyperlink" Target="https://sites.google.com/hanlin.com.tw/112chwebppt/1&#19978;" TargetMode="External"/><Relationship Id="rId16" Type="http://schemas.openxmlformats.org/officeDocument/2006/relationships/hyperlink" Target="https://sites.google.com/hanlin.com.tw/112chwebppt/1&#19979;" TargetMode="External"/><Relationship Id="rId17" Type="http://schemas.openxmlformats.org/officeDocument/2006/relationships/hyperlink" Target="https://sites.google.com/hanlin.com.tw/112chwebppt/1&#19979;" TargetMode="External"/><Relationship Id="rId18" Type="http://schemas.openxmlformats.org/officeDocument/2006/relationships/hyperlink" Target="https://sites.google.com/hanlin.com.tw/112chwebppt/1&#19979;" TargetMode="External"/><Relationship Id="rId19" Type="http://schemas.openxmlformats.org/officeDocument/2006/relationships/hyperlink" Target="https://sites.google.com/hanlin.com.tw/112chwebppt/1&#19979;" TargetMode="External"/><Relationship Id="rId20" Type="http://schemas.openxmlformats.org/officeDocument/2006/relationships/hyperlink" Target="https://sites.google.com/hanlin.com.tw/112chwebppt/1&#19979;" TargetMode="External"/><Relationship Id="rId21" Type="http://schemas.openxmlformats.org/officeDocument/2006/relationships/hyperlink" Target="https://sites.google.com/hanlin.com.tw/112chwebppt/1&#19979;" TargetMode="External"/><Relationship Id="rId22" Type="http://schemas.openxmlformats.org/officeDocument/2006/relationships/hyperlink" Target="https://sites.google.com/hanlin.com.tw/112chwebppt/1&#19979;" TargetMode="External"/><Relationship Id="rId23" Type="http://schemas.openxmlformats.org/officeDocument/2006/relationships/hyperlink" Target="https://sites.google.com/hanlin.com.tw/112chwebppt/1&#19979;" TargetMode="External"/><Relationship Id="rId24" Type="http://schemas.openxmlformats.org/officeDocument/2006/relationships/hyperlink" Target="https://sites.google.com/hanlin.com.tw/112chwebppt/1&#19979;" TargetMode="External"/><Relationship Id="rId25" Type="http://schemas.openxmlformats.org/officeDocument/2006/relationships/hyperlink" Target="https://sites.google.com/hanlin.com.tw/112chwebppt/1&#19979;" TargetMode="External"/><Relationship Id="rId26" Type="http://schemas.openxmlformats.org/officeDocument/2006/relationships/hyperlink" Target="https://sites.google.com/hanlin.com.tw/112chwebppt/1&#19979;" TargetMode="External"/><Relationship Id="rId27" Type="http://schemas.openxmlformats.org/officeDocument/2006/relationships/hyperlink" Target="https://sites.google.com/hanlin.com.tw/112chwebppt/1&#19979;" TargetMode="External"/><Relationship Id="rId28" Type="http://schemas.openxmlformats.org/officeDocument/2006/relationships/hyperlink" Target="https://sites.google.com/hanlin.com.tw/112chwebppt/1&#19979;" TargetMode="External"/><Relationship Id="rId29" Type="http://schemas.openxmlformats.org/officeDocument/2006/relationships/hyperlink" Target="https://sites.google.com/hanlin.com.tw/112chwebppt/1&#19979;" TargetMode="External"/><Relationship Id="rId30" Type="http://schemas.openxmlformats.org/officeDocument/2006/relationships/hyperlink" Target="https://sites.google.com/hanlin.com.tw/112chwebppt/2&#19978;" TargetMode="External"/><Relationship Id="rId31" Type="http://schemas.openxmlformats.org/officeDocument/2006/relationships/hyperlink" Target="https://sites.google.com/hanlin.com.tw/112chwebppt/2&#19978;" TargetMode="External"/><Relationship Id="rId32" Type="http://schemas.openxmlformats.org/officeDocument/2006/relationships/hyperlink" Target="https://sites.google.com/hanlin.com.tw/112chwebppt/2&#19978;" TargetMode="External"/><Relationship Id="rId33" Type="http://schemas.openxmlformats.org/officeDocument/2006/relationships/hyperlink" Target="https://sites.google.com/hanlin.com.tw/112chwebppt/2&#19978;" TargetMode="External"/><Relationship Id="rId34" Type="http://schemas.openxmlformats.org/officeDocument/2006/relationships/hyperlink" Target="https://sites.google.com/hanlin.com.tw/112chwebppt/2&#19978;" TargetMode="External"/><Relationship Id="rId35" Type="http://schemas.openxmlformats.org/officeDocument/2006/relationships/hyperlink" Target="https://sites.google.com/hanlin.com.tw/112chwebppt/2&#19978;" TargetMode="External"/><Relationship Id="rId36" Type="http://schemas.openxmlformats.org/officeDocument/2006/relationships/hyperlink" Target="https://sites.google.com/hanlin.com.tw/112chwebppt/2&#19978;" TargetMode="External"/><Relationship Id="rId37" Type="http://schemas.openxmlformats.org/officeDocument/2006/relationships/hyperlink" Target="https://sites.google.com/hanlin.com.tw/112chwebppt/2&#19978;" TargetMode="External"/><Relationship Id="rId38" Type="http://schemas.openxmlformats.org/officeDocument/2006/relationships/hyperlink" Target="https://sites.google.com/hanlin.com.tw/112chwebppt/2&#19978;" TargetMode="External"/><Relationship Id="rId39" Type="http://schemas.openxmlformats.org/officeDocument/2006/relationships/hyperlink" Target="https://sites.google.com/hanlin.com.tw/112chwebppt/2&#19978;" TargetMode="External"/><Relationship Id="rId40" Type="http://schemas.openxmlformats.org/officeDocument/2006/relationships/hyperlink" Target="https://sites.google.com/hanlin.com.tw/112chwebppt/2&#19978;" TargetMode="External"/><Relationship Id="rId41" Type="http://schemas.openxmlformats.org/officeDocument/2006/relationships/hyperlink" Target="https://sites.google.com/hanlin.com.tw/112chwebppt/2&#19978;" TargetMode="External"/><Relationship Id="rId42" Type="http://schemas.openxmlformats.org/officeDocument/2006/relationships/hyperlink" Target="https://sites.google.com/hanlin.com.tw/112chwebppt/2&#19978;" TargetMode="External"/><Relationship Id="rId43" Type="http://schemas.openxmlformats.org/officeDocument/2006/relationships/hyperlink" Target="https://sites.google.com/hanlin.com.tw/112chwebppt/2&#19978;" TargetMode="External"/><Relationship Id="rId44" Type="http://schemas.openxmlformats.org/officeDocument/2006/relationships/hyperlink" Target="https://sites.google.com/hanlin.com.tw/112chwebppt/2&#19978;" TargetMode="External"/><Relationship Id="rId45" Type="http://schemas.openxmlformats.org/officeDocument/2006/relationships/hyperlink" Target="https://sites.google.com/hanlin.com.tw/112chwebppt/2&#19979;" TargetMode="External"/><Relationship Id="rId46" Type="http://schemas.openxmlformats.org/officeDocument/2006/relationships/hyperlink" Target="https://sites.google.com/hanlin.com.tw/112chwebppt/2&#19979;" TargetMode="External"/><Relationship Id="rId47" Type="http://schemas.openxmlformats.org/officeDocument/2006/relationships/hyperlink" Target="https://sites.google.com/hanlin.com.tw/112chwebppt/2&#19979;" TargetMode="External"/><Relationship Id="rId48" Type="http://schemas.openxmlformats.org/officeDocument/2006/relationships/hyperlink" Target="https://sites.google.com/hanlin.com.tw/112chwebppt/2&#19979;" TargetMode="External"/><Relationship Id="rId49" Type="http://schemas.openxmlformats.org/officeDocument/2006/relationships/hyperlink" Target="https://sites.google.com/hanlin.com.tw/112chwebppt/2&#19979;" TargetMode="External"/><Relationship Id="rId50" Type="http://schemas.openxmlformats.org/officeDocument/2006/relationships/hyperlink" Target="https://sites.google.com/hanlin.com.tw/112chwebppt/2&#19979;" TargetMode="External"/><Relationship Id="rId51" Type="http://schemas.openxmlformats.org/officeDocument/2006/relationships/hyperlink" Target="https://sites.google.com/hanlin.com.tw/112chwebppt/2&#19979;" TargetMode="External"/><Relationship Id="rId52" Type="http://schemas.openxmlformats.org/officeDocument/2006/relationships/hyperlink" Target="https://sites.google.com/hanlin.com.tw/112chwebppt/2&#19979;" TargetMode="External"/><Relationship Id="rId53" Type="http://schemas.openxmlformats.org/officeDocument/2006/relationships/hyperlink" Target="https://sites.google.com/hanlin.com.tw/112chwebppt/2&#19979;" TargetMode="External"/><Relationship Id="rId54" Type="http://schemas.openxmlformats.org/officeDocument/2006/relationships/hyperlink" Target="https://sites.google.com/hanlin.com.tw/112chwebppt/2&#19979;" TargetMode="External"/><Relationship Id="rId55" Type="http://schemas.openxmlformats.org/officeDocument/2006/relationships/hyperlink" Target="https://sites.google.com/hanlin.com.tw/112chwebppt/2&#19979;" TargetMode="External"/><Relationship Id="rId56" Type="http://schemas.openxmlformats.org/officeDocument/2006/relationships/hyperlink" Target="https://sites.google.com/hanlin.com.tw/112chwebppt/2&#19979;" TargetMode="External"/><Relationship Id="rId57" Type="http://schemas.openxmlformats.org/officeDocument/2006/relationships/hyperlink" Target="https://sites.google.com/hanlin.com.tw/112chwebppt/2&#19979;" TargetMode="External"/><Relationship Id="rId58" Type="http://schemas.openxmlformats.org/officeDocument/2006/relationships/hyperlink" Target="https://sites.google.com/hanlin.com.tw/112chwebppt/2&#19979;" TargetMode="External"/><Relationship Id="rId59" Type="http://schemas.openxmlformats.org/officeDocument/2006/relationships/hyperlink" Target="https://sites.google.com/hanlin.com.tw/112chwebppt/2&#19979;" TargetMode="External"/><Relationship Id="rId60" Type="http://schemas.openxmlformats.org/officeDocument/2006/relationships/hyperlink" Target="https://sites.google.com/hanlin.com.tw/112chwebppt/3&#19978;" TargetMode="External"/><Relationship Id="rId61" Type="http://schemas.openxmlformats.org/officeDocument/2006/relationships/hyperlink" Target="https://sites.google.com/hanlin.com.tw/112chwebppt/3&#19978;" TargetMode="External"/><Relationship Id="rId62" Type="http://schemas.openxmlformats.org/officeDocument/2006/relationships/hyperlink" Target="https://sites.google.com/hanlin.com.tw/112chwebppt/3&#19978;" TargetMode="External"/><Relationship Id="rId63" Type="http://schemas.openxmlformats.org/officeDocument/2006/relationships/hyperlink" Target="https://sites.google.com/hanlin.com.tw/112chwebppt/3&#19978;" TargetMode="External"/><Relationship Id="rId64" Type="http://schemas.openxmlformats.org/officeDocument/2006/relationships/hyperlink" Target="https://sites.google.com/hanlin.com.tw/112chwebppt/3&#19978;" TargetMode="External"/><Relationship Id="rId65" Type="http://schemas.openxmlformats.org/officeDocument/2006/relationships/hyperlink" Target="https://sites.google.com/hanlin.com.tw/112chwebppt/3&#19978;" TargetMode="External"/><Relationship Id="rId66" Type="http://schemas.openxmlformats.org/officeDocument/2006/relationships/hyperlink" Target="https://sites.google.com/hanlin.com.tw/112chwebppt/3&#19978;" TargetMode="External"/><Relationship Id="rId67" Type="http://schemas.openxmlformats.org/officeDocument/2006/relationships/hyperlink" Target="https://sites.google.com/hanlin.com.tw/112chwebppt/3&#19978;" TargetMode="External"/><Relationship Id="rId68" Type="http://schemas.openxmlformats.org/officeDocument/2006/relationships/hyperlink" Target="https://sites.google.com/hanlin.com.tw/112chwebppt/3&#19978;" TargetMode="External"/><Relationship Id="rId69" Type="http://schemas.openxmlformats.org/officeDocument/2006/relationships/hyperlink" Target="https://sites.google.com/hanlin.com.tw/112chwebppt/3&#19978;" TargetMode="External"/><Relationship Id="rId70" Type="http://schemas.openxmlformats.org/officeDocument/2006/relationships/hyperlink" Target="https://sites.google.com/hanlin.com.tw/112chwebppt/3&#19978;" TargetMode="External"/><Relationship Id="rId71" Type="http://schemas.openxmlformats.org/officeDocument/2006/relationships/hyperlink" Target="https://sites.google.com/hanlin.com.tw/112chwebppt/3&#19978;" TargetMode="External"/><Relationship Id="rId72" Type="http://schemas.openxmlformats.org/officeDocument/2006/relationships/hyperlink" Target="https://sites.google.com/hanlin.com.tw/112chwebppt/3&#19978;" TargetMode="External"/><Relationship Id="rId73" Type="http://schemas.openxmlformats.org/officeDocument/2006/relationships/hyperlink" Target="https://sites.google.com/hanlin.com.tw/112chwebppt/3&#19979;" TargetMode="External"/><Relationship Id="rId74" Type="http://schemas.openxmlformats.org/officeDocument/2006/relationships/hyperlink" Target="https://sites.google.com/hanlin.com.tw/112chwebppt/3&#19979;" TargetMode="External"/><Relationship Id="rId75" Type="http://schemas.openxmlformats.org/officeDocument/2006/relationships/hyperlink" Target="https://sites.google.com/hanlin.com.tw/112chwebppt/3&#19979;" TargetMode="External"/><Relationship Id="rId76" Type="http://schemas.openxmlformats.org/officeDocument/2006/relationships/hyperlink" Target="https://sites.google.com/hanlin.com.tw/112chwebppt/3&#19979;" TargetMode="External"/><Relationship Id="rId77" Type="http://schemas.openxmlformats.org/officeDocument/2006/relationships/hyperlink" Target="https://sites.google.com/hanlin.com.tw/112chwebppt/3&#19979;" TargetMode="External"/><Relationship Id="rId78" Type="http://schemas.openxmlformats.org/officeDocument/2006/relationships/hyperlink" Target="https://sites.google.com/hanlin.com.tw/112chwebppt/3&#19979;" TargetMode="External"/><Relationship Id="rId79" Type="http://schemas.openxmlformats.org/officeDocument/2006/relationships/hyperlink" Target="https://sites.google.com/hanlin.com.tw/112chwebppt/3&#19979;" TargetMode="External"/><Relationship Id="rId80" Type="http://schemas.openxmlformats.org/officeDocument/2006/relationships/hyperlink" Target="https://sites.google.com/hanlin.com.tw/112chwebppt/3&#19979;" TargetMode="External"/><Relationship Id="rId81" Type="http://schemas.openxmlformats.org/officeDocument/2006/relationships/hyperlink" Target="https://sites.google.com/hanlin.com.tw/112chwebppt/3&#19979;" TargetMode="External"/><Relationship Id="rId82" Type="http://schemas.openxmlformats.org/officeDocument/2006/relationships/hyperlink" Target="https://website.hle.com.tw/market/jr/&#25945;&#26448;/&#25945;&#26448;&#27171;&#26360;/&#32752;&#26519;&#22283;&#20013;&#33521;&#35486;&#19971;&#19978;&#35506;&#26412;.pdf" TargetMode="External"/><Relationship Id="rId83" Type="http://schemas.openxmlformats.org/officeDocument/2006/relationships/hyperlink" Target="https://website.hle.com.tw/market/jr/&#25945;&#26448;/&#25945;&#26448;&#27171;&#26360;/&#32752;&#26519;&#22283;&#20013;&#33521;&#35486;&#19971;&#19978;&#35506;&#26412;.pdf" TargetMode="External"/><Relationship Id="rId84" Type="http://schemas.openxmlformats.org/officeDocument/2006/relationships/hyperlink" Target="https://website.hle.com.tw/market/jr/&#25945;&#26448;/&#25945;&#26448;&#27171;&#26360;/&#32752;&#26519;&#22283;&#20013;&#33521;&#35486;&#19971;&#19978;&#35506;&#26412;.pdf" TargetMode="External"/><Relationship Id="rId85" Type="http://schemas.openxmlformats.org/officeDocument/2006/relationships/hyperlink" Target="https://website.hle.com.tw/market/jr/&#25945;&#26448;/&#25945;&#26448;&#27171;&#26360;/&#32752;&#26519;&#22283;&#20013;&#33521;&#35486;&#19971;&#19978;&#35506;&#26412;.pdf" TargetMode="External"/><Relationship Id="rId86" Type="http://schemas.openxmlformats.org/officeDocument/2006/relationships/hyperlink" Target="https://website.hle.com.tw/market/jr/&#25945;&#26448;/&#25945;&#26448;&#27171;&#26360;/&#32752;&#26519;&#22283;&#20013;&#33521;&#35486;&#19971;&#19978;&#35506;&#26412;.pdf" TargetMode="External"/><Relationship Id="rId87" Type="http://schemas.openxmlformats.org/officeDocument/2006/relationships/hyperlink" Target="https://website.hle.com.tw/market/jr/&#25945;&#26448;/&#25945;&#26448;&#27171;&#26360;/&#32752;&#26519;&#22283;&#20013;&#33521;&#35486;&#19971;&#19978;&#35506;&#26412;.pdf" TargetMode="External"/><Relationship Id="rId88" Type="http://schemas.openxmlformats.org/officeDocument/2006/relationships/hyperlink" Target="https://website.hle.com.tw/market/jr/&#25945;&#26448;/&#25945;&#26448;&#27171;&#26360;/&#32752;&#26519;&#22283;&#20013;&#33521;&#35486;&#19971;&#19978;&#35506;&#26412;.pdf" TargetMode="External"/><Relationship Id="rId89" Type="http://schemas.openxmlformats.org/officeDocument/2006/relationships/hyperlink" Target="https://www.junyiacademy.org/topics/h-m7a" TargetMode="External"/><Relationship Id="rId90" Type="http://schemas.openxmlformats.org/officeDocument/2006/relationships/hyperlink" Target="https://www.junyiacademy.org/topics/h-m7a" TargetMode="External"/><Relationship Id="rId91" Type="http://schemas.openxmlformats.org/officeDocument/2006/relationships/hyperlink" Target="https://www.junyiacademy.org/topics/h-m7a" TargetMode="External"/><Relationship Id="rId92" Type="http://schemas.openxmlformats.org/officeDocument/2006/relationships/hyperlink" Target="https://www.lkjh.tp.edu.tw/wp-content/uploads/doc/lkjh212/114&#23416;&#24180;&#24230;&#31532;&#20108;&#23416;&#26399;&#35242;&#24107;&#24231;&#35527;&#26371;&#19971;&#24180;&#32026;&#29983;&#29289;&#31185;&#25945;&#23416;&#35336;&#30059;-&#38515;&#26580;&#23433;(&#20013;&#33521;&#25991;&#29256;).pdf" TargetMode="External"/><Relationship Id="rId93" Type="http://schemas.openxmlformats.org/officeDocument/2006/relationships/hyperlink" Target="https://www.lkjh.tp.edu.tw/wp-content/uploads/doc/lkjh212/114&#23416;&#24180;&#24230;&#31532;&#20108;&#23416;&#26399;&#35242;&#24107;&#24231;&#35527;&#26371;&#19971;&#24180;&#32026;&#29983;&#29289;&#31185;&#25945;&#23416;&#35336;&#30059;-&#38515;&#26580;&#23433;(&#20013;&#33521;&#25991;&#29256;).pdf" TargetMode="External"/><Relationship Id="rId94" Type="http://schemas.openxmlformats.org/officeDocument/2006/relationships/hyperlink" Target="https://www.lkjh.tp.edu.tw/wp-content/uploads/doc/lkjh212/114&#23416;&#24180;&#24230;&#31532;&#20108;&#23416;&#26399;&#35242;&#24107;&#24231;&#35527;&#26371;&#19971;&#24180;&#32026;&#29983;&#29289;&#31185;&#25945;&#23416;&#35336;&#30059;-&#38515;&#26580;&#23433;(&#20013;&#33521;&#25991;&#29256;).pdf" TargetMode="External"/><Relationship Id="rId95" Type="http://schemas.openxmlformats.org/officeDocument/2006/relationships/hyperlink" Target="https://www.lkjh.tp.edu.tw/wp-content/uploads/doc/lkjh212/114&#23416;&#24180;&#24230;&#31532;&#20108;&#23416;&#26399;&#35242;&#24107;&#24231;&#35527;&#26371;&#19971;&#24180;&#32026;&#29983;&#29289;&#31185;&#25945;&#23416;&#35336;&#30059;-&#38515;&#26580;&#23433;(&#20013;&#33521;&#25991;&#29256;).pdf" TargetMode="External"/><Relationship Id="rId96" Type="http://schemas.openxmlformats.org/officeDocument/2006/relationships/hyperlink" Target="https://www.lkjh.tp.edu.tw/wp-content/uploads/doc/lkjh212/114&#23416;&#24180;&#24230;&#31532;&#20108;&#23416;&#26399;&#35242;&#24107;&#24231;&#35527;&#26371;&#19971;&#24180;&#32026;&#29983;&#29289;&#31185;&#25945;&#23416;&#35336;&#30059;-&#38515;&#26580;&#23433;(&#20013;&#33521;&#25991;&#29256;).pdf" TargetMode="External"/><Relationship Id="rId97" Type="http://schemas.openxmlformats.org/officeDocument/2006/relationships/hyperlink" Target="https://www.nmjh.tp.edu.tw/wp-content/uploads/doc/nmjh332/114&#19971;&#24180;&#32026;&#22283;&#35486;&#25991;&#38936;&#22495;.pdf" TargetMode="External"/><Relationship Id="rId98" Type="http://schemas.openxmlformats.org/officeDocument/2006/relationships/hyperlink" Target="https://acerksy.pixnet.net/blog/posts/14220018170" TargetMode="External"/><Relationship Id="rId99" Type="http://schemas.openxmlformats.org/officeDocument/2006/relationships/hyperlink" Target="https://acerksy.pixnet.net/blog/posts/14220018170" TargetMode="External"/><Relationship Id="rId100" Type="http://schemas.openxmlformats.org/officeDocument/2006/relationships/hyperlink" Target="https://acerksy.pixnet.net/blog/posts/14220018170" TargetMode="External"/><Relationship Id="rId101" Type="http://schemas.openxmlformats.org/officeDocument/2006/relationships/hyperlink" Target="https://digitalmaster.knsh.com.tw/all/video/j/mandarin_page.html?l1=8&#19979;&amp;l2=&#33258;&#19968;&#12288;&#36939;&#21205;&#23478;&#30340;&#39080;&#24230;" TargetMode="External"/><Relationship Id="rId102" Type="http://schemas.openxmlformats.org/officeDocument/2006/relationships/hyperlink" Target="https://www.learnmode.net/course/592128/content" TargetMode="External"/><Relationship Id="rId103" Type="http://schemas.openxmlformats.org/officeDocument/2006/relationships/hyperlink" Target="https://www.learnmode.net/course/592128/content" TargetMode="External"/><Relationship Id="rId104" Type="http://schemas.openxmlformats.org/officeDocument/2006/relationships/hyperlink" Target="https://www.learnmode.net/course/592128/content" TargetMode="External"/><Relationship Id="rId105" Type="http://schemas.openxmlformats.org/officeDocument/2006/relationships/hyperlink" Target="https://www.junyiacademy.org/topics/k-m7a" TargetMode="External"/><Relationship Id="rId106" Type="http://schemas.openxmlformats.org/officeDocument/2006/relationships/hyperlink" Target="https://www.junyiacademy.org/topics/k-m7a" TargetMode="External"/><Relationship Id="rId107" Type="http://schemas.openxmlformats.org/officeDocument/2006/relationships/hyperlink" Target="https://www.junyiacademy.org/topics/k-m7a" TargetMode="External"/><Relationship Id="rId108" Type="http://schemas.openxmlformats.org/officeDocument/2006/relationships/hyperlink" Target="https://www.junyiacademy.org/topics/k-m7a" TargetMode="External"/><Relationship Id="rId109" Type="http://schemas.openxmlformats.org/officeDocument/2006/relationships/hyperlink" Target="https://www.junyiacademy.org/topics/k-m7a" TargetMode="External"/><Relationship Id="rId110" Type="http://schemas.openxmlformats.org/officeDocument/2006/relationships/hyperlink" Target="https://www.junyiacademy.org/topics/k-m7a" TargetMode="External"/><Relationship Id="rId111" Type="http://schemas.openxmlformats.org/officeDocument/2006/relationships/hyperlink" Target="https://www.junyiacademy.org/topics/k-m8a" TargetMode="External"/><Relationship Id="rId112" Type="http://schemas.openxmlformats.org/officeDocument/2006/relationships/hyperlink" Target="https://www.junyiacademy.org/topics/k-m8a" TargetMode="External"/><Relationship Id="rId113" Type="http://schemas.openxmlformats.org/officeDocument/2006/relationships/hyperlink" Target="https://www.junyiacademy.org/topics/k-m8a" TargetMode="External"/><Relationship Id="rId114" Type="http://schemas.openxmlformats.org/officeDocument/2006/relationships/hyperlink" Target="https://www.junyiacademy.org/topics/k-m8a" TargetMode="External"/><Relationship Id="rId115" Type="http://schemas.openxmlformats.org/officeDocument/2006/relationships/hyperlink" Target="https://www.junyiacademy.org/topics/k-m8a" TargetMode="External"/><Relationship Id="rId116" Type="http://schemas.openxmlformats.org/officeDocument/2006/relationships/hyperlink" Target="https://www.learnmode.net/course/638732/content" TargetMode="External"/><Relationship Id="rId117" Type="http://schemas.openxmlformats.org/officeDocument/2006/relationships/hyperlink" Target="https://www.learnmode.net/course/638732/content" TargetMode="External"/><Relationship Id="rId118" Type="http://schemas.openxmlformats.org/officeDocument/2006/relationships/hyperlink" Target="https://www.learnmode.net/course/638732/content" TargetMode="External"/><Relationship Id="rId119" Type="http://schemas.openxmlformats.org/officeDocument/2006/relationships/hyperlink" Target="https://www.learnmode.net/course/638732/content" TargetMode="External"/><Relationship Id="rId120" Type="http://schemas.openxmlformats.org/officeDocument/2006/relationships/hyperlink" Target="https://digitalmaster.knsh.com.tw/ju/math/webgames/B5.html" TargetMode="External"/><Relationship Id="rId121" Type="http://schemas.openxmlformats.org/officeDocument/2006/relationships/hyperlink" Target="https://digitalmaster.knsh.com.tw/ju/math/webgames/B5.html" TargetMode="External"/><Relationship Id="rId122" Type="http://schemas.openxmlformats.org/officeDocument/2006/relationships/hyperlink" Target="https://digitalmaster.knsh.com.tw/ju/math/webgames/B5.html" TargetMode="External"/><Relationship Id="rId123" Type="http://schemas.openxmlformats.org/officeDocument/2006/relationships/hyperlink" Target="https://digitalmaster.knsh.com.tw/all/video/j/math_page.html?l1=&#32722;&#20316;&#35299;&#38988;&amp;l2=9&#19979;" TargetMode="External"/><Relationship Id="rId124" Type="http://schemas.openxmlformats.org/officeDocument/2006/relationships/hyperlink" Target="https://digitalmaster.knsh.com.tw/all/video/j/math_page.html?l1=&#32722;&#20316;&#35299;&#38988;&amp;l2=9&#19979;" TargetMode="External"/><Relationship Id="rId125" Type="http://schemas.openxmlformats.org/officeDocument/2006/relationships/hyperlink" Target="https://digitalmaster.knsh.com.tw/ju/math/webgames/B6.html" TargetMode="External"/><Relationship Id="rId126" Type="http://schemas.openxmlformats.org/officeDocument/2006/relationships/hyperlink" Target="https://digitalmaster.knsh.com.tw/all/video/j/cs_page.html?l1=8&#19979;&amp;l2=&#31532;3&#35506;&#12288;&#29359;&#32618;&#33287;&#21009;&#32624;" TargetMode="External"/><Relationship Id="rId127" Type="http://schemas.openxmlformats.org/officeDocument/2006/relationships/hyperlink" Target="https://course.cyc.edu.tw/upfile/course110/sub1/14793292177358929.pdf" TargetMode="External"/><Relationship Id="rId128" Type="http://schemas.openxmlformats.org/officeDocument/2006/relationships/hyperlink" Target="https://course.cyc.edu.tw/upfile/course110/sub1/14793292177358929.pdf" TargetMode="External"/><Relationship Id="rId129" Type="http://schemas.openxmlformats.org/officeDocument/2006/relationships/hyperlink" Target="https://course.cyc.edu.tw/upfile/course110/sub1/14793292177358929.pdf" TargetMode="External"/><Relationship Id="rId130" Type="http://schemas.openxmlformats.org/officeDocument/2006/relationships/hyperlink" Target="https://course.cyc.edu.tw/upfile/course110/sub1/14793292177358929.pdf" TargetMode="External"/><Relationship Id="rId131" Type="http://schemas.openxmlformats.org/officeDocument/2006/relationships/hyperlink" Target="https://course.cyc.edu.tw/upfile/course110/sub1/14793292177358929.pdf" TargetMode="External"/><Relationship Id="rId132" Type="http://schemas.openxmlformats.org/officeDocument/2006/relationships/hyperlink" Target="https://course.cyc.edu.tw/upfile/course110/sub1/14793292177358929.pdf" TargetMode="External"/><Relationship Id="rId133" Type="http://schemas.openxmlformats.org/officeDocument/2006/relationships/hyperlink" Target="https://course.cyc.edu.tw/upfile/course110/sub1/14793292177358929.pdf" TargetMode="External"/><Relationship Id="rId134" Type="http://schemas.openxmlformats.org/officeDocument/2006/relationships/hyperlink" Target="https://course.cyc.edu.tw/upfile/course110/sub1/14793292177358929.pdf" TargetMode="External"/><Relationship Id="rId135" Type="http://schemas.openxmlformats.org/officeDocument/2006/relationships/hyperlink" Target="https://course.cyc.edu.tw/upfile/course110/sub1/14793292177358929.pdf" TargetMode="External"/><Relationship Id="rId136" Type="http://schemas.openxmlformats.org/officeDocument/2006/relationships/hyperlink" Target="https://www.junyiacademy.org/topics/n-m7a" TargetMode="External"/><Relationship Id="rId137" Type="http://schemas.openxmlformats.org/officeDocument/2006/relationships/hyperlink" Target="https://www.junyiacademy.org/topics/n-m7a" TargetMode="External"/><Relationship Id="rId138" Type="http://schemas.openxmlformats.org/officeDocument/2006/relationships/hyperlink" Target="https://www.junyiacademy.org/topics/n-m7a" TargetMode="External"/><Relationship Id="rId139" Type="http://schemas.openxmlformats.org/officeDocument/2006/relationships/hyperlink" Target="https://junyiacademy.org/n-m7b-c01" TargetMode="External"/><Relationship Id="rId140" Type="http://schemas.openxmlformats.org/officeDocument/2006/relationships/hyperlink" Target="https://www.junyiacademy.org/topics/n-m7a" TargetMode="External"/><Relationship Id="rId141" Type="http://schemas.openxmlformats.org/officeDocument/2006/relationships/hyperlink" Target="https://www.junyiacademy.org/topics/n-m7a" TargetMode="External"/><Relationship Id="rId142" Type="http://schemas.openxmlformats.org/officeDocument/2006/relationships/hyperlink" Target="https://www.junyiacademy.org/topics/n-m7a" TargetMode="External"/><Relationship Id="rId143" Type="http://schemas.openxmlformats.org/officeDocument/2006/relationships/hyperlink" Target="https://www.junyiacademy.org/topics/n-m7a" TargetMode="External"/><Relationship Id="rId144" Type="http://schemas.openxmlformats.org/officeDocument/2006/relationships/hyperlink" Target="https://www.junyiacademy.org/topics/n-m7a" TargetMode="External"/><Relationship Id="rId145" Type="http://schemas.openxmlformats.org/officeDocument/2006/relationships/hyperlink" Target="https://www.junyiacademy.org/topics/n-m8a" TargetMode="External"/><Relationship Id="rId146" Type="http://schemas.openxmlformats.org/officeDocument/2006/relationships/hyperlink" Target="https://www.junyiacademy.org/topics/n-m8a" TargetMode="External"/><Relationship Id="rId147" Type="http://schemas.openxmlformats.org/officeDocument/2006/relationships/hyperlink" Target="https://www.junyiacademy.org/topics/n-m8a" TargetMode="External"/><Relationship Id="rId148" Type="http://schemas.openxmlformats.org/officeDocument/2006/relationships/hyperlink" Target="https://www.junyiacademy.org/topics/n-m8a" TargetMode="External"/><Relationship Id="rId149" Type="http://schemas.openxmlformats.org/officeDocument/2006/relationships/hyperlink" Target="https://www.junyiacademy.org/topics/n-m8b-c01" TargetMode="External"/><Relationship Id="rId150" Type="http://schemas.openxmlformats.org/officeDocument/2006/relationships/hyperlink" Target="https://www.junyiacademy.org/topics/n-m8a" TargetMode="External"/><Relationship Id="rId151" Type="http://schemas.openxmlformats.org/officeDocument/2006/relationships/hyperlink" Target="https://www.junyiacademy.org/topics/n-m8b-c03" TargetMode="External"/><Relationship Id="rId152" Type="http://schemas.openxmlformats.org/officeDocument/2006/relationships/hyperlink" Target="https://www.junyiacademy.org/topics/n-m8a" TargetMode="External"/><Relationship Id="rId153" Type="http://schemas.openxmlformats.org/officeDocument/2006/relationships/hyperlink" Target="https://www.junyiacademy.org/n-m9a-c01" TargetMode="External"/><Relationship Id="rId154" Type="http://schemas.openxmlformats.org/officeDocument/2006/relationships/hyperlink" Target="https://www.junyiacademy.org/topics/math-9" TargetMode="External"/><Relationship Id="rId155" Type="http://schemas.openxmlformats.org/officeDocument/2006/relationships/hyperlink" Target="https://www.junyiacademy.org/videos/GRSPmQ04hB0?topic=course-compare%2Fmath-juni%2Fmath-9%2Fn-m9a%2Fn-m9a-c03%2Fn-m9a-c03-1" TargetMode="External"/><Relationship Id="rId156" Type="http://schemas.openxmlformats.org/officeDocument/2006/relationships/hyperlink" Target="https://www.junyiacademy.org/exercise/n-m9bch3-2-4a?parent-topic-id=n-m9b-c02-1" TargetMode="External"/><Relationship Id="rId157" Type="http://schemas.openxmlformats.org/officeDocument/2006/relationships/hyperlink" Target="https://www.junyiacademy.org/n-m9b-c03" TargetMode="External"/><Relationship Id="rId158" Type="http://schemas.openxmlformats.org/officeDocument/2006/relationships/hyperlink" Target="https://www.junyiacademy.org/exercises/njbsb7cb?topic=junyi-science%2Fscience-juni%2Ftmp_js%2Fn-s7a%2Fn-s7a-ch1" TargetMode="External"/><Relationship Id="rId159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nhush.tp.edu.tw/wp-content/uploads/doc/nhush602/109&#24180;&#24230;&#31532;2&#23416;&#26399;&#39640;&#19968;&#21270;&#23416;.pdf" TargetMode="External"/><Relationship Id="rId2" Type="http://schemas.openxmlformats.org/officeDocument/2006/relationships/hyperlink" Target="https://www.nhush.tp.edu.tw/wp-content/uploads/doc/nhush602/109&#24180;&#24230;&#31532;2&#23416;&#26399;&#39640;&#19968;&#21270;&#23416;.pdf" TargetMode="External"/><Relationship Id="rId3" Type="http://schemas.openxmlformats.org/officeDocument/2006/relationships/hyperlink" Target="https://www.nhush.tp.edu.tw/wp-content/uploads/doc/nhush602/109&#24180;&#24230;&#31532;2&#23416;&#26399;&#39640;&#19968;&#21270;&#23416;.pdf" TargetMode="External"/><Relationship Id="rId4" Type="http://schemas.openxmlformats.org/officeDocument/2006/relationships/hyperlink" Target="https://www.nhush.tp.edu.tw/wp-content/uploads/doc/nhush602/109&#24180;&#24230;&#31532;2&#23416;&#26399;&#39640;&#19968;&#21270;&#23416;.pdf" TargetMode="External"/><Relationship Id="rId5" Type="http://schemas.openxmlformats.org/officeDocument/2006/relationships/hyperlink" Target="https://www.hs.ntnu.edu.tw/static/webroot/G162269151451663/application/NW167904652851841.pdf" TargetMode="External"/><Relationship Id="rId6" Type="http://schemas.openxmlformats.org/officeDocument/2006/relationships/hyperlink" Target="https://www.hs.ntnu.edu.tw/static/webroot/G162269151451663/application/NW167904652851841.pdf" TargetMode="External"/><Relationship Id="rId7" Type="http://schemas.openxmlformats.org/officeDocument/2006/relationships/hyperlink" Target="https://www.sanmin.com.tw/product/index/013368794" TargetMode="External"/><Relationship Id="rId8" Type="http://schemas.openxmlformats.org/officeDocument/2006/relationships/hyperlink" Target="https://www.sanmin.com.tw/product/index/013368794" TargetMode="External"/><Relationship Id="rId9" Type="http://schemas.openxmlformats.org/officeDocument/2006/relationships/hyperlink" Target="https://www.sanmin.com.tw/product/index/013368794" TargetMode="External"/><Relationship Id="rId10" Type="http://schemas.openxmlformats.org/officeDocument/2006/relationships/hyperlink" Target="https://www.sanmin.com.tw/product/index/007588879" TargetMode="External"/><Relationship Id="rId11" Type="http://schemas.openxmlformats.org/officeDocument/2006/relationships/hyperlink" Target="https://www.sanmin.com.tw/product/index/007588879" TargetMode="External"/><Relationship Id="rId12" Type="http://schemas.openxmlformats.org/officeDocument/2006/relationships/hyperlink" Target="https://www.sanmin.com.tw/product/index/007588879" TargetMode="External"/><Relationship Id="rId13" Type="http://schemas.openxmlformats.org/officeDocument/2006/relationships/hyperlink" Target="https://www.sanmin.com.tw/product/index/007588879" TargetMode="External"/><Relationship Id="rId14" Type="http://schemas.openxmlformats.org/officeDocument/2006/relationships/hyperlink" Target="https://www.sanmin.com.tw/product/index/007588879" TargetMode="External"/><Relationship Id="rId15" Type="http://schemas.openxmlformats.org/officeDocument/2006/relationships/hyperlink" Target="https://www.sanmin.com.tw/product/index/007762030" TargetMode="External"/><Relationship Id="rId16" Type="http://schemas.openxmlformats.org/officeDocument/2006/relationships/hyperlink" Target="https://www.sanmin.com.tw/product/index/007762030" TargetMode="External"/><Relationship Id="rId17" Type="http://schemas.openxmlformats.org/officeDocument/2006/relationships/hyperlink" Target="https://www.sanmin.com.tw/product/index/007762030" TargetMode="External"/><Relationship Id="rId18" Type="http://schemas.openxmlformats.org/officeDocument/2006/relationships/hyperlink" Target="https://www.sanmin.com.tw/product/index/007761890" TargetMode="External"/><Relationship Id="rId19" Type="http://schemas.openxmlformats.org/officeDocument/2006/relationships/hyperlink" Target="https://www.sanmin.com.tw/product/index/007761890" TargetMode="External"/><Relationship Id="rId20" Type="http://schemas.openxmlformats.org/officeDocument/2006/relationships/hyperlink" Target="https://www.sanmin.com.tw/product/index/007761890" TargetMode="External"/><Relationship Id="rId21" Type="http://schemas.openxmlformats.org/officeDocument/2006/relationships/hyperlink" Target="https://www.sanmin.com.tw/product/index/008521408" TargetMode="External"/><Relationship Id="rId22" Type="http://schemas.openxmlformats.org/officeDocument/2006/relationships/hyperlink" Target="https://www.sanmin.com.tw/product/index/008521408" TargetMode="External"/><Relationship Id="rId23" Type="http://schemas.openxmlformats.org/officeDocument/2006/relationships/hyperlink" Target="https://www.sanmin.com.tw/product/index/008521408" TargetMode="External"/><Relationship Id="rId24" Type="http://schemas.openxmlformats.org/officeDocument/2006/relationships/hyperlink" Target="https://www.sanmin.com.tw/product/index/008521408" TargetMode="External"/><Relationship Id="rId25" Type="http://schemas.openxmlformats.org/officeDocument/2006/relationships/hyperlink" Target="https://www.sanmin.com.tw/product/index/010193633" TargetMode="External"/><Relationship Id="rId26" Type="http://schemas.openxmlformats.org/officeDocument/2006/relationships/hyperlink" Target="https://www.sanmin.com.tw/product/index/010193633" TargetMode="External"/><Relationship Id="rId27" Type="http://schemas.openxmlformats.org/officeDocument/2006/relationships/hyperlink" Target="https://www.sanmin.com.tw/product/index/010193633" TargetMode="External"/><Relationship Id="rId28" Type="http://schemas.openxmlformats.org/officeDocument/2006/relationships/hyperlink" Target="https://www.sanmin.com.tw/product/index/009636572" TargetMode="External"/><Relationship Id="rId29" Type="http://schemas.openxmlformats.org/officeDocument/2006/relationships/hyperlink" Target="https://www.sanmin.com.tw/product/index/009636572" TargetMode="External"/><Relationship Id="rId30" Type="http://schemas.openxmlformats.org/officeDocument/2006/relationships/hyperlink" Target="https://www.sanmin.com.tw/product/index/009636572" TargetMode="External"/><Relationship Id="rId31" Type="http://schemas.openxmlformats.org/officeDocument/2006/relationships/hyperlink" Target="https://www.sanmin.com.tw/product/index/010611856" TargetMode="External"/><Relationship Id="rId32" Type="http://schemas.openxmlformats.org/officeDocument/2006/relationships/hyperlink" Target="https://www.sanmin.com.tw/product/index/010611856" TargetMode="External"/><Relationship Id="rId33" Type="http://schemas.openxmlformats.org/officeDocument/2006/relationships/hyperlink" Target="https://www.sanmin.com.tw/product/index/010611856" TargetMode="External"/><Relationship Id="rId34" Type="http://schemas.openxmlformats.org/officeDocument/2006/relationships/hyperlink" Target="https://www.sanmin.com.tw/product/index/010194614" TargetMode="External"/><Relationship Id="rId35" Type="http://schemas.openxmlformats.org/officeDocument/2006/relationships/hyperlink" Target="https://www.sanmin.com.tw/product/index/010194614" TargetMode="External"/><Relationship Id="rId36" Type="http://schemas.openxmlformats.org/officeDocument/2006/relationships/hyperlink" Target="https://www.sanmin.com.tw/product/index/010194614" TargetMode="External"/><Relationship Id="rId37" Type="http://schemas.openxmlformats.org/officeDocument/2006/relationships/hyperlink" Target="https://www.ltedu.com.tw/web/prodDetail.aspx?ID=9723" TargetMode="External"/><Relationship Id="rId38" Type="http://schemas.openxmlformats.org/officeDocument/2006/relationships/hyperlink" Target="https://www.ltedu.com.tw/web/prodDetail.aspx?ID=9723" TargetMode="External"/><Relationship Id="rId39" Type="http://schemas.openxmlformats.org/officeDocument/2006/relationships/hyperlink" Target="https://www.ltedu.com.tw/web/prodDetail.aspx?ID=9723" TargetMode="External"/><Relationship Id="rId40" Type="http://schemas.openxmlformats.org/officeDocument/2006/relationships/hyperlink" Target="https://www.ltedu.com.tw/web/prodDetail.aspx?ID=9723" TargetMode="External"/><Relationship Id="rId41" Type="http://schemas.openxmlformats.org/officeDocument/2006/relationships/hyperlink" Target="https://www.ltedu.com.tw/web/prodDetail.aspx?ID=9723" TargetMode="External"/><Relationship Id="rId42" Type="http://schemas.openxmlformats.org/officeDocument/2006/relationships/hyperlink" Target="https://www.ltedu.com.tw/web/prodDetail.aspx?ID=9723" TargetMode="External"/><Relationship Id="rId43" Type="http://schemas.openxmlformats.org/officeDocument/2006/relationships/hyperlink" Target="https://www.ltedu.com.tw/web/prodDetail.aspx?ID=9723" TargetMode="External"/><Relationship Id="rId44" Type="http://schemas.openxmlformats.org/officeDocument/2006/relationships/hyperlink" Target="https://www.ltedu.com.tw/web/prodDetail.aspx?ID=9723" TargetMode="External"/><Relationship Id="rId45" Type="http://schemas.openxmlformats.org/officeDocument/2006/relationships/hyperlink" Target="https://www.ltedu.com.tw/web/prodDetail.aspx?ID=9723" TargetMode="External"/><Relationship Id="rId46" Type="http://schemas.openxmlformats.org/officeDocument/2006/relationships/hyperlink" Target="https://www.ltedu.com.tw/web/prodDetail.aspx?ID=9723" TargetMode="External"/><Relationship Id="rId47" Type="http://schemas.openxmlformats.org/officeDocument/2006/relationships/hyperlink" Target="https://www.ltedu.com.tw/web/prodDetail.aspx?ID=9723" TargetMode="External"/><Relationship Id="rId48" Type="http://schemas.openxmlformats.org/officeDocument/2006/relationships/hyperlink" Target="https://senior.wagor.tc.edu.tw/sites/default/files/edu12/21092/FILE_114%20&#23416;&#24180;&#24230;&#35506;&#31243;&#23416;&#32722;&#25104;&#26524;&#20839;&#23481;&#35498;&#26126;(&#26222;&#19968;&#19979;_&#40643;&#20426;&#36066;).docx" TargetMode="External"/><Relationship Id="rId49" Type="http://schemas.openxmlformats.org/officeDocument/2006/relationships/hyperlink" Target="https://senior.wagor.tc.edu.tw/sites/default/files/edu12/21092/FILE_114%20&#23416;&#24180;&#24230;&#35506;&#31243;&#23416;&#32722;&#25104;&#26524;&#20839;&#23481;&#35498;&#26126;(&#26222;&#19968;&#19979;_&#40643;&#20426;&#36066;).docx" TargetMode="External"/><Relationship Id="rId50" Type="http://schemas.openxmlformats.org/officeDocument/2006/relationships/hyperlink" Target="https://senior.wagor.tc.edu.tw/sites/default/files/edu12/21092/FILE_114%20&#23416;&#24180;&#24230;&#35506;&#31243;&#23416;&#32722;&#25104;&#26524;&#20839;&#23481;&#35498;&#26126;(&#26222;&#19968;&#19979;_&#40643;&#20426;&#36066;).docx" TargetMode="External"/><Relationship Id="rId51" Type="http://schemas.openxmlformats.org/officeDocument/2006/relationships/hyperlink" Target="https://senior.wagor.tc.edu.tw/sites/default/files/edu12/21092/FILE_114%20&#23416;&#24180;&#24230;&#35506;&#31243;&#23416;&#32722;&#25104;&#26524;&#20839;&#23481;&#35498;&#26126;(&#26222;&#19968;&#19979;_&#40643;&#20426;&#36066;).docx" TargetMode="External"/><Relationship Id="rId52" Type="http://schemas.openxmlformats.org/officeDocument/2006/relationships/hyperlink" Target="https://senior.wagor.tc.edu.tw/sites/default/files/edu12/21092/FILE_114%20&#23416;&#24180;&#24230;&#35506;&#31243;&#23416;&#32722;&#25104;&#26524;&#20839;&#23481;&#35498;&#26126;(&#26222;&#19968;&#19979;_&#40643;&#20426;&#36066;).docx" TargetMode="External"/><Relationship Id="rId53" Type="http://schemas.openxmlformats.org/officeDocument/2006/relationships/hyperlink" Target="https://senior.wagor.tc.edu.tw/sites/default/files/edu12/21092/FILE_114%20&#23416;&#24180;&#24230;&#35506;&#31243;&#23416;&#32722;&#25104;&#26524;&#20839;&#23481;&#35498;&#26126;(&#26222;&#19968;&#19979;_&#40643;&#20426;&#36066;).docx" TargetMode="External"/><Relationship Id="rId54" Type="http://schemas.openxmlformats.org/officeDocument/2006/relationships/hyperlink" Target="https://senior.wagor.tc.edu.tw/sites/default/files/edu12/21092/FILE_114%20&#23416;&#24180;&#24230;&#35506;&#31243;&#23416;&#32722;&#25104;&#26524;&#20839;&#23481;&#35498;&#26126;(&#26222;&#19968;&#19979;_&#40643;&#20426;&#36066;).docx" TargetMode="External"/><Relationship Id="rId55" Type="http://schemas.openxmlformats.org/officeDocument/2006/relationships/hyperlink" Target="https://senior.wagor.tc.edu.tw/sites/default/files/edu12/21092/FILE_114%20&#23416;&#24180;&#24230;&#35506;&#31243;&#23416;&#32722;&#25104;&#26524;&#20839;&#23481;&#35498;&#26126;(&#26222;&#19968;&#19979;_&#40643;&#20426;&#36066;).docx" TargetMode="External"/><Relationship Id="rId56" Type="http://schemas.openxmlformats.org/officeDocument/2006/relationships/hyperlink" Target="https://senior.wagor.tc.edu.tw/sites/default/files/edu12/21092/FILE_114%20&#23416;&#24180;&#24230;&#35506;&#31243;&#23416;&#32722;&#25104;&#26524;&#20839;&#23481;&#35498;&#26126;(&#26222;&#19968;&#19979;_&#40643;&#20426;&#36066;).docx" TargetMode="External"/><Relationship Id="rId57" Type="http://schemas.openxmlformats.org/officeDocument/2006/relationships/hyperlink" Target="https://senior.wagor.tc.edu.tw/sites/default/files/edu12/21092/FILE_114%20&#23416;&#24180;&#24230;&#35506;&#31243;&#23416;&#32722;&#25104;&#26524;&#20839;&#23481;&#35498;&#26126;(&#26222;&#19968;&#19979;_&#40643;&#20426;&#36066;).docx" TargetMode="External"/><Relationship Id="rId58" Type="http://schemas.openxmlformats.org/officeDocument/2006/relationships/hyperlink" Target="https://senior.wagor.tc.edu.tw/sites/default/files/edu12/21092/FILE_114%20&#23416;&#24180;&#24230;&#35506;&#31243;&#23416;&#32722;&#25104;&#26524;&#20839;&#23481;&#35498;&#26126;(&#26222;&#19968;&#19979;_&#40643;&#20426;&#36066;).docx" TargetMode="External"/><Relationship Id="rId59" Type="http://schemas.openxmlformats.org/officeDocument/2006/relationships/hyperlink" Target="https://senior.wagor.tc.edu.tw/sites/default/files/edu12/21092/FILE_114%20&#23416;&#24180;&#24230;&#35506;&#31243;&#23416;&#32722;&#25104;&#26524;&#20839;&#23481;&#35498;&#26126;(&#26222;&#19968;&#19979;_&#40643;&#20426;&#36066;).docx" TargetMode="External"/><Relationship Id="rId60" Type="http://schemas.openxmlformats.org/officeDocument/2006/relationships/hyperlink" Target="https://www.ltedu.com.tw/web/prodDetail.aspx?ID=9994" TargetMode="External"/><Relationship Id="rId61" Type="http://schemas.openxmlformats.org/officeDocument/2006/relationships/hyperlink" Target="https://www.ltedu.com.tw/web/prodDetail.aspx?ID=9994" TargetMode="External"/><Relationship Id="rId62" Type="http://schemas.openxmlformats.org/officeDocument/2006/relationships/hyperlink" Target="https://www.ltedu.com.tw/web/prodDetail.aspx?ID=9994" TargetMode="External"/><Relationship Id="rId63" Type="http://schemas.openxmlformats.org/officeDocument/2006/relationships/hyperlink" Target="https://www.ltedu.com.tw/web/prodDetail.aspx?ID=9994" TargetMode="External"/><Relationship Id="rId64" Type="http://schemas.openxmlformats.org/officeDocument/2006/relationships/hyperlink" Target="https://www.ltedu.com.tw/web/prodDetail.aspx?ID=9994" TargetMode="External"/><Relationship Id="rId65" Type="http://schemas.openxmlformats.org/officeDocument/2006/relationships/hyperlink" Target="https://www.ltedu.com.tw/web/prodDetail.aspx?ID=9994" TargetMode="External"/><Relationship Id="rId66" Type="http://schemas.openxmlformats.org/officeDocument/2006/relationships/hyperlink" Target="https://www.ltedu.com.tw/web/prodDetail.aspx?ID=9994" TargetMode="External"/><Relationship Id="rId67" Type="http://schemas.openxmlformats.org/officeDocument/2006/relationships/hyperlink" Target="https://www.ltedu.com.tw/web/prodDetail.aspx?ID=9994" TargetMode="External"/><Relationship Id="rId68" Type="http://schemas.openxmlformats.org/officeDocument/2006/relationships/hyperlink" Target="https://www.ltedu.com.tw/web/prodDetail.aspx?ID=9994" TargetMode="External"/><Relationship Id="rId69" Type="http://schemas.openxmlformats.org/officeDocument/2006/relationships/hyperlink" Target="https://www.ltedu.com.tw/web/prodDetail.aspx?ID=9994" TargetMode="External"/><Relationship Id="rId70" Type="http://schemas.openxmlformats.org/officeDocument/2006/relationships/hyperlink" Target="https://www.ltedu.com.tw/web/prodDetail.aspx?ID=9972" TargetMode="External"/><Relationship Id="rId71" Type="http://schemas.openxmlformats.org/officeDocument/2006/relationships/hyperlink" Target="https://www.ltedu.com.tw/web/prodDetail.aspx?ID=9972" TargetMode="External"/><Relationship Id="rId72" Type="http://schemas.openxmlformats.org/officeDocument/2006/relationships/hyperlink" Target="https://www.ltedu.com.tw/web/prodDetail.aspx?ID=9972" TargetMode="External"/><Relationship Id="rId73" Type="http://schemas.openxmlformats.org/officeDocument/2006/relationships/hyperlink" Target="https://www.ltedu.com.tw/web/prodDetail.aspx?ID=9972" TargetMode="External"/><Relationship Id="rId74" Type="http://schemas.openxmlformats.org/officeDocument/2006/relationships/hyperlink" Target="https://www.ltedu.com.tw/web/prodDetail.aspx?ID=9972" TargetMode="External"/><Relationship Id="rId75" Type="http://schemas.openxmlformats.org/officeDocument/2006/relationships/hyperlink" Target="https://www.ltedu.com.tw/web/prodDetail.aspx?ID=9972" TargetMode="External"/><Relationship Id="rId76" Type="http://schemas.openxmlformats.org/officeDocument/2006/relationships/hyperlink" Target="https://www.ltedu.com.tw/web/prodDetail.aspx?ID=9972" TargetMode="External"/><Relationship Id="rId77" Type="http://schemas.openxmlformats.org/officeDocument/2006/relationships/hyperlink" Target="https://www.ltedu.com.tw/web/prodDetail.aspx?ID=10111" TargetMode="External"/><Relationship Id="rId78" Type="http://schemas.openxmlformats.org/officeDocument/2006/relationships/hyperlink" Target="https://www.ltedu.com.tw/web/prodDetail.aspx?ID=10111" TargetMode="External"/><Relationship Id="rId79" Type="http://schemas.openxmlformats.org/officeDocument/2006/relationships/hyperlink" Target="https://www.ltedu.com.tw/web/prodDetail.aspx?ID=10111" TargetMode="External"/><Relationship Id="rId80" Type="http://schemas.openxmlformats.org/officeDocument/2006/relationships/hyperlink" Target="https://www.ltedu.com.tw/web/prodDetail.aspx?ID=10111" TargetMode="External"/><Relationship Id="rId81" Type="http://schemas.openxmlformats.org/officeDocument/2006/relationships/hyperlink" Target="https://www.ltedu.com.tw/web/prodDetail.aspx?ID=10111" TargetMode="External"/><Relationship Id="rId82" Type="http://schemas.openxmlformats.org/officeDocument/2006/relationships/hyperlink" Target="https://www.ltedu.com.tw/web/prodDetail.aspx?ID=10111" TargetMode="External"/><Relationship Id="rId83" Type="http://schemas.openxmlformats.org/officeDocument/2006/relationships/hyperlink" Target="https://www.ltedu.com.tw/web/prodDetail.aspx?ID=10111" TargetMode="External"/><Relationship Id="rId84" Type="http://schemas.openxmlformats.org/officeDocument/2006/relationships/hyperlink" Target="https://www.ltedu.com.tw/web/prodDetail.aspx?ID=10111" TargetMode="External"/><Relationship Id="rId85" Type="http://schemas.openxmlformats.org/officeDocument/2006/relationships/hyperlink" Target="https://www.ltedu.com.tw/web/prodDetail.aspx?ID=10111" TargetMode="External"/><Relationship Id="rId86" Type="http://schemas.openxmlformats.org/officeDocument/2006/relationships/hyperlink" Target="https://www.ltedu.com.tw/web/prodDetail.aspx?ID=10111" TargetMode="External"/><Relationship Id="rId87" Type="http://schemas.openxmlformats.org/officeDocument/2006/relationships/hyperlink" Target="https://www.ltedu.com.tw/web/prodDetail.aspx?ID=10102" TargetMode="External"/><Relationship Id="rId88" Type="http://schemas.openxmlformats.org/officeDocument/2006/relationships/hyperlink" Target="https://www.ltedu.com.tw/web/prodDetail.aspx?ID=10102" TargetMode="External"/><Relationship Id="rId89" Type="http://schemas.openxmlformats.org/officeDocument/2006/relationships/hyperlink" Target="https://www.ltedu.com.tw/web/prodDetail.aspx?ID=10102" TargetMode="External"/><Relationship Id="rId90" Type="http://schemas.openxmlformats.org/officeDocument/2006/relationships/hyperlink" Target="https://www.ltedu.com.tw/web/prodDetail.aspx?ID=10166" TargetMode="External"/><Relationship Id="rId91" Type="http://schemas.openxmlformats.org/officeDocument/2006/relationships/hyperlink" Target="https://www.ltedu.com.tw/web/prodDetail.aspx?ID=10166" TargetMode="External"/><Relationship Id="rId92" Type="http://schemas.openxmlformats.org/officeDocument/2006/relationships/hyperlink" Target="https://www.ltedu.com.tw/web/prodDetail.aspx?ID=10166" TargetMode="External"/><Relationship Id="rId93" Type="http://schemas.openxmlformats.org/officeDocument/2006/relationships/hyperlink" Target="https://www.ltedu.com.tw/web/prodDetail.aspx?ID=10166" TargetMode="External"/><Relationship Id="rId94" Type="http://schemas.openxmlformats.org/officeDocument/2006/relationships/hyperlink" Target="https://www.ltedu.com.tw/web/prodDetail.aspx?ID=10166" TargetMode="External"/><Relationship Id="rId95" Type="http://schemas.openxmlformats.org/officeDocument/2006/relationships/hyperlink" Target="https://www.ltedu.com.tw/web/prodDetail.aspx?ID=10300" TargetMode="External"/><Relationship Id="rId96" Type="http://schemas.openxmlformats.org/officeDocument/2006/relationships/hyperlink" Target="https://www.ltedu.com.tw/web/prodDetail.aspx?ID=10300" TargetMode="External"/><Relationship Id="rId97" Type="http://schemas.openxmlformats.org/officeDocument/2006/relationships/hyperlink" Target="https://www.ltedu.com.tw/web/prodDetail.aspx?ID=10300" TargetMode="External"/><Relationship Id="rId98" Type="http://schemas.openxmlformats.org/officeDocument/2006/relationships/hyperlink" Target="https://www.ltedu.com.tw/web/prodDetail.aspx?ID=10300" TargetMode="External"/><Relationship Id="rId99" Type="http://schemas.openxmlformats.org/officeDocument/2006/relationships/hyperlink" Target="https://www.ltedu.com.tw/web/prodDetail.aspx?ID=10300" TargetMode="External"/><Relationship Id="rId100" Type="http://schemas.openxmlformats.org/officeDocument/2006/relationships/hyperlink" Target="https://www.ltedu.com.tw/web/prodDetail.aspx?ID=10300" TargetMode="External"/><Relationship Id="rId101" Type="http://schemas.openxmlformats.org/officeDocument/2006/relationships/hyperlink" Target="https://www.ltedu.com.tw/web/prodDetail.aspx?ID=10402" TargetMode="External"/><Relationship Id="rId102" Type="http://schemas.openxmlformats.org/officeDocument/2006/relationships/hyperlink" Target="https://www.ltedu.com.tw/web/prodDetail.aspx?ID=10402" TargetMode="External"/><Relationship Id="rId103" Type="http://schemas.openxmlformats.org/officeDocument/2006/relationships/hyperlink" Target="https://www.ltedu.com.tw/web/prodDetail.aspx?ID=10402" TargetMode="External"/><Relationship Id="rId104" Type="http://schemas.openxmlformats.org/officeDocument/2006/relationships/hyperlink" Target="https://www.ltedu.com.tw/web/prodDetail.aspx?ID=10402" TargetMode="External"/><Relationship Id="rId105" Type="http://schemas.openxmlformats.org/officeDocument/2006/relationships/hyperlink" Target="https://www.ltedu.com.tw/web/prodDetail.aspx?ID=10402" TargetMode="External"/><Relationship Id="rId106" Type="http://schemas.openxmlformats.org/officeDocument/2006/relationships/hyperlink" Target="https://www.ltedu.com.tw/web/prodDetail.aspx?ID=10298" TargetMode="External"/><Relationship Id="rId107" Type="http://schemas.openxmlformats.org/officeDocument/2006/relationships/hyperlink" Target="https://www.ltedu.com.tw/web/prodDetail.aspx?ID=10298" TargetMode="External"/><Relationship Id="rId108" Type="http://schemas.openxmlformats.org/officeDocument/2006/relationships/hyperlink" Target="https://www.ltedu.com.tw/web/prodDetail.aspx?ID=10298" TargetMode="External"/><Relationship Id="rId109" Type="http://schemas.openxmlformats.org/officeDocument/2006/relationships/hyperlink" Target="https://www.ltedu.com.tw/web/prodDetail.aspx?ID=10298" TargetMode="External"/><Relationship Id="rId110" Type="http://schemas.openxmlformats.org/officeDocument/2006/relationships/hyperlink" Target="https://www.ltedu.com.tw/web/prodDetail.aspx?ID=10298" TargetMode="External"/><Relationship Id="rId111" Type="http://schemas.openxmlformats.org/officeDocument/2006/relationships/hyperlink" Target="https://www.ltedu.com.tw/web/prodDetail.aspx?ID=10298" TargetMode="External"/><Relationship Id="rId112" Type="http://schemas.openxmlformats.org/officeDocument/2006/relationships/hyperlink" Target="https://www.ltedu.com.tw/web/prodDetail.aspx?ID=10403" TargetMode="External"/><Relationship Id="rId113" Type="http://schemas.openxmlformats.org/officeDocument/2006/relationships/hyperlink" Target="https://www.ltedu.com.tw/web/prodDetail.aspx?ID=10403" TargetMode="External"/><Relationship Id="rId114" Type="http://schemas.openxmlformats.org/officeDocument/2006/relationships/hyperlink" Target="https://www.ltedu.com.tw/web/prodDetail.aspx?ID=10403" TargetMode="External"/><Relationship Id="rId115" Type="http://schemas.openxmlformats.org/officeDocument/2006/relationships/hyperlink" Target="https://www.ltedu.com.tw/web/prodDetail.aspx?ID=10403" TargetMode="External"/><Relationship Id="rId116" Type="http://schemas.openxmlformats.org/officeDocument/2006/relationships/hyperlink" Target="https://www.ltedu.com.tw/web/prodDetail.aspx?ID=10403" TargetMode="External"/><Relationship Id="rId117" Type="http://schemas.openxmlformats.org/officeDocument/2006/relationships/hyperlink" Target="https://www.ltedu.com.tw/web/prodDetail.aspx?ID=10403" TargetMode="External"/><Relationship Id="rId118" Type="http://schemas.openxmlformats.org/officeDocument/2006/relationships/hyperlink" Target="https://www.ltedu.com.tw/web/prodDetail.aspx?ID=10403" TargetMode="External"/><Relationship Id="rId119" Type="http://schemas.openxmlformats.org/officeDocument/2006/relationships/hyperlink" Target="https://www.ltedu.com.tw/web/prodDetail.aspx?ID=9724" TargetMode="External"/><Relationship Id="rId120" Type="http://schemas.openxmlformats.org/officeDocument/2006/relationships/hyperlink" Target="https://www.ltedu.com.tw/web/prodDetail.aspx?ID=9724" TargetMode="External"/><Relationship Id="rId121" Type="http://schemas.openxmlformats.org/officeDocument/2006/relationships/hyperlink" Target="https://www.ltedu.com.tw/web/prodDetail.aspx?ID=9724" TargetMode="External"/><Relationship Id="rId122" Type="http://schemas.openxmlformats.org/officeDocument/2006/relationships/hyperlink" Target="https://www.ltedu.com.tw/web/prodDetail.aspx?ID=10308" TargetMode="External"/><Relationship Id="rId123" Type="http://schemas.openxmlformats.org/officeDocument/2006/relationships/hyperlink" Target="https://www.ltedu.com.tw/web/prodDetail.aspx?ID=10308" TargetMode="External"/><Relationship Id="rId124" Type="http://schemas.openxmlformats.org/officeDocument/2006/relationships/hyperlink" Target="https://www.ltedu.com.tw/web/prodDetail.aspx?ID=10308" TargetMode="External"/><Relationship Id="rId125" Type="http://schemas.openxmlformats.org/officeDocument/2006/relationships/hyperlink" Target="https://www.ltedu.com.tw/web/prodDetail.aspx?ID=10118" TargetMode="External"/><Relationship Id="rId126" Type="http://schemas.openxmlformats.org/officeDocument/2006/relationships/hyperlink" Target="https://www.ltedu.com.tw/web/prodDetail.aspx?ID=9984" TargetMode="External"/><Relationship Id="rId127" Type="http://schemas.openxmlformats.org/officeDocument/2006/relationships/hyperlink" Target="https://www.ltedu.com.tw/web/prodDetail.aspx?ID=9984" TargetMode="External"/><Relationship Id="rId128" Type="http://schemas.openxmlformats.org/officeDocument/2006/relationships/hyperlink" Target="https://www.ltedu.com.tw/web/prodDetail.aspx?ID=9984" TargetMode="External"/><Relationship Id="rId129" Type="http://schemas.openxmlformats.org/officeDocument/2006/relationships/hyperlink" Target="https://www.ltedu.com.tw/web/prodDetail.aspx?ID=9990" TargetMode="External"/><Relationship Id="rId130" Type="http://schemas.openxmlformats.org/officeDocument/2006/relationships/hyperlink" Target="https://www.ltedu.com.tw/web/prodDetail.aspx?ID=9990" TargetMode="External"/><Relationship Id="rId131" Type="http://schemas.openxmlformats.org/officeDocument/2006/relationships/hyperlink" Target="https://www.ltedu.com.tw/web/prodDetail.aspx?ID=9990" TargetMode="External"/><Relationship Id="rId132" Type="http://schemas.openxmlformats.org/officeDocument/2006/relationships/hyperlink" Target="https://www.ltedu.com.tw/web/prodDetail.aspx?ID=9990" TargetMode="External"/><Relationship Id="rId133" Type="http://schemas.openxmlformats.org/officeDocument/2006/relationships/hyperlink" Target="https://oldcsjh.kl.edu.tw/docs/file/421/112_1_&#39640;&#20108;&#36984;&#20462;&#29289;&#29702;&#25945;&#23416;&#35336;&#30059;.docx" TargetMode="External"/><Relationship Id="rId134" Type="http://schemas.openxmlformats.org/officeDocument/2006/relationships/hyperlink" Target="https://oldcsjh.kl.edu.tw/docs/file/421/112_1_&#39640;&#20108;&#36984;&#20462;&#29289;&#29702;&#25945;&#23416;&#35336;&#30059;.docx" TargetMode="External"/><Relationship Id="rId135" Type="http://schemas.openxmlformats.org/officeDocument/2006/relationships/hyperlink" Target="https://oldcsjh.kl.edu.tw/docs/file/421/112_1_&#39640;&#20108;&#36984;&#20462;&#29289;&#29702;&#25945;&#23416;&#35336;&#30059;.docx" TargetMode="External"/><Relationship Id="rId136" Type="http://schemas.openxmlformats.org/officeDocument/2006/relationships/hyperlink" Target="https://oldcsjh.kl.edu.tw/docs/file/421/112_1_&#39640;&#20108;&#36984;&#20462;&#29289;&#29702;&#25945;&#23416;&#35336;&#30059;.docx" TargetMode="External"/><Relationship Id="rId137" Type="http://schemas.openxmlformats.org/officeDocument/2006/relationships/hyperlink" Target="https://oldcsjh.kl.edu.tw/docs/file/421/112_1_&#39640;&#20108;&#36984;&#20462;&#29289;&#29702;&#25945;&#23416;&#35336;&#30059;.docx" TargetMode="External"/><Relationship Id="rId138" Type="http://schemas.openxmlformats.org/officeDocument/2006/relationships/hyperlink" Target="https://oldcsjh.kl.edu.tw/docs/file/421/112_1_&#39640;&#20108;&#36984;&#20462;&#29289;&#29702;&#25945;&#23416;&#35336;&#30059;.docx" TargetMode="External"/><Relationship Id="rId139" Type="http://schemas.openxmlformats.org/officeDocument/2006/relationships/hyperlink" Target="https://www.hs.ntnu.edu.tw/static/webroot/G162269151451663/application/NW172662319529837.pdf" TargetMode="External"/><Relationship Id="rId140" Type="http://schemas.openxmlformats.org/officeDocument/2006/relationships/hyperlink" Target="https://schoolday.dcsh.tp.edu.tw/sites/schoolday/files/teach_plan/113-1/&#24278;&#23431;&#26032;-&#21147;&#23416;&#19968;-206%2C%20209.docx" TargetMode="External"/><Relationship Id="rId141" Type="http://schemas.openxmlformats.org/officeDocument/2006/relationships/hyperlink" Target="https://schoolday.dcsh.tp.edu.tw/sites/schoolday/files/teach_plan/110-2/h271-&#29289;&#29702;-306.docx" TargetMode="External"/><Relationship Id="rId142" Type="http://schemas.openxmlformats.org/officeDocument/2006/relationships/hyperlink" Target="https://schoolday.dcsh.tp.edu.tw/sites/schoolday/files/teach_plan/110-2/h271-&#29289;&#29702;-306.docx" TargetMode="External"/><Relationship Id="rId143" Type="http://schemas.openxmlformats.org/officeDocument/2006/relationships/hyperlink" Target="https://schoolday.dcsh.tp.edu.tw/sites/schoolday/files/teach_plan/110-2/h271-&#29289;&#29702;-306.docx" TargetMode="External"/><Relationship Id="rId144" Type="http://schemas.openxmlformats.org/officeDocument/2006/relationships/hyperlink" Target="https://schoolday.dcsh.tp.edu.tw/sites/schoolday/files/teach_plan/110-2/h271-&#29289;&#29702;-306.docx" TargetMode="External"/><Relationship Id="rId145" Type="http://schemas.openxmlformats.org/officeDocument/2006/relationships/hyperlink" Target="https://schoolday.dcsh.tp.edu.tw/sites/schoolday/files/teach_plan/113-1/&#40643;&#20449;&#38596;-&#29289;&#29702;-310.docx" TargetMode="External"/><Relationship Id="rId146" Type="http://schemas.openxmlformats.org/officeDocument/2006/relationships/hyperlink" Target="https://www.hs.ntnu.edu.tw/static/webroot/G162269151451663/application/NW172662311667323.pdf" TargetMode="External"/><Relationship Id="rId147" Type="http://schemas.openxmlformats.org/officeDocument/2006/relationships/hyperlink" Target="https://www.hs.ntnu.edu.tw/static/webroot/G162269151451663/application/NW172662311667323.pdf" TargetMode="External"/><Relationship Id="rId148" Type="http://schemas.openxmlformats.org/officeDocument/2006/relationships/hyperlink" Target="https://www.hs.ntnu.edu.tw/static/webroot/G162269151451663/application/NW175876360256029.pdf" TargetMode="External"/><Relationship Id="rId149" Type="http://schemas.openxmlformats.org/officeDocument/2006/relationships/hyperlink" Target="https://www.hs.ntnu.edu.tw/static/webroot/G162269151451663/application/NW175876360256029.pdf" TargetMode="External"/><Relationship Id="rId150" Type="http://schemas.openxmlformats.org/officeDocument/2006/relationships/hyperlink" Target="https://oldcsjh.kl.edu.tw/docs/file/451/113_1_&#39640;&#19968;&#22320;&#29699;&#31185;&#23416;&#25945;&#23416;&#35336;&#30059;.docx" TargetMode="External"/><Relationship Id="rId151" Type="http://schemas.openxmlformats.org/officeDocument/2006/relationships/hyperlink" Target="https://www.ltedu.com.tw/web/prodDetail.aspx?ID=9753" TargetMode="External"/><Relationship Id="rId152" Type="http://schemas.openxmlformats.org/officeDocument/2006/relationships/hyperlink" Target="https://www.ltedu.com.tw/web/prodDetail.aspx?ID=9753" TargetMode="External"/><Relationship Id="rId153" Type="http://schemas.openxmlformats.org/officeDocument/2006/relationships/hyperlink" Target="https://www.ltedu.com.tw/web/prodDetail.aspx?ID=9753" TargetMode="External"/><Relationship Id="rId154" Type="http://schemas.openxmlformats.org/officeDocument/2006/relationships/hyperlink" Target="https://www.ltedu.com.tw/web/prodDetail.aspx?ID=9753" TargetMode="External"/><Relationship Id="rId155" Type="http://schemas.openxmlformats.org/officeDocument/2006/relationships/hyperlink" Target="https://www.ltedu.com.tw/web/prodDetail.aspx?ID=9753" TargetMode="External"/><Relationship Id="rId156" Type="http://schemas.openxmlformats.org/officeDocument/2006/relationships/hyperlink" Target="https://www.ltedu.com.tw/web/prodDetail.aspx?ID=9753" TargetMode="External"/><Relationship Id="rId157" Type="http://schemas.openxmlformats.org/officeDocument/2006/relationships/hyperlink" Target="https://www.ltedu.com.tw/web/prodDetail.aspx?ID=9753" TargetMode="External"/><Relationship Id="rId158" Type="http://schemas.openxmlformats.org/officeDocument/2006/relationships/hyperlink" Target="https://ltedu.com.tw/web/prodDetail.aspx?1=&amp;ID=9861" TargetMode="External"/><Relationship Id="rId159" Type="http://schemas.openxmlformats.org/officeDocument/2006/relationships/hyperlink" Target="https://ltedu.com.tw/web/prodDetail.aspx?1=&amp;ID=9861" TargetMode="External"/><Relationship Id="rId160" Type="http://schemas.openxmlformats.org/officeDocument/2006/relationships/hyperlink" Target="https://ltedu.com.tw/web/prodDetail.aspx?1=&amp;ID=9861" TargetMode="External"/><Relationship Id="rId161" Type="http://schemas.openxmlformats.org/officeDocument/2006/relationships/hyperlink" Target="https://ltedu.com.tw/web/prodDetail.aspx?1=&amp;ID=9861" TargetMode="External"/><Relationship Id="rId162" Type="http://schemas.openxmlformats.org/officeDocument/2006/relationships/hyperlink" Target="https://ltedu.com.tw/web/prodDetail.aspx?1=&amp;ID=9861" TargetMode="External"/><Relationship Id="rId163" Type="http://schemas.openxmlformats.org/officeDocument/2006/relationships/hyperlink" Target="https://ltedu.com.tw/web/prodDetail.aspx?1=&amp;ID=9861" TargetMode="External"/><Relationship Id="rId164" Type="http://schemas.openxmlformats.org/officeDocument/2006/relationships/hyperlink" Target="https://www.ltedu.com.tw/web/prodDetail.aspx?ID=10020" TargetMode="External"/><Relationship Id="rId165" Type="http://schemas.openxmlformats.org/officeDocument/2006/relationships/hyperlink" Target="https://www.ltedu.com.tw/web/prodDetail.aspx?ID=10020" TargetMode="External"/><Relationship Id="rId166" Type="http://schemas.openxmlformats.org/officeDocument/2006/relationships/hyperlink" Target="https://www.ltedu.com.tw/web/prodDetail.aspx?ID=10020" TargetMode="External"/><Relationship Id="rId167" Type="http://schemas.openxmlformats.org/officeDocument/2006/relationships/hyperlink" Target="https://www.ltedu.com.tw/web/prodDetail.aspx?ID=10020" TargetMode="External"/><Relationship Id="rId168" Type="http://schemas.openxmlformats.org/officeDocument/2006/relationships/hyperlink" Target="https://www.ltedu.com.tw/web/prodDetail.aspx?ID=10020" TargetMode="External"/><Relationship Id="rId169" Type="http://schemas.openxmlformats.org/officeDocument/2006/relationships/hyperlink" Target="https://www.ltedu.com.tw/web/prodDetail.aspx?ID=10020" TargetMode="External"/><Relationship Id="rId170" Type="http://schemas.openxmlformats.org/officeDocument/2006/relationships/hyperlink" Target="https://www.ltedu.com.tw/web/prodDetail.aspx?ID=10022" TargetMode="External"/><Relationship Id="rId171" Type="http://schemas.openxmlformats.org/officeDocument/2006/relationships/hyperlink" Target="https://www.ltedu.com.tw/web/prodDetail.aspx?ID=10022" TargetMode="External"/><Relationship Id="rId172" Type="http://schemas.openxmlformats.org/officeDocument/2006/relationships/hyperlink" Target="https://www.ltedu.com.tw/web/prodDetail.aspx?ID=10022" TargetMode="External"/><Relationship Id="rId173" Type="http://schemas.openxmlformats.org/officeDocument/2006/relationships/hyperlink" Target="https://www.ltedu.com.tw/web/prodDetail.aspx?ID=10022" TargetMode="External"/><Relationship Id="rId174" Type="http://schemas.openxmlformats.org/officeDocument/2006/relationships/hyperlink" Target="https://www.ltedu.com.tw/web/prodDetail.aspx?ID=10317" TargetMode="External"/><Relationship Id="rId175" Type="http://schemas.openxmlformats.org/officeDocument/2006/relationships/hyperlink" Target="https://www.ltedu.com.tw/web/prodDetail.aspx?ID=10317" TargetMode="External"/><Relationship Id="rId176" Type="http://schemas.openxmlformats.org/officeDocument/2006/relationships/hyperlink" Target="https://www.ltedu.com.tw/web/prodDetail.aspx?ID=10317" TargetMode="External"/><Relationship Id="rId177" Type="http://schemas.openxmlformats.org/officeDocument/2006/relationships/hyperlink" Target="https://www.ltedu.com.tw/web/prodDetail.aspx?ID=10317" TargetMode="External"/><Relationship Id="rId178" Type="http://schemas.openxmlformats.org/officeDocument/2006/relationships/hyperlink" Target="https://www.ltedu.com.tw/web/prodDetail.aspx?ID=10317" TargetMode="External"/><Relationship Id="rId179" Type="http://schemas.openxmlformats.org/officeDocument/2006/relationships/hyperlink" Target="https://www.ltedu.com.tw/web/prodDetail.aspx?ID=10317" TargetMode="External"/><Relationship Id="rId180" Type="http://schemas.openxmlformats.org/officeDocument/2006/relationships/hyperlink" Target="https://www.ltedu.com.tw/Web/mobile2/prodlist2.aspx?ID=10552&amp;SourceType=Subject&amp;SbjSubjectDesc=&#27511;&#21490;" TargetMode="External"/><Relationship Id="rId181" Type="http://schemas.openxmlformats.org/officeDocument/2006/relationships/hyperlink" Target="https://www.ltedu.com.tw/Web/mobile2/prodlist2.aspx?ID=10552&amp;SourceType=Subject&amp;SbjSubjectDesc=&#27511;&#21490;" TargetMode="External"/><Relationship Id="rId182" Type="http://schemas.openxmlformats.org/officeDocument/2006/relationships/hyperlink" Target="https://www.ltedu.com.tw/Web/mobile2/prodlist2.aspx?ID=10552&amp;SourceType=Subject&amp;SbjSubjectDesc=&#27511;&#21490;" TargetMode="External"/><Relationship Id="rId183" Type="http://schemas.openxmlformats.org/officeDocument/2006/relationships/hyperlink" Target="https://www.ltedu.com.tw/Web/mobile2/prodlist2.aspx?ID=10552&amp;SourceType=Subject&amp;SbjSubjectDesc=&#27511;&#21490;" TargetMode="External"/><Relationship Id="rId184" Type="http://schemas.openxmlformats.org/officeDocument/2006/relationships/hyperlink" Target="https://www.ltedu.com.tw/Web/mobile2/prodlist2.aspx?ID=10552&amp;SourceType=Subject&amp;SbjSubjectDesc=&#27511;&#21490;" TargetMode="External"/><Relationship Id="rId185" Type="http://schemas.openxmlformats.org/officeDocument/2006/relationships/hyperlink" Target="https://www.ltedu.com.tw/Web/mobile2/prodlist2.aspx?ID=10552&amp;SourceType=Subject&amp;SbjSubjectDesc=&#27511;&#21490;" TargetMode="External"/><Relationship Id="rId186" Type="http://schemas.openxmlformats.org/officeDocument/2006/relationships/hyperlink" Target="https://www.ltedu.com.tw/web/prodDetail.aspx?ID=10431" TargetMode="External"/><Relationship Id="rId187" Type="http://schemas.openxmlformats.org/officeDocument/2006/relationships/hyperlink" Target="https://www.ltedu.com.tw/web/prodDetail.aspx?ID=10431" TargetMode="External"/><Relationship Id="rId188" Type="http://schemas.openxmlformats.org/officeDocument/2006/relationships/hyperlink" Target="https://www.ltedu.com.tw/web/prodDetail.aspx?ID=10431" TargetMode="External"/><Relationship Id="rId189" Type="http://schemas.openxmlformats.org/officeDocument/2006/relationships/hyperlink" Target="https://www.ltedu.com.tw/web/prodDetail.aspx?ID=10431" TargetMode="External"/><Relationship Id="rId190" Type="http://schemas.openxmlformats.org/officeDocument/2006/relationships/hyperlink" Target="https://www.ltedu.com.tw/web/prodDetail.aspx?ID=10431" TargetMode="External"/><Relationship Id="rId191" Type="http://schemas.openxmlformats.org/officeDocument/2006/relationships/hyperlink" Target="https://www.ltedu.com.tw/Web/prodDetail.aspx?ID=10322" TargetMode="External"/><Relationship Id="rId192" Type="http://schemas.openxmlformats.org/officeDocument/2006/relationships/hyperlink" Target="https://www.ltedu.com.tw/web/prodDetail.aspx?ID=10349" TargetMode="External"/><Relationship Id="rId193" Type="http://schemas.openxmlformats.org/officeDocument/2006/relationships/hyperlink" Target="https://www.ltedu.com.tw/web/prodDetail.aspx?ID=10349" TargetMode="External"/><Relationship Id="rId194" Type="http://schemas.openxmlformats.org/officeDocument/2006/relationships/hyperlink" Target="https://www.ltedu.com.tw/web/prodDetail.aspx?ID=10349" TargetMode="External"/><Relationship Id="rId195" Type="http://schemas.openxmlformats.org/officeDocument/2006/relationships/hyperlink" Target="https://www.ltedu.com.tw/web/prodDetail.aspx?ID=10349" TargetMode="External"/><Relationship Id="rId196" Type="http://schemas.openxmlformats.org/officeDocument/2006/relationships/hyperlink" Target="https://www.ltedu.com.tw/web/prodDetail.aspx?ID=10349" TargetMode="External"/><Relationship Id="rId197" Type="http://schemas.openxmlformats.org/officeDocument/2006/relationships/hyperlink" Target="https://www.ltedu.com.tw/web/prodDetail.aspx?ID=10349" TargetMode="External"/><Relationship Id="rId198" Type="http://schemas.openxmlformats.org/officeDocument/2006/relationships/hyperlink" Target="https://www.ltedu.com.tw/web/prodDetail.aspx?ID=10349" TargetMode="External"/><Relationship Id="rId199" Type="http://schemas.openxmlformats.org/officeDocument/2006/relationships/hyperlink" Target="https://www.ltedu.com.tw/Web/mobile2/prodlist2.aspx?ID=10390&amp;SourceType=Subject&amp;SbjSubjectDesc=&#20844;&#27665;&#33287;&#31038;&#26371;" TargetMode="External"/><Relationship Id="rId200" Type="http://schemas.openxmlformats.org/officeDocument/2006/relationships/hyperlink" Target="https://www.ltedu.com.tw/Web/mobile2/prodlist2.aspx?ID=10390&amp;SourceType=Subject&amp;SbjSubjectDesc=&#20844;&#27665;&#33287;&#31038;&#26371;" TargetMode="External"/><Relationship Id="rId201" Type="http://schemas.openxmlformats.org/officeDocument/2006/relationships/hyperlink" Target="https://www.ltedu.com.tw/Web/mobile2/prodlist2.aspx?ID=10390&amp;SourceType=Subject&amp;SbjSubjectDesc=&#20844;&#27665;&#33287;&#31038;&#26371;" TargetMode="External"/><Relationship Id="rId202" Type="http://schemas.openxmlformats.org/officeDocument/2006/relationships/hyperlink" Target="https://www.ltedu.com.tw/Web/mobile2/prodlist2.aspx?ID=10390&amp;SourceType=Subject&amp;SbjSubjectDesc=&#20844;&#27665;&#33287;&#31038;&#26371;" TargetMode="External"/><Relationship Id="rId203" Type="http://schemas.openxmlformats.org/officeDocument/2006/relationships/hyperlink" Target="https://www.ltedu.com.tw/Web/Sharefile/EDM/curriculum-map/ghs/civ/index.html" TargetMode="External"/><Relationship Id="rId204" Type="http://schemas.openxmlformats.org/officeDocument/2006/relationships/hyperlink" Target="https://www.ltedu.com.tw/Web/Sharefile/EDM/curriculum-map/ghs/civ/index.html" TargetMode="External"/><Relationship Id="rId205" Type="http://schemas.openxmlformats.org/officeDocument/2006/relationships/hyperlink" Target="https://www.ltedu.com.tw/Web/Sharefile/EDM/curriculum-map/ghs/civ/index.html" TargetMode="External"/><Relationship Id="rId206" Type="http://schemas.openxmlformats.org/officeDocument/2006/relationships/hyperlink" Target="https://www.ltedu.com.tw/Web/Sharefile/EDM/curriculum-map/ghs/civ/index.html" TargetMode="External"/><Relationship Id="rId207" Type="http://schemas.openxmlformats.org/officeDocument/2006/relationships/hyperlink" Target="https://www.ltedu.com.tw/Web/Sharefile/EDM/curriculum-map/ghs/civ/index.html" TargetMode="External"/><Relationship Id="rId208" Type="http://schemas.openxmlformats.org/officeDocument/2006/relationships/hyperlink" Target="https://www.ltedu.com.tw/Web/Sharefile/EDM/curriculum-map/ghs/civ/index.html" TargetMode="External"/><Relationship Id="rId209" Type="http://schemas.openxmlformats.org/officeDocument/2006/relationships/hyperlink" Target="https://www.ltedu.com.tw/Web/Sharefile/EDM/curriculum-map/ghs/civ/map.pdf" TargetMode="External"/><Relationship Id="rId210" Type="http://schemas.openxmlformats.org/officeDocument/2006/relationships/hyperlink" Target="https://www.ltedu.com.tw/Web/Sharefile/EDM/curriculum-map/ghs/civ/map.pdf" TargetMode="External"/><Relationship Id="rId211" Type="http://schemas.openxmlformats.org/officeDocument/2006/relationships/hyperlink" Target="https://www.ltedu.com.tw/Web/Sharefile/EDM/curriculum-map/ghs/civ/map.pdf" TargetMode="External"/><Relationship Id="rId212" Type="http://schemas.openxmlformats.org/officeDocument/2006/relationships/hyperlink" Target="https://www.ltedu.com.tw/Web/Sharefile/EDM/curriculum-map/ghs/civ/map.pdf" TargetMode="External"/><Relationship Id="rId213" Type="http://schemas.openxmlformats.org/officeDocument/2006/relationships/hyperlink" Target="https://www.ltedu.com.tw/Web/Sharefile/EDM/curriculum-map/ghs/civ/map.pdf" TargetMode="External"/><Relationship Id="rId214" Type="http://schemas.openxmlformats.org/officeDocument/2006/relationships/hyperlink" Target="https://www.pymhs.tyc.edu.tw/uploads/1677224026927kIufN9Qi.pdf" TargetMode="External"/><Relationship Id="rId215" Type="http://schemas.openxmlformats.org/officeDocument/2006/relationships/hyperlink" Target="https://www.hs.ntnu.edu.tw/static/webroot/G162269151451663/application/NW174253993646046.pdf" TargetMode="External"/><Relationship Id="rId216" Type="http://schemas.openxmlformats.org/officeDocument/2006/relationships/hyperlink" Target="https://www.hs.ntnu.edu.tw/static/webroot/G162269151451663/application/NW175876390615937.pdf" TargetMode="External"/><Relationship Id="rId217" Type="http://schemas.openxmlformats.org/officeDocument/2006/relationships/hyperlink" Target="https://www.hs.ntnu.edu.tw/static/webroot/G162269151451663/application/NW175876390615937.pdf" TargetMode="External"/><Relationship Id="rId218" Type="http://schemas.openxmlformats.org/officeDocument/2006/relationships/hyperlink" Target="https://www.hs.ntnu.edu.tw/static/webroot/G162269151451663/application/NW172662366015169.pdf" TargetMode="External"/><Relationship Id="rId219" Type="http://schemas.openxmlformats.org/officeDocument/2006/relationships/hyperlink" Target="https://www.hs.ntnu.edu.tw/static/webroot/G162269151451663/application/NW172662342237371.pdf" TargetMode="External"/><Relationship Id="rId220" Type="http://schemas.openxmlformats.org/officeDocument/2006/relationships/hyperlink" Target="https://www.hs.ntnu.edu.tw/static/webroot/G162269151451663/application/NW172662342237371.pdf" TargetMode="External"/><Relationship Id="rId22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6.4" hidden="false" customHeight="false" outlineLevel="0" collapsed="false">
      <c r="A3" s="3" t="s">
        <v>1</v>
      </c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2"/>
    </row>
    <row r="8" customFormat="false" ht="16.4" hidden="false" customHeight="false" outlineLevel="0" collapsed="false">
      <c r="A8" s="3" t="s">
        <v>5</v>
      </c>
    </row>
    <row r="9" customFormat="false" ht="26.85" hidden="false" customHeight="false" outlineLevel="0" collapsed="false">
      <c r="A9" s="4" t="s">
        <v>6</v>
      </c>
    </row>
    <row r="10" customFormat="false" ht="15" hidden="false" customHeight="false" outlineLevel="0" collapsed="false">
      <c r="A10" s="4" t="s">
        <v>7</v>
      </c>
    </row>
    <row r="11" customFormat="false" ht="15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4" t="s">
        <v>9</v>
      </c>
    </row>
    <row r="13" customFormat="false" ht="26.85" hidden="false" customHeight="false" outlineLevel="0" collapsed="false">
      <c r="A13" s="4" t="s">
        <v>10</v>
      </c>
    </row>
    <row r="14" customFormat="false" ht="15" hidden="false" customHeight="false" outlineLevel="0" collapsed="false">
      <c r="A14" s="2"/>
    </row>
    <row r="15" customFormat="false" ht="16.4" hidden="false" customHeight="false" outlineLevel="0" collapsed="false">
      <c r="A15" s="3" t="s">
        <v>11</v>
      </c>
    </row>
    <row r="16" customFormat="false" ht="15" hidden="false" customHeight="false" outlineLevel="0" collapsed="false">
      <c r="A16" s="4" t="s">
        <v>12</v>
      </c>
    </row>
    <row r="17" customFormat="false" ht="15" hidden="false" customHeight="false" outlineLevel="0" collapsed="false">
      <c r="A17" s="4" t="s">
        <v>13</v>
      </c>
    </row>
    <row r="18" customFormat="false" ht="15" hidden="false" customHeight="false" outlineLevel="0" collapsed="false">
      <c r="A18" s="2"/>
    </row>
    <row r="19" customFormat="false" ht="15" hidden="false" customHeight="false" outlineLevel="0" collapsed="false">
      <c r="A19" s="4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6"/>
    <col collapsed="false" customWidth="true" hidden="false" outlineLevel="0" max="4" min="4" style="0" width="18"/>
    <col collapsed="false" customWidth="true" hidden="false" outlineLevel="0" max="5" min="5" style="0" width="10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8"/>
    <col collapsed="false" customWidth="true" hidden="false" outlineLevel="0" max="9" min="9" style="0" width="14"/>
    <col collapsed="false" customWidth="true" hidden="false" outlineLevel="0" max="10" min="10" style="0" width="50"/>
    <col collapsed="false" customWidth="true" hidden="false" outlineLevel="0" max="11" min="11" style="0" width="24"/>
  </cols>
  <sheetData>
    <row r="1" customFormat="false" ht="15" hidden="false" customHeight="false" outlineLevel="0" collapsed="false">
      <c r="A1" s="5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5" t="s">
        <v>21</v>
      </c>
      <c r="H1" s="5" t="s">
        <v>22</v>
      </c>
      <c r="I1" s="5" t="s">
        <v>23</v>
      </c>
      <c r="J1" s="5" t="s">
        <v>24</v>
      </c>
      <c r="K1" s="5" t="s">
        <v>25</v>
      </c>
    </row>
    <row r="2" customFormat="false" ht="64.9" hidden="false" customHeight="false" outlineLevel="0" collapsed="false">
      <c r="A2" s="6" t="s">
        <v>26</v>
      </c>
      <c r="B2" s="6" t="s">
        <v>27</v>
      </c>
      <c r="C2" s="7" t="s">
        <v>28</v>
      </c>
      <c r="D2" s="6" t="s">
        <v>29</v>
      </c>
      <c r="E2" s="6" t="s">
        <v>30</v>
      </c>
      <c r="F2" s="6" t="s">
        <v>31</v>
      </c>
      <c r="G2" s="7"/>
      <c r="H2" s="7" t="s">
        <v>32</v>
      </c>
      <c r="I2" s="6" t="s">
        <v>33</v>
      </c>
      <c r="J2" s="8" t="s">
        <v>34</v>
      </c>
      <c r="K2" s="6" t="s">
        <v>35</v>
      </c>
    </row>
    <row r="3" customFormat="false" ht="64.9" hidden="false" customHeight="false" outlineLevel="0" collapsed="false">
      <c r="A3" s="6" t="s">
        <v>26</v>
      </c>
      <c r="B3" s="6" t="s">
        <v>27</v>
      </c>
      <c r="C3" s="7" t="s">
        <v>28</v>
      </c>
      <c r="D3" s="6" t="s">
        <v>29</v>
      </c>
      <c r="E3" s="6" t="s">
        <v>30</v>
      </c>
      <c r="F3" s="6" t="s">
        <v>36</v>
      </c>
      <c r="G3" s="7"/>
      <c r="H3" s="7" t="s">
        <v>32</v>
      </c>
      <c r="I3" s="6" t="s">
        <v>33</v>
      </c>
      <c r="J3" s="8" t="s">
        <v>34</v>
      </c>
      <c r="K3" s="6" t="s">
        <v>35</v>
      </c>
    </row>
    <row r="4" customFormat="false" ht="64.9" hidden="false" customHeight="false" outlineLevel="0" collapsed="false">
      <c r="A4" s="6" t="s">
        <v>26</v>
      </c>
      <c r="B4" s="6" t="s">
        <v>27</v>
      </c>
      <c r="C4" s="7" t="s">
        <v>28</v>
      </c>
      <c r="D4" s="6" t="s">
        <v>29</v>
      </c>
      <c r="E4" s="6" t="s">
        <v>30</v>
      </c>
      <c r="F4" s="6" t="s">
        <v>37</v>
      </c>
      <c r="G4" s="7"/>
      <c r="H4" s="7" t="s">
        <v>32</v>
      </c>
      <c r="I4" s="6" t="s">
        <v>33</v>
      </c>
      <c r="J4" s="8" t="s">
        <v>34</v>
      </c>
      <c r="K4" s="6" t="s">
        <v>35</v>
      </c>
    </row>
    <row r="5" customFormat="false" ht="64.9" hidden="false" customHeight="false" outlineLevel="0" collapsed="false">
      <c r="A5" s="6" t="s">
        <v>26</v>
      </c>
      <c r="B5" s="6" t="s">
        <v>27</v>
      </c>
      <c r="C5" s="7" t="s">
        <v>28</v>
      </c>
      <c r="D5" s="6" t="s">
        <v>29</v>
      </c>
      <c r="E5" s="6" t="s">
        <v>30</v>
      </c>
      <c r="F5" s="6" t="s">
        <v>38</v>
      </c>
      <c r="G5" s="7"/>
      <c r="H5" s="7" t="s">
        <v>32</v>
      </c>
      <c r="I5" s="6" t="s">
        <v>33</v>
      </c>
      <c r="J5" s="8" t="s">
        <v>34</v>
      </c>
      <c r="K5" s="6" t="s">
        <v>35</v>
      </c>
    </row>
    <row r="6" customFormat="false" ht="64.9" hidden="false" customHeight="false" outlineLevel="0" collapsed="false">
      <c r="A6" s="6" t="s">
        <v>26</v>
      </c>
      <c r="B6" s="6" t="s">
        <v>27</v>
      </c>
      <c r="C6" s="7" t="s">
        <v>28</v>
      </c>
      <c r="D6" s="6" t="s">
        <v>29</v>
      </c>
      <c r="E6" s="6" t="s">
        <v>30</v>
      </c>
      <c r="F6" s="6" t="s">
        <v>39</v>
      </c>
      <c r="G6" s="7"/>
      <c r="H6" s="7" t="s">
        <v>32</v>
      </c>
      <c r="I6" s="6" t="s">
        <v>33</v>
      </c>
      <c r="J6" s="8" t="s">
        <v>34</v>
      </c>
      <c r="K6" s="6" t="s">
        <v>35</v>
      </c>
    </row>
    <row r="7" customFormat="false" ht="64.9" hidden="false" customHeight="false" outlineLevel="0" collapsed="false">
      <c r="A7" s="6" t="s">
        <v>26</v>
      </c>
      <c r="B7" s="6" t="s">
        <v>27</v>
      </c>
      <c r="C7" s="7" t="s">
        <v>28</v>
      </c>
      <c r="D7" s="6" t="s">
        <v>29</v>
      </c>
      <c r="E7" s="6" t="s">
        <v>30</v>
      </c>
      <c r="F7" s="6" t="s">
        <v>40</v>
      </c>
      <c r="G7" s="7"/>
      <c r="H7" s="7" t="s">
        <v>32</v>
      </c>
      <c r="I7" s="6" t="s">
        <v>33</v>
      </c>
      <c r="J7" s="8" t="s">
        <v>34</v>
      </c>
      <c r="K7" s="6" t="s">
        <v>35</v>
      </c>
    </row>
    <row r="8" customFormat="false" ht="64.9" hidden="false" customHeight="false" outlineLevel="0" collapsed="false">
      <c r="A8" s="6" t="s">
        <v>26</v>
      </c>
      <c r="B8" s="6" t="s">
        <v>27</v>
      </c>
      <c r="C8" s="7" t="s">
        <v>28</v>
      </c>
      <c r="D8" s="6" t="s">
        <v>29</v>
      </c>
      <c r="E8" s="6" t="s">
        <v>30</v>
      </c>
      <c r="F8" s="6" t="s">
        <v>41</v>
      </c>
      <c r="G8" s="7"/>
      <c r="H8" s="7" t="s">
        <v>32</v>
      </c>
      <c r="I8" s="6" t="s">
        <v>33</v>
      </c>
      <c r="J8" s="8" t="s">
        <v>34</v>
      </c>
      <c r="K8" s="6" t="s">
        <v>35</v>
      </c>
    </row>
    <row r="9" customFormat="false" ht="64.9" hidden="false" customHeight="false" outlineLevel="0" collapsed="false">
      <c r="A9" s="6" t="s">
        <v>26</v>
      </c>
      <c r="B9" s="6" t="s">
        <v>27</v>
      </c>
      <c r="C9" s="7" t="s">
        <v>28</v>
      </c>
      <c r="D9" s="6" t="s">
        <v>29</v>
      </c>
      <c r="E9" s="6" t="s">
        <v>30</v>
      </c>
      <c r="F9" s="6" t="s">
        <v>42</v>
      </c>
      <c r="G9" s="7"/>
      <c r="H9" s="7" t="s">
        <v>32</v>
      </c>
      <c r="I9" s="6" t="s">
        <v>33</v>
      </c>
      <c r="J9" s="8" t="s">
        <v>34</v>
      </c>
      <c r="K9" s="6" t="s">
        <v>35</v>
      </c>
    </row>
    <row r="10" customFormat="false" ht="64.9" hidden="false" customHeight="false" outlineLevel="0" collapsed="false">
      <c r="A10" s="6" t="s">
        <v>26</v>
      </c>
      <c r="B10" s="6" t="s">
        <v>27</v>
      </c>
      <c r="C10" s="7" t="s">
        <v>28</v>
      </c>
      <c r="D10" s="6" t="s">
        <v>29</v>
      </c>
      <c r="E10" s="6" t="s">
        <v>30</v>
      </c>
      <c r="F10" s="6" t="s">
        <v>43</v>
      </c>
      <c r="G10" s="7"/>
      <c r="H10" s="7" t="s">
        <v>32</v>
      </c>
      <c r="I10" s="6" t="s">
        <v>33</v>
      </c>
      <c r="J10" s="8" t="s">
        <v>34</v>
      </c>
      <c r="K10" s="6" t="s">
        <v>35</v>
      </c>
    </row>
    <row r="11" customFormat="false" ht="64.9" hidden="false" customHeight="false" outlineLevel="0" collapsed="false">
      <c r="A11" s="6" t="s">
        <v>26</v>
      </c>
      <c r="B11" s="6" t="s">
        <v>27</v>
      </c>
      <c r="C11" s="7" t="s">
        <v>28</v>
      </c>
      <c r="D11" s="6" t="s">
        <v>29</v>
      </c>
      <c r="E11" s="6" t="s">
        <v>30</v>
      </c>
      <c r="F11" s="6" t="s">
        <v>44</v>
      </c>
      <c r="G11" s="7"/>
      <c r="H11" s="7" t="s">
        <v>32</v>
      </c>
      <c r="I11" s="6" t="s">
        <v>33</v>
      </c>
      <c r="J11" s="8" t="s">
        <v>34</v>
      </c>
      <c r="K11" s="6" t="s">
        <v>35</v>
      </c>
    </row>
    <row r="12" customFormat="false" ht="64.9" hidden="false" customHeight="false" outlineLevel="0" collapsed="false">
      <c r="A12" s="6" t="s">
        <v>26</v>
      </c>
      <c r="B12" s="6" t="s">
        <v>27</v>
      </c>
      <c r="C12" s="7" t="s">
        <v>28</v>
      </c>
      <c r="D12" s="6" t="s">
        <v>29</v>
      </c>
      <c r="E12" s="6" t="s">
        <v>30</v>
      </c>
      <c r="F12" s="6" t="s">
        <v>45</v>
      </c>
      <c r="G12" s="7"/>
      <c r="H12" s="7" t="s">
        <v>32</v>
      </c>
      <c r="I12" s="6" t="s">
        <v>33</v>
      </c>
      <c r="J12" s="8" t="s">
        <v>34</v>
      </c>
      <c r="K12" s="6" t="s">
        <v>35</v>
      </c>
    </row>
    <row r="13" customFormat="false" ht="102.95" hidden="false" customHeight="false" outlineLevel="0" collapsed="false">
      <c r="A13" s="6" t="s">
        <v>26</v>
      </c>
      <c r="B13" s="6" t="s">
        <v>27</v>
      </c>
      <c r="C13" s="7" t="s">
        <v>28</v>
      </c>
      <c r="D13" s="6" t="s">
        <v>29</v>
      </c>
      <c r="E13" s="6" t="s">
        <v>30</v>
      </c>
      <c r="F13" s="6" t="s">
        <v>46</v>
      </c>
      <c r="G13" s="7"/>
      <c r="H13" s="7" t="s">
        <v>32</v>
      </c>
      <c r="I13" s="6" t="s">
        <v>33</v>
      </c>
      <c r="J13" s="8" t="s">
        <v>34</v>
      </c>
      <c r="K13" s="6" t="s">
        <v>47</v>
      </c>
    </row>
    <row r="14" customFormat="false" ht="64.9" hidden="false" customHeight="false" outlineLevel="0" collapsed="false">
      <c r="A14" s="6" t="s">
        <v>26</v>
      </c>
      <c r="B14" s="6" t="s">
        <v>27</v>
      </c>
      <c r="C14" s="7" t="s">
        <v>28</v>
      </c>
      <c r="D14" s="6" t="s">
        <v>29</v>
      </c>
      <c r="E14" s="6" t="s">
        <v>30</v>
      </c>
      <c r="F14" s="6" t="s">
        <v>48</v>
      </c>
      <c r="G14" s="7"/>
      <c r="H14" s="7" t="s">
        <v>32</v>
      </c>
      <c r="I14" s="6" t="s">
        <v>33</v>
      </c>
      <c r="J14" s="8" t="s">
        <v>34</v>
      </c>
      <c r="K14" s="6" t="s">
        <v>35</v>
      </c>
    </row>
    <row r="15" customFormat="false" ht="64.9" hidden="false" customHeight="false" outlineLevel="0" collapsed="false">
      <c r="A15" s="6" t="s">
        <v>26</v>
      </c>
      <c r="B15" s="6" t="s">
        <v>27</v>
      </c>
      <c r="C15" s="7" t="s">
        <v>28</v>
      </c>
      <c r="D15" s="6" t="s">
        <v>29</v>
      </c>
      <c r="E15" s="6" t="s">
        <v>30</v>
      </c>
      <c r="F15" s="6" t="s">
        <v>49</v>
      </c>
      <c r="G15" s="7"/>
      <c r="H15" s="7" t="s">
        <v>32</v>
      </c>
      <c r="I15" s="6" t="s">
        <v>33</v>
      </c>
      <c r="J15" s="8" t="s">
        <v>34</v>
      </c>
      <c r="K15" s="6" t="s">
        <v>35</v>
      </c>
    </row>
    <row r="16" customFormat="false" ht="64.9" hidden="false" customHeight="false" outlineLevel="0" collapsed="false">
      <c r="A16" s="6" t="s">
        <v>26</v>
      </c>
      <c r="B16" s="6" t="s">
        <v>27</v>
      </c>
      <c r="C16" s="7" t="s">
        <v>28</v>
      </c>
      <c r="D16" s="6" t="s">
        <v>29</v>
      </c>
      <c r="E16" s="6" t="s">
        <v>30</v>
      </c>
      <c r="F16" s="6" t="s">
        <v>50</v>
      </c>
      <c r="G16" s="7"/>
      <c r="H16" s="7" t="s">
        <v>32</v>
      </c>
      <c r="I16" s="6" t="s">
        <v>33</v>
      </c>
      <c r="J16" s="8" t="s">
        <v>34</v>
      </c>
      <c r="K16" s="6" t="s">
        <v>35</v>
      </c>
    </row>
    <row r="17" customFormat="false" ht="64.9" hidden="false" customHeight="false" outlineLevel="0" collapsed="false">
      <c r="A17" s="6" t="s">
        <v>26</v>
      </c>
      <c r="B17" s="6" t="s">
        <v>27</v>
      </c>
      <c r="C17" s="7" t="s">
        <v>28</v>
      </c>
      <c r="D17" s="6" t="s">
        <v>51</v>
      </c>
      <c r="E17" s="6" t="s">
        <v>30</v>
      </c>
      <c r="F17" s="6" t="s">
        <v>52</v>
      </c>
      <c r="G17" s="7"/>
      <c r="H17" s="7" t="s">
        <v>53</v>
      </c>
      <c r="I17" s="6" t="s">
        <v>33</v>
      </c>
      <c r="J17" s="8" t="s">
        <v>54</v>
      </c>
      <c r="K17" s="6" t="s">
        <v>55</v>
      </c>
    </row>
    <row r="18" customFormat="false" ht="64.9" hidden="false" customHeight="false" outlineLevel="0" collapsed="false">
      <c r="A18" s="6" t="s">
        <v>26</v>
      </c>
      <c r="B18" s="6" t="s">
        <v>27</v>
      </c>
      <c r="C18" s="7" t="s">
        <v>28</v>
      </c>
      <c r="D18" s="6" t="s">
        <v>51</v>
      </c>
      <c r="E18" s="6" t="s">
        <v>30</v>
      </c>
      <c r="F18" s="6" t="s">
        <v>56</v>
      </c>
      <c r="G18" s="7"/>
      <c r="H18" s="7" t="s">
        <v>53</v>
      </c>
      <c r="I18" s="6" t="s">
        <v>33</v>
      </c>
      <c r="J18" s="8" t="s">
        <v>54</v>
      </c>
      <c r="K18" s="6" t="s">
        <v>55</v>
      </c>
    </row>
    <row r="19" customFormat="false" ht="64.9" hidden="false" customHeight="false" outlineLevel="0" collapsed="false">
      <c r="A19" s="6" t="s">
        <v>26</v>
      </c>
      <c r="B19" s="6" t="s">
        <v>27</v>
      </c>
      <c r="C19" s="7" t="s">
        <v>28</v>
      </c>
      <c r="D19" s="6" t="s">
        <v>51</v>
      </c>
      <c r="E19" s="6" t="s">
        <v>30</v>
      </c>
      <c r="F19" s="6" t="s">
        <v>57</v>
      </c>
      <c r="G19" s="7"/>
      <c r="H19" s="7" t="s">
        <v>53</v>
      </c>
      <c r="I19" s="6" t="s">
        <v>33</v>
      </c>
      <c r="J19" s="8" t="s">
        <v>54</v>
      </c>
      <c r="K19" s="6" t="s">
        <v>55</v>
      </c>
    </row>
    <row r="20" customFormat="false" ht="90.25" hidden="false" customHeight="false" outlineLevel="0" collapsed="false">
      <c r="A20" s="6" t="s">
        <v>26</v>
      </c>
      <c r="B20" s="6" t="s">
        <v>27</v>
      </c>
      <c r="C20" s="7" t="s">
        <v>28</v>
      </c>
      <c r="D20" s="6" t="s">
        <v>51</v>
      </c>
      <c r="E20" s="6" t="s">
        <v>30</v>
      </c>
      <c r="F20" s="6" t="s">
        <v>58</v>
      </c>
      <c r="G20" s="7"/>
      <c r="H20" s="7" t="s">
        <v>53</v>
      </c>
      <c r="I20" s="6" t="s">
        <v>33</v>
      </c>
      <c r="J20" s="8" t="s">
        <v>54</v>
      </c>
      <c r="K20" s="6" t="s">
        <v>59</v>
      </c>
    </row>
    <row r="21" customFormat="false" ht="64.9" hidden="false" customHeight="false" outlineLevel="0" collapsed="false">
      <c r="A21" s="6" t="s">
        <v>26</v>
      </c>
      <c r="B21" s="6" t="s">
        <v>27</v>
      </c>
      <c r="C21" s="7" t="s">
        <v>28</v>
      </c>
      <c r="D21" s="6" t="s">
        <v>51</v>
      </c>
      <c r="E21" s="6" t="s">
        <v>30</v>
      </c>
      <c r="F21" s="6" t="s">
        <v>60</v>
      </c>
      <c r="G21" s="7"/>
      <c r="H21" s="7" t="s">
        <v>53</v>
      </c>
      <c r="I21" s="6" t="s">
        <v>33</v>
      </c>
      <c r="J21" s="8" t="s">
        <v>54</v>
      </c>
      <c r="K21" s="6" t="s">
        <v>55</v>
      </c>
    </row>
    <row r="22" customFormat="false" ht="64.9" hidden="false" customHeight="false" outlineLevel="0" collapsed="false">
      <c r="A22" s="6" t="s">
        <v>26</v>
      </c>
      <c r="B22" s="6" t="s">
        <v>27</v>
      </c>
      <c r="C22" s="7" t="s">
        <v>28</v>
      </c>
      <c r="D22" s="6" t="s">
        <v>51</v>
      </c>
      <c r="E22" s="6" t="s">
        <v>30</v>
      </c>
      <c r="F22" s="6" t="s">
        <v>61</v>
      </c>
      <c r="G22" s="7"/>
      <c r="H22" s="7" t="s">
        <v>53</v>
      </c>
      <c r="I22" s="6" t="s">
        <v>33</v>
      </c>
      <c r="J22" s="8" t="s">
        <v>54</v>
      </c>
      <c r="K22" s="6" t="s">
        <v>55</v>
      </c>
    </row>
    <row r="23" customFormat="false" ht="64.9" hidden="false" customHeight="false" outlineLevel="0" collapsed="false">
      <c r="A23" s="6" t="s">
        <v>26</v>
      </c>
      <c r="B23" s="6" t="s">
        <v>27</v>
      </c>
      <c r="C23" s="7" t="s">
        <v>28</v>
      </c>
      <c r="D23" s="6" t="s">
        <v>51</v>
      </c>
      <c r="E23" s="6" t="s">
        <v>30</v>
      </c>
      <c r="F23" s="6" t="s">
        <v>62</v>
      </c>
      <c r="G23" s="7"/>
      <c r="H23" s="7" t="s">
        <v>53</v>
      </c>
      <c r="I23" s="6" t="s">
        <v>33</v>
      </c>
      <c r="J23" s="8" t="s">
        <v>54</v>
      </c>
      <c r="K23" s="6" t="s">
        <v>55</v>
      </c>
    </row>
    <row r="24" customFormat="false" ht="64.9" hidden="false" customHeight="false" outlineLevel="0" collapsed="false">
      <c r="A24" s="6" t="s">
        <v>26</v>
      </c>
      <c r="B24" s="6" t="s">
        <v>27</v>
      </c>
      <c r="C24" s="7" t="s">
        <v>28</v>
      </c>
      <c r="D24" s="6" t="s">
        <v>51</v>
      </c>
      <c r="E24" s="6" t="s">
        <v>30</v>
      </c>
      <c r="F24" s="6" t="s">
        <v>63</v>
      </c>
      <c r="G24" s="7"/>
      <c r="H24" s="7" t="s">
        <v>53</v>
      </c>
      <c r="I24" s="6" t="s">
        <v>33</v>
      </c>
      <c r="J24" s="8" t="s">
        <v>54</v>
      </c>
      <c r="K24" s="6" t="s">
        <v>55</v>
      </c>
    </row>
    <row r="25" customFormat="false" ht="64.9" hidden="false" customHeight="false" outlineLevel="0" collapsed="false">
      <c r="A25" s="6" t="s">
        <v>26</v>
      </c>
      <c r="B25" s="6" t="s">
        <v>27</v>
      </c>
      <c r="C25" s="7" t="s">
        <v>28</v>
      </c>
      <c r="D25" s="6" t="s">
        <v>51</v>
      </c>
      <c r="E25" s="6" t="s">
        <v>30</v>
      </c>
      <c r="F25" s="6" t="s">
        <v>64</v>
      </c>
      <c r="G25" s="7"/>
      <c r="H25" s="7" t="s">
        <v>53</v>
      </c>
      <c r="I25" s="6" t="s">
        <v>33</v>
      </c>
      <c r="J25" s="8" t="s">
        <v>54</v>
      </c>
      <c r="K25" s="6" t="s">
        <v>55</v>
      </c>
    </row>
    <row r="26" customFormat="false" ht="64.9" hidden="false" customHeight="false" outlineLevel="0" collapsed="false">
      <c r="A26" s="6" t="s">
        <v>26</v>
      </c>
      <c r="B26" s="6" t="s">
        <v>27</v>
      </c>
      <c r="C26" s="7" t="s">
        <v>28</v>
      </c>
      <c r="D26" s="6" t="s">
        <v>51</v>
      </c>
      <c r="E26" s="6" t="s">
        <v>30</v>
      </c>
      <c r="F26" s="6" t="s">
        <v>65</v>
      </c>
      <c r="G26" s="7"/>
      <c r="H26" s="7" t="s">
        <v>53</v>
      </c>
      <c r="I26" s="6" t="s">
        <v>33</v>
      </c>
      <c r="J26" s="8" t="s">
        <v>54</v>
      </c>
      <c r="K26" s="6" t="s">
        <v>55</v>
      </c>
    </row>
    <row r="27" customFormat="false" ht="64.9" hidden="false" customHeight="false" outlineLevel="0" collapsed="false">
      <c r="A27" s="6" t="s">
        <v>26</v>
      </c>
      <c r="B27" s="6" t="s">
        <v>27</v>
      </c>
      <c r="C27" s="7" t="s">
        <v>28</v>
      </c>
      <c r="D27" s="6" t="s">
        <v>51</v>
      </c>
      <c r="E27" s="6" t="s">
        <v>30</v>
      </c>
      <c r="F27" s="6" t="s">
        <v>66</v>
      </c>
      <c r="G27" s="7"/>
      <c r="H27" s="7" t="s">
        <v>53</v>
      </c>
      <c r="I27" s="6" t="s">
        <v>33</v>
      </c>
      <c r="J27" s="8" t="s">
        <v>54</v>
      </c>
      <c r="K27" s="6" t="s">
        <v>55</v>
      </c>
    </row>
    <row r="28" customFormat="false" ht="64.9" hidden="false" customHeight="false" outlineLevel="0" collapsed="false">
      <c r="A28" s="6" t="s">
        <v>26</v>
      </c>
      <c r="B28" s="6" t="s">
        <v>27</v>
      </c>
      <c r="C28" s="7" t="s">
        <v>28</v>
      </c>
      <c r="D28" s="6" t="s">
        <v>51</v>
      </c>
      <c r="E28" s="6" t="s">
        <v>30</v>
      </c>
      <c r="F28" s="6" t="s">
        <v>67</v>
      </c>
      <c r="G28" s="7"/>
      <c r="H28" s="7" t="s">
        <v>53</v>
      </c>
      <c r="I28" s="6" t="s">
        <v>33</v>
      </c>
      <c r="J28" s="8" t="s">
        <v>54</v>
      </c>
      <c r="K28" s="6" t="s">
        <v>55</v>
      </c>
    </row>
    <row r="29" customFormat="false" ht="64.9" hidden="false" customHeight="false" outlineLevel="0" collapsed="false">
      <c r="A29" s="6" t="s">
        <v>26</v>
      </c>
      <c r="B29" s="6" t="s">
        <v>27</v>
      </c>
      <c r="C29" s="7" t="s">
        <v>28</v>
      </c>
      <c r="D29" s="6" t="s">
        <v>51</v>
      </c>
      <c r="E29" s="6" t="s">
        <v>30</v>
      </c>
      <c r="F29" s="6" t="s">
        <v>68</v>
      </c>
      <c r="G29" s="7"/>
      <c r="H29" s="7" t="s">
        <v>53</v>
      </c>
      <c r="I29" s="6" t="s">
        <v>33</v>
      </c>
      <c r="J29" s="8" t="s">
        <v>54</v>
      </c>
      <c r="K29" s="6" t="s">
        <v>55</v>
      </c>
    </row>
    <row r="30" customFormat="false" ht="64.9" hidden="false" customHeight="false" outlineLevel="0" collapsed="false">
      <c r="A30" s="6" t="s">
        <v>26</v>
      </c>
      <c r="B30" s="6" t="s">
        <v>27</v>
      </c>
      <c r="C30" s="7" t="s">
        <v>28</v>
      </c>
      <c r="D30" s="6" t="s">
        <v>51</v>
      </c>
      <c r="E30" s="6" t="s">
        <v>30</v>
      </c>
      <c r="F30" s="6" t="s">
        <v>69</v>
      </c>
      <c r="G30" s="7"/>
      <c r="H30" s="7" t="s">
        <v>53</v>
      </c>
      <c r="I30" s="6" t="s">
        <v>33</v>
      </c>
      <c r="J30" s="8" t="s">
        <v>54</v>
      </c>
      <c r="K30" s="6" t="s">
        <v>55</v>
      </c>
    </row>
    <row r="31" customFormat="false" ht="64.9" hidden="false" customHeight="false" outlineLevel="0" collapsed="false">
      <c r="A31" s="6" t="s">
        <v>26</v>
      </c>
      <c r="B31" s="6" t="s">
        <v>27</v>
      </c>
      <c r="C31" s="7" t="s">
        <v>70</v>
      </c>
      <c r="D31" s="6" t="s">
        <v>29</v>
      </c>
      <c r="E31" s="6" t="s">
        <v>30</v>
      </c>
      <c r="F31" s="6" t="s">
        <v>71</v>
      </c>
      <c r="G31" s="7"/>
      <c r="H31" s="7" t="s">
        <v>32</v>
      </c>
      <c r="I31" s="6" t="s">
        <v>33</v>
      </c>
      <c r="J31" s="8" t="s">
        <v>72</v>
      </c>
      <c r="K31" s="6" t="s">
        <v>35</v>
      </c>
    </row>
    <row r="32" customFormat="false" ht="64.9" hidden="false" customHeight="false" outlineLevel="0" collapsed="false">
      <c r="A32" s="6" t="s">
        <v>26</v>
      </c>
      <c r="B32" s="6" t="s">
        <v>27</v>
      </c>
      <c r="C32" s="7" t="s">
        <v>70</v>
      </c>
      <c r="D32" s="6" t="s">
        <v>29</v>
      </c>
      <c r="E32" s="6" t="s">
        <v>30</v>
      </c>
      <c r="F32" s="6" t="s">
        <v>73</v>
      </c>
      <c r="G32" s="7"/>
      <c r="H32" s="7" t="s">
        <v>32</v>
      </c>
      <c r="I32" s="6" t="s">
        <v>33</v>
      </c>
      <c r="J32" s="8" t="s">
        <v>72</v>
      </c>
      <c r="K32" s="6" t="s">
        <v>35</v>
      </c>
    </row>
    <row r="33" customFormat="false" ht="64.9" hidden="false" customHeight="false" outlineLevel="0" collapsed="false">
      <c r="A33" s="6" t="s">
        <v>26</v>
      </c>
      <c r="B33" s="6" t="s">
        <v>27</v>
      </c>
      <c r="C33" s="7" t="s">
        <v>70</v>
      </c>
      <c r="D33" s="6" t="s">
        <v>29</v>
      </c>
      <c r="E33" s="6" t="s">
        <v>30</v>
      </c>
      <c r="F33" s="6" t="s">
        <v>74</v>
      </c>
      <c r="G33" s="7"/>
      <c r="H33" s="7" t="s">
        <v>32</v>
      </c>
      <c r="I33" s="6" t="s">
        <v>33</v>
      </c>
      <c r="J33" s="8" t="s">
        <v>72</v>
      </c>
      <c r="K33" s="6" t="s">
        <v>35</v>
      </c>
    </row>
    <row r="34" customFormat="false" ht="64.9" hidden="false" customHeight="false" outlineLevel="0" collapsed="false">
      <c r="A34" s="6" t="s">
        <v>26</v>
      </c>
      <c r="B34" s="6" t="s">
        <v>27</v>
      </c>
      <c r="C34" s="7" t="s">
        <v>70</v>
      </c>
      <c r="D34" s="6" t="s">
        <v>29</v>
      </c>
      <c r="E34" s="6" t="s">
        <v>30</v>
      </c>
      <c r="F34" s="6" t="s">
        <v>75</v>
      </c>
      <c r="G34" s="7"/>
      <c r="H34" s="7" t="s">
        <v>32</v>
      </c>
      <c r="I34" s="6" t="s">
        <v>33</v>
      </c>
      <c r="J34" s="8" t="s">
        <v>72</v>
      </c>
      <c r="K34" s="6" t="s">
        <v>35</v>
      </c>
    </row>
    <row r="35" customFormat="false" ht="64.9" hidden="false" customHeight="false" outlineLevel="0" collapsed="false">
      <c r="A35" s="6" t="s">
        <v>26</v>
      </c>
      <c r="B35" s="6" t="s">
        <v>27</v>
      </c>
      <c r="C35" s="7" t="s">
        <v>70</v>
      </c>
      <c r="D35" s="6" t="s">
        <v>29</v>
      </c>
      <c r="E35" s="6" t="s">
        <v>30</v>
      </c>
      <c r="F35" s="6" t="s">
        <v>76</v>
      </c>
      <c r="G35" s="7"/>
      <c r="H35" s="7" t="s">
        <v>32</v>
      </c>
      <c r="I35" s="6" t="s">
        <v>33</v>
      </c>
      <c r="J35" s="8" t="s">
        <v>72</v>
      </c>
      <c r="K35" s="6" t="s">
        <v>35</v>
      </c>
    </row>
    <row r="36" customFormat="false" ht="64.9" hidden="false" customHeight="false" outlineLevel="0" collapsed="false">
      <c r="A36" s="6" t="s">
        <v>26</v>
      </c>
      <c r="B36" s="6" t="s">
        <v>27</v>
      </c>
      <c r="C36" s="7" t="s">
        <v>70</v>
      </c>
      <c r="D36" s="6" t="s">
        <v>29</v>
      </c>
      <c r="E36" s="6" t="s">
        <v>30</v>
      </c>
      <c r="F36" s="6" t="s">
        <v>77</v>
      </c>
      <c r="G36" s="7"/>
      <c r="H36" s="7" t="s">
        <v>32</v>
      </c>
      <c r="I36" s="6" t="s">
        <v>33</v>
      </c>
      <c r="J36" s="8" t="s">
        <v>72</v>
      </c>
      <c r="K36" s="6" t="s">
        <v>35</v>
      </c>
    </row>
    <row r="37" customFormat="false" ht="64.9" hidden="false" customHeight="false" outlineLevel="0" collapsed="false">
      <c r="A37" s="6" t="s">
        <v>26</v>
      </c>
      <c r="B37" s="6" t="s">
        <v>27</v>
      </c>
      <c r="C37" s="7" t="s">
        <v>70</v>
      </c>
      <c r="D37" s="6" t="s">
        <v>29</v>
      </c>
      <c r="E37" s="6" t="s">
        <v>30</v>
      </c>
      <c r="F37" s="6" t="s">
        <v>78</v>
      </c>
      <c r="G37" s="7"/>
      <c r="H37" s="7" t="s">
        <v>32</v>
      </c>
      <c r="I37" s="6" t="s">
        <v>33</v>
      </c>
      <c r="J37" s="8" t="s">
        <v>72</v>
      </c>
      <c r="K37" s="6" t="s">
        <v>35</v>
      </c>
    </row>
    <row r="38" customFormat="false" ht="64.9" hidden="false" customHeight="false" outlineLevel="0" collapsed="false">
      <c r="A38" s="6" t="s">
        <v>26</v>
      </c>
      <c r="B38" s="6" t="s">
        <v>27</v>
      </c>
      <c r="C38" s="7" t="s">
        <v>70</v>
      </c>
      <c r="D38" s="6" t="s">
        <v>29</v>
      </c>
      <c r="E38" s="6" t="s">
        <v>30</v>
      </c>
      <c r="F38" s="6" t="s">
        <v>79</v>
      </c>
      <c r="G38" s="7"/>
      <c r="H38" s="7" t="s">
        <v>32</v>
      </c>
      <c r="I38" s="6" t="s">
        <v>33</v>
      </c>
      <c r="J38" s="8" t="s">
        <v>72</v>
      </c>
      <c r="K38" s="6" t="s">
        <v>35</v>
      </c>
    </row>
    <row r="39" customFormat="false" ht="64.9" hidden="false" customHeight="false" outlineLevel="0" collapsed="false">
      <c r="A39" s="6" t="s">
        <v>26</v>
      </c>
      <c r="B39" s="6" t="s">
        <v>27</v>
      </c>
      <c r="C39" s="7" t="s">
        <v>70</v>
      </c>
      <c r="D39" s="6" t="s">
        <v>29</v>
      </c>
      <c r="E39" s="6" t="s">
        <v>30</v>
      </c>
      <c r="F39" s="6" t="s">
        <v>80</v>
      </c>
      <c r="G39" s="7"/>
      <c r="H39" s="7" t="s">
        <v>32</v>
      </c>
      <c r="I39" s="6" t="s">
        <v>33</v>
      </c>
      <c r="J39" s="8" t="s">
        <v>72</v>
      </c>
      <c r="K39" s="6" t="s">
        <v>35</v>
      </c>
    </row>
    <row r="40" customFormat="false" ht="64.9" hidden="false" customHeight="false" outlineLevel="0" collapsed="false">
      <c r="A40" s="6" t="s">
        <v>26</v>
      </c>
      <c r="B40" s="6" t="s">
        <v>27</v>
      </c>
      <c r="C40" s="7" t="s">
        <v>70</v>
      </c>
      <c r="D40" s="6" t="s">
        <v>29</v>
      </c>
      <c r="E40" s="6" t="s">
        <v>30</v>
      </c>
      <c r="F40" s="6" t="s">
        <v>81</v>
      </c>
      <c r="G40" s="7"/>
      <c r="H40" s="7" t="s">
        <v>32</v>
      </c>
      <c r="I40" s="6" t="s">
        <v>33</v>
      </c>
      <c r="J40" s="8" t="s">
        <v>72</v>
      </c>
      <c r="K40" s="6" t="s">
        <v>35</v>
      </c>
    </row>
    <row r="41" customFormat="false" ht="64.9" hidden="false" customHeight="false" outlineLevel="0" collapsed="false">
      <c r="A41" s="6" t="s">
        <v>26</v>
      </c>
      <c r="B41" s="6" t="s">
        <v>27</v>
      </c>
      <c r="C41" s="7" t="s">
        <v>70</v>
      </c>
      <c r="D41" s="6" t="s">
        <v>29</v>
      </c>
      <c r="E41" s="6" t="s">
        <v>30</v>
      </c>
      <c r="F41" s="6" t="s">
        <v>82</v>
      </c>
      <c r="G41" s="7"/>
      <c r="H41" s="7" t="s">
        <v>32</v>
      </c>
      <c r="I41" s="6" t="s">
        <v>33</v>
      </c>
      <c r="J41" s="8" t="s">
        <v>72</v>
      </c>
      <c r="K41" s="6" t="s">
        <v>35</v>
      </c>
    </row>
    <row r="42" customFormat="false" ht="64.9" hidden="false" customHeight="false" outlineLevel="0" collapsed="false">
      <c r="A42" s="6" t="s">
        <v>26</v>
      </c>
      <c r="B42" s="6" t="s">
        <v>27</v>
      </c>
      <c r="C42" s="7" t="s">
        <v>70</v>
      </c>
      <c r="D42" s="6" t="s">
        <v>29</v>
      </c>
      <c r="E42" s="6" t="s">
        <v>30</v>
      </c>
      <c r="F42" s="6" t="s">
        <v>83</v>
      </c>
      <c r="G42" s="7"/>
      <c r="H42" s="7" t="s">
        <v>32</v>
      </c>
      <c r="I42" s="6" t="s">
        <v>33</v>
      </c>
      <c r="J42" s="8" t="s">
        <v>72</v>
      </c>
      <c r="K42" s="6" t="s">
        <v>35</v>
      </c>
    </row>
    <row r="43" customFormat="false" ht="64.9" hidden="false" customHeight="false" outlineLevel="0" collapsed="false">
      <c r="A43" s="6" t="s">
        <v>26</v>
      </c>
      <c r="B43" s="6" t="s">
        <v>27</v>
      </c>
      <c r="C43" s="7" t="s">
        <v>70</v>
      </c>
      <c r="D43" s="6" t="s">
        <v>29</v>
      </c>
      <c r="E43" s="6" t="s">
        <v>30</v>
      </c>
      <c r="F43" s="6" t="s">
        <v>84</v>
      </c>
      <c r="G43" s="7"/>
      <c r="H43" s="7" t="s">
        <v>32</v>
      </c>
      <c r="I43" s="6" t="s">
        <v>33</v>
      </c>
      <c r="J43" s="8" t="s">
        <v>72</v>
      </c>
      <c r="K43" s="6" t="s">
        <v>35</v>
      </c>
    </row>
    <row r="44" customFormat="false" ht="64.9" hidden="false" customHeight="false" outlineLevel="0" collapsed="false">
      <c r="A44" s="6" t="s">
        <v>26</v>
      </c>
      <c r="B44" s="6" t="s">
        <v>27</v>
      </c>
      <c r="C44" s="7" t="s">
        <v>70</v>
      </c>
      <c r="D44" s="6" t="s">
        <v>29</v>
      </c>
      <c r="E44" s="6" t="s">
        <v>30</v>
      </c>
      <c r="F44" s="6" t="s">
        <v>85</v>
      </c>
      <c r="G44" s="7"/>
      <c r="H44" s="7" t="s">
        <v>32</v>
      </c>
      <c r="I44" s="6" t="s">
        <v>33</v>
      </c>
      <c r="J44" s="8" t="s">
        <v>72</v>
      </c>
      <c r="K44" s="6" t="s">
        <v>35</v>
      </c>
    </row>
    <row r="45" customFormat="false" ht="64.9" hidden="false" customHeight="false" outlineLevel="0" collapsed="false">
      <c r="A45" s="6" t="s">
        <v>26</v>
      </c>
      <c r="B45" s="6" t="s">
        <v>27</v>
      </c>
      <c r="C45" s="7" t="s">
        <v>70</v>
      </c>
      <c r="D45" s="6" t="s">
        <v>29</v>
      </c>
      <c r="E45" s="6" t="s">
        <v>30</v>
      </c>
      <c r="F45" s="6" t="s">
        <v>86</v>
      </c>
      <c r="G45" s="7"/>
      <c r="H45" s="7" t="s">
        <v>32</v>
      </c>
      <c r="I45" s="6" t="s">
        <v>33</v>
      </c>
      <c r="J45" s="8" t="s">
        <v>72</v>
      </c>
      <c r="K45" s="6" t="s">
        <v>35</v>
      </c>
    </row>
    <row r="46" customFormat="false" ht="64.9" hidden="false" customHeight="false" outlineLevel="0" collapsed="false">
      <c r="A46" s="6" t="s">
        <v>26</v>
      </c>
      <c r="B46" s="6" t="s">
        <v>27</v>
      </c>
      <c r="C46" s="7" t="s">
        <v>70</v>
      </c>
      <c r="D46" s="6" t="s">
        <v>51</v>
      </c>
      <c r="E46" s="6" t="s">
        <v>30</v>
      </c>
      <c r="F46" s="6" t="s">
        <v>87</v>
      </c>
      <c r="G46" s="7"/>
      <c r="H46" s="7" t="s">
        <v>53</v>
      </c>
      <c r="I46" s="6" t="s">
        <v>33</v>
      </c>
      <c r="J46" s="8" t="s">
        <v>88</v>
      </c>
      <c r="K46" s="6" t="s">
        <v>55</v>
      </c>
    </row>
    <row r="47" customFormat="false" ht="64.9" hidden="false" customHeight="false" outlineLevel="0" collapsed="false">
      <c r="A47" s="6" t="s">
        <v>26</v>
      </c>
      <c r="B47" s="6" t="s">
        <v>27</v>
      </c>
      <c r="C47" s="7" t="s">
        <v>70</v>
      </c>
      <c r="D47" s="6" t="s">
        <v>51</v>
      </c>
      <c r="E47" s="6" t="s">
        <v>30</v>
      </c>
      <c r="F47" s="6" t="s">
        <v>89</v>
      </c>
      <c r="G47" s="7"/>
      <c r="H47" s="7" t="s">
        <v>53</v>
      </c>
      <c r="I47" s="6" t="s">
        <v>33</v>
      </c>
      <c r="J47" s="8" t="s">
        <v>88</v>
      </c>
      <c r="K47" s="6" t="s">
        <v>55</v>
      </c>
    </row>
    <row r="48" customFormat="false" ht="64.9" hidden="false" customHeight="false" outlineLevel="0" collapsed="false">
      <c r="A48" s="6" t="s">
        <v>26</v>
      </c>
      <c r="B48" s="6" t="s">
        <v>27</v>
      </c>
      <c r="C48" s="7" t="s">
        <v>70</v>
      </c>
      <c r="D48" s="6" t="s">
        <v>51</v>
      </c>
      <c r="E48" s="6" t="s">
        <v>30</v>
      </c>
      <c r="F48" s="6" t="s">
        <v>90</v>
      </c>
      <c r="G48" s="7"/>
      <c r="H48" s="7" t="s">
        <v>53</v>
      </c>
      <c r="I48" s="6" t="s">
        <v>33</v>
      </c>
      <c r="J48" s="8" t="s">
        <v>88</v>
      </c>
      <c r="K48" s="6" t="s">
        <v>55</v>
      </c>
    </row>
    <row r="49" customFormat="false" ht="64.9" hidden="false" customHeight="false" outlineLevel="0" collapsed="false">
      <c r="A49" s="6" t="s">
        <v>26</v>
      </c>
      <c r="B49" s="6" t="s">
        <v>27</v>
      </c>
      <c r="C49" s="7" t="s">
        <v>70</v>
      </c>
      <c r="D49" s="6" t="s">
        <v>51</v>
      </c>
      <c r="E49" s="6" t="s">
        <v>30</v>
      </c>
      <c r="F49" s="6" t="s">
        <v>91</v>
      </c>
      <c r="G49" s="7"/>
      <c r="H49" s="7" t="s">
        <v>53</v>
      </c>
      <c r="I49" s="6" t="s">
        <v>33</v>
      </c>
      <c r="J49" s="8" t="s">
        <v>88</v>
      </c>
      <c r="K49" s="6" t="s">
        <v>55</v>
      </c>
    </row>
    <row r="50" customFormat="false" ht="64.9" hidden="false" customHeight="false" outlineLevel="0" collapsed="false">
      <c r="A50" s="6" t="s">
        <v>26</v>
      </c>
      <c r="B50" s="6" t="s">
        <v>27</v>
      </c>
      <c r="C50" s="7" t="s">
        <v>70</v>
      </c>
      <c r="D50" s="6" t="s">
        <v>51</v>
      </c>
      <c r="E50" s="6" t="s">
        <v>30</v>
      </c>
      <c r="F50" s="6" t="s">
        <v>92</v>
      </c>
      <c r="G50" s="7"/>
      <c r="H50" s="7" t="s">
        <v>53</v>
      </c>
      <c r="I50" s="6" t="s">
        <v>33</v>
      </c>
      <c r="J50" s="8" t="s">
        <v>88</v>
      </c>
      <c r="K50" s="6" t="s">
        <v>55</v>
      </c>
    </row>
    <row r="51" customFormat="false" ht="64.9" hidden="false" customHeight="false" outlineLevel="0" collapsed="false">
      <c r="A51" s="6" t="s">
        <v>26</v>
      </c>
      <c r="B51" s="6" t="s">
        <v>27</v>
      </c>
      <c r="C51" s="7" t="s">
        <v>70</v>
      </c>
      <c r="D51" s="6" t="s">
        <v>51</v>
      </c>
      <c r="E51" s="6" t="s">
        <v>30</v>
      </c>
      <c r="F51" s="6" t="s">
        <v>93</v>
      </c>
      <c r="G51" s="7"/>
      <c r="H51" s="7" t="s">
        <v>53</v>
      </c>
      <c r="I51" s="6" t="s">
        <v>33</v>
      </c>
      <c r="J51" s="8" t="s">
        <v>88</v>
      </c>
      <c r="K51" s="6" t="s">
        <v>55</v>
      </c>
    </row>
    <row r="52" customFormat="false" ht="64.9" hidden="false" customHeight="false" outlineLevel="0" collapsed="false">
      <c r="A52" s="6" t="s">
        <v>26</v>
      </c>
      <c r="B52" s="6" t="s">
        <v>27</v>
      </c>
      <c r="C52" s="7" t="s">
        <v>70</v>
      </c>
      <c r="D52" s="6" t="s">
        <v>51</v>
      </c>
      <c r="E52" s="6" t="s">
        <v>30</v>
      </c>
      <c r="F52" s="6" t="s">
        <v>94</v>
      </c>
      <c r="G52" s="7"/>
      <c r="H52" s="7" t="s">
        <v>53</v>
      </c>
      <c r="I52" s="6" t="s">
        <v>33</v>
      </c>
      <c r="J52" s="8" t="s">
        <v>88</v>
      </c>
      <c r="K52" s="6" t="s">
        <v>55</v>
      </c>
    </row>
    <row r="53" customFormat="false" ht="64.9" hidden="false" customHeight="false" outlineLevel="0" collapsed="false">
      <c r="A53" s="6" t="s">
        <v>26</v>
      </c>
      <c r="B53" s="6" t="s">
        <v>27</v>
      </c>
      <c r="C53" s="7" t="s">
        <v>70</v>
      </c>
      <c r="D53" s="6" t="s">
        <v>51</v>
      </c>
      <c r="E53" s="6" t="s">
        <v>30</v>
      </c>
      <c r="F53" s="6" t="s">
        <v>95</v>
      </c>
      <c r="G53" s="7"/>
      <c r="H53" s="7" t="s">
        <v>53</v>
      </c>
      <c r="I53" s="6" t="s">
        <v>33</v>
      </c>
      <c r="J53" s="8" t="s">
        <v>88</v>
      </c>
      <c r="K53" s="6" t="s">
        <v>55</v>
      </c>
    </row>
    <row r="54" customFormat="false" ht="64.9" hidden="false" customHeight="false" outlineLevel="0" collapsed="false">
      <c r="A54" s="6" t="s">
        <v>26</v>
      </c>
      <c r="B54" s="6" t="s">
        <v>27</v>
      </c>
      <c r="C54" s="7" t="s">
        <v>70</v>
      </c>
      <c r="D54" s="6" t="s">
        <v>51</v>
      </c>
      <c r="E54" s="6" t="s">
        <v>30</v>
      </c>
      <c r="F54" s="6" t="s">
        <v>96</v>
      </c>
      <c r="G54" s="7"/>
      <c r="H54" s="7" t="s">
        <v>53</v>
      </c>
      <c r="I54" s="6" t="s">
        <v>33</v>
      </c>
      <c r="J54" s="8" t="s">
        <v>88</v>
      </c>
      <c r="K54" s="6" t="s">
        <v>55</v>
      </c>
    </row>
    <row r="55" customFormat="false" ht="64.9" hidden="false" customHeight="false" outlineLevel="0" collapsed="false">
      <c r="A55" s="6" t="s">
        <v>26</v>
      </c>
      <c r="B55" s="6" t="s">
        <v>27</v>
      </c>
      <c r="C55" s="7" t="s">
        <v>70</v>
      </c>
      <c r="D55" s="6" t="s">
        <v>51</v>
      </c>
      <c r="E55" s="6" t="s">
        <v>30</v>
      </c>
      <c r="F55" s="6" t="s">
        <v>97</v>
      </c>
      <c r="G55" s="7"/>
      <c r="H55" s="7" t="s">
        <v>53</v>
      </c>
      <c r="I55" s="6" t="s">
        <v>33</v>
      </c>
      <c r="J55" s="8" t="s">
        <v>88</v>
      </c>
      <c r="K55" s="6" t="s">
        <v>55</v>
      </c>
    </row>
    <row r="56" customFormat="false" ht="64.9" hidden="false" customHeight="false" outlineLevel="0" collapsed="false">
      <c r="A56" s="6" t="s">
        <v>26</v>
      </c>
      <c r="B56" s="6" t="s">
        <v>27</v>
      </c>
      <c r="C56" s="7" t="s">
        <v>70</v>
      </c>
      <c r="D56" s="6" t="s">
        <v>51</v>
      </c>
      <c r="E56" s="6" t="s">
        <v>30</v>
      </c>
      <c r="F56" s="6" t="s">
        <v>98</v>
      </c>
      <c r="G56" s="7"/>
      <c r="H56" s="7" t="s">
        <v>53</v>
      </c>
      <c r="I56" s="6" t="s">
        <v>33</v>
      </c>
      <c r="J56" s="8" t="s">
        <v>88</v>
      </c>
      <c r="K56" s="6" t="s">
        <v>55</v>
      </c>
    </row>
    <row r="57" customFormat="false" ht="64.9" hidden="false" customHeight="false" outlineLevel="0" collapsed="false">
      <c r="A57" s="6" t="s">
        <v>26</v>
      </c>
      <c r="B57" s="6" t="s">
        <v>27</v>
      </c>
      <c r="C57" s="7" t="s">
        <v>70</v>
      </c>
      <c r="D57" s="6" t="s">
        <v>51</v>
      </c>
      <c r="E57" s="6" t="s">
        <v>30</v>
      </c>
      <c r="F57" s="6" t="s">
        <v>99</v>
      </c>
      <c r="G57" s="7"/>
      <c r="H57" s="7" t="s">
        <v>53</v>
      </c>
      <c r="I57" s="6" t="s">
        <v>33</v>
      </c>
      <c r="J57" s="8" t="s">
        <v>88</v>
      </c>
      <c r="K57" s="6" t="s">
        <v>55</v>
      </c>
    </row>
    <row r="58" customFormat="false" ht="64.9" hidden="false" customHeight="false" outlineLevel="0" collapsed="false">
      <c r="A58" s="6" t="s">
        <v>26</v>
      </c>
      <c r="B58" s="6" t="s">
        <v>27</v>
      </c>
      <c r="C58" s="7" t="s">
        <v>70</v>
      </c>
      <c r="D58" s="6" t="s">
        <v>51</v>
      </c>
      <c r="E58" s="6" t="s">
        <v>30</v>
      </c>
      <c r="F58" s="6" t="s">
        <v>100</v>
      </c>
      <c r="G58" s="7"/>
      <c r="H58" s="7" t="s">
        <v>53</v>
      </c>
      <c r="I58" s="6" t="s">
        <v>33</v>
      </c>
      <c r="J58" s="8" t="s">
        <v>88</v>
      </c>
      <c r="K58" s="6" t="s">
        <v>55</v>
      </c>
    </row>
    <row r="59" customFormat="false" ht="64.9" hidden="false" customHeight="false" outlineLevel="0" collapsed="false">
      <c r="A59" s="6" t="s">
        <v>26</v>
      </c>
      <c r="B59" s="6" t="s">
        <v>27</v>
      </c>
      <c r="C59" s="7" t="s">
        <v>70</v>
      </c>
      <c r="D59" s="6" t="s">
        <v>51</v>
      </c>
      <c r="E59" s="6" t="s">
        <v>30</v>
      </c>
      <c r="F59" s="6" t="s">
        <v>101</v>
      </c>
      <c r="G59" s="7"/>
      <c r="H59" s="7" t="s">
        <v>53</v>
      </c>
      <c r="I59" s="6" t="s">
        <v>33</v>
      </c>
      <c r="J59" s="8" t="s">
        <v>88</v>
      </c>
      <c r="K59" s="6" t="s">
        <v>55</v>
      </c>
    </row>
    <row r="60" customFormat="false" ht="64.9" hidden="false" customHeight="false" outlineLevel="0" collapsed="false">
      <c r="A60" s="6" t="s">
        <v>26</v>
      </c>
      <c r="B60" s="6" t="s">
        <v>27</v>
      </c>
      <c r="C60" s="7" t="s">
        <v>70</v>
      </c>
      <c r="D60" s="6" t="s">
        <v>51</v>
      </c>
      <c r="E60" s="6" t="s">
        <v>30</v>
      </c>
      <c r="F60" s="6" t="s">
        <v>102</v>
      </c>
      <c r="G60" s="7"/>
      <c r="H60" s="7" t="s">
        <v>53</v>
      </c>
      <c r="I60" s="6" t="s">
        <v>33</v>
      </c>
      <c r="J60" s="8" t="s">
        <v>88</v>
      </c>
      <c r="K60" s="6" t="s">
        <v>55</v>
      </c>
    </row>
    <row r="61" customFormat="false" ht="77.6" hidden="false" customHeight="false" outlineLevel="0" collapsed="false">
      <c r="A61" s="6" t="s">
        <v>26</v>
      </c>
      <c r="B61" s="6" t="s">
        <v>27</v>
      </c>
      <c r="C61" s="7" t="s">
        <v>103</v>
      </c>
      <c r="D61" s="6" t="s">
        <v>29</v>
      </c>
      <c r="E61" s="6" t="s">
        <v>30</v>
      </c>
      <c r="F61" s="6" t="s">
        <v>104</v>
      </c>
      <c r="G61" s="7"/>
      <c r="H61" s="7" t="s">
        <v>32</v>
      </c>
      <c r="I61" s="6" t="s">
        <v>33</v>
      </c>
      <c r="J61" s="8" t="s">
        <v>105</v>
      </c>
      <c r="K61" s="6" t="s">
        <v>106</v>
      </c>
    </row>
    <row r="62" customFormat="false" ht="64.9" hidden="false" customHeight="false" outlineLevel="0" collapsed="false">
      <c r="A62" s="6" t="s">
        <v>26</v>
      </c>
      <c r="B62" s="6" t="s">
        <v>27</v>
      </c>
      <c r="C62" s="7" t="s">
        <v>103</v>
      </c>
      <c r="D62" s="6" t="s">
        <v>29</v>
      </c>
      <c r="E62" s="6" t="s">
        <v>30</v>
      </c>
      <c r="F62" s="6" t="s">
        <v>107</v>
      </c>
      <c r="G62" s="7"/>
      <c r="H62" s="7" t="s">
        <v>32</v>
      </c>
      <c r="I62" s="6" t="s">
        <v>33</v>
      </c>
      <c r="J62" s="8" t="s">
        <v>105</v>
      </c>
      <c r="K62" s="6" t="s">
        <v>35</v>
      </c>
    </row>
    <row r="63" customFormat="false" ht="64.9" hidden="false" customHeight="false" outlineLevel="0" collapsed="false">
      <c r="A63" s="6" t="s">
        <v>26</v>
      </c>
      <c r="B63" s="6" t="s">
        <v>27</v>
      </c>
      <c r="C63" s="7" t="s">
        <v>103</v>
      </c>
      <c r="D63" s="6" t="s">
        <v>29</v>
      </c>
      <c r="E63" s="6" t="s">
        <v>30</v>
      </c>
      <c r="F63" s="6" t="s">
        <v>108</v>
      </c>
      <c r="G63" s="7"/>
      <c r="H63" s="7" t="s">
        <v>32</v>
      </c>
      <c r="I63" s="6" t="s">
        <v>33</v>
      </c>
      <c r="J63" s="8" t="s">
        <v>105</v>
      </c>
      <c r="K63" s="6" t="s">
        <v>35</v>
      </c>
    </row>
    <row r="64" customFormat="false" ht="64.9" hidden="false" customHeight="false" outlineLevel="0" collapsed="false">
      <c r="A64" s="6" t="s">
        <v>26</v>
      </c>
      <c r="B64" s="6" t="s">
        <v>27</v>
      </c>
      <c r="C64" s="7" t="s">
        <v>103</v>
      </c>
      <c r="D64" s="6" t="s">
        <v>29</v>
      </c>
      <c r="E64" s="6" t="s">
        <v>30</v>
      </c>
      <c r="F64" s="6" t="s">
        <v>109</v>
      </c>
      <c r="G64" s="7"/>
      <c r="H64" s="7" t="s">
        <v>32</v>
      </c>
      <c r="I64" s="6" t="s">
        <v>33</v>
      </c>
      <c r="J64" s="8" t="s">
        <v>105</v>
      </c>
      <c r="K64" s="6" t="s">
        <v>35</v>
      </c>
    </row>
    <row r="65" customFormat="false" ht="64.9" hidden="false" customHeight="false" outlineLevel="0" collapsed="false">
      <c r="A65" s="6" t="s">
        <v>26</v>
      </c>
      <c r="B65" s="6" t="s">
        <v>27</v>
      </c>
      <c r="C65" s="7" t="s">
        <v>103</v>
      </c>
      <c r="D65" s="6" t="s">
        <v>29</v>
      </c>
      <c r="E65" s="6" t="s">
        <v>30</v>
      </c>
      <c r="F65" s="6" t="s">
        <v>110</v>
      </c>
      <c r="G65" s="7"/>
      <c r="H65" s="7" t="s">
        <v>32</v>
      </c>
      <c r="I65" s="6" t="s">
        <v>33</v>
      </c>
      <c r="J65" s="8" t="s">
        <v>105</v>
      </c>
      <c r="K65" s="6" t="s">
        <v>35</v>
      </c>
    </row>
    <row r="66" customFormat="false" ht="64.9" hidden="false" customHeight="false" outlineLevel="0" collapsed="false">
      <c r="A66" s="6" t="s">
        <v>26</v>
      </c>
      <c r="B66" s="6" t="s">
        <v>27</v>
      </c>
      <c r="C66" s="7" t="s">
        <v>103</v>
      </c>
      <c r="D66" s="6" t="s">
        <v>29</v>
      </c>
      <c r="E66" s="6" t="s">
        <v>30</v>
      </c>
      <c r="F66" s="6" t="s">
        <v>111</v>
      </c>
      <c r="G66" s="7"/>
      <c r="H66" s="7" t="s">
        <v>32</v>
      </c>
      <c r="I66" s="6" t="s">
        <v>33</v>
      </c>
      <c r="J66" s="8" t="s">
        <v>105</v>
      </c>
      <c r="K66" s="6" t="s">
        <v>35</v>
      </c>
    </row>
    <row r="67" customFormat="false" ht="64.9" hidden="false" customHeight="false" outlineLevel="0" collapsed="false">
      <c r="A67" s="6" t="s">
        <v>26</v>
      </c>
      <c r="B67" s="6" t="s">
        <v>27</v>
      </c>
      <c r="C67" s="7" t="s">
        <v>103</v>
      </c>
      <c r="D67" s="6" t="s">
        <v>29</v>
      </c>
      <c r="E67" s="6" t="s">
        <v>30</v>
      </c>
      <c r="F67" s="6" t="s">
        <v>112</v>
      </c>
      <c r="G67" s="7"/>
      <c r="H67" s="7" t="s">
        <v>32</v>
      </c>
      <c r="I67" s="6" t="s">
        <v>33</v>
      </c>
      <c r="J67" s="8" t="s">
        <v>105</v>
      </c>
      <c r="K67" s="6" t="s">
        <v>35</v>
      </c>
    </row>
    <row r="68" customFormat="false" ht="90.25" hidden="false" customHeight="false" outlineLevel="0" collapsed="false">
      <c r="A68" s="6" t="s">
        <v>26</v>
      </c>
      <c r="B68" s="6" t="s">
        <v>27</v>
      </c>
      <c r="C68" s="7" t="s">
        <v>103</v>
      </c>
      <c r="D68" s="6" t="s">
        <v>29</v>
      </c>
      <c r="E68" s="6" t="s">
        <v>30</v>
      </c>
      <c r="F68" s="6" t="s">
        <v>113</v>
      </c>
      <c r="G68" s="7"/>
      <c r="H68" s="7" t="s">
        <v>32</v>
      </c>
      <c r="I68" s="6" t="s">
        <v>33</v>
      </c>
      <c r="J68" s="8" t="s">
        <v>105</v>
      </c>
      <c r="K68" s="6" t="s">
        <v>114</v>
      </c>
    </row>
    <row r="69" customFormat="false" ht="64.9" hidden="false" customHeight="false" outlineLevel="0" collapsed="false">
      <c r="A69" s="6" t="s">
        <v>26</v>
      </c>
      <c r="B69" s="6" t="s">
        <v>27</v>
      </c>
      <c r="C69" s="7" t="s">
        <v>103</v>
      </c>
      <c r="D69" s="6" t="s">
        <v>29</v>
      </c>
      <c r="E69" s="6" t="s">
        <v>30</v>
      </c>
      <c r="F69" s="6" t="s">
        <v>115</v>
      </c>
      <c r="G69" s="7"/>
      <c r="H69" s="7" t="s">
        <v>32</v>
      </c>
      <c r="I69" s="6" t="s">
        <v>33</v>
      </c>
      <c r="J69" s="8" t="s">
        <v>105</v>
      </c>
      <c r="K69" s="6" t="s">
        <v>35</v>
      </c>
    </row>
    <row r="70" customFormat="false" ht="77.6" hidden="false" customHeight="false" outlineLevel="0" collapsed="false">
      <c r="A70" s="6" t="s">
        <v>26</v>
      </c>
      <c r="B70" s="6" t="s">
        <v>27</v>
      </c>
      <c r="C70" s="7" t="s">
        <v>103</v>
      </c>
      <c r="D70" s="6" t="s">
        <v>29</v>
      </c>
      <c r="E70" s="6" t="s">
        <v>30</v>
      </c>
      <c r="F70" s="6" t="s">
        <v>116</v>
      </c>
      <c r="G70" s="7"/>
      <c r="H70" s="7" t="s">
        <v>32</v>
      </c>
      <c r="I70" s="6" t="s">
        <v>33</v>
      </c>
      <c r="J70" s="8" t="s">
        <v>105</v>
      </c>
      <c r="K70" s="6" t="s">
        <v>117</v>
      </c>
    </row>
    <row r="71" customFormat="false" ht="64.9" hidden="false" customHeight="false" outlineLevel="0" collapsed="false">
      <c r="A71" s="6" t="s">
        <v>26</v>
      </c>
      <c r="B71" s="6" t="s">
        <v>27</v>
      </c>
      <c r="C71" s="7" t="s">
        <v>103</v>
      </c>
      <c r="D71" s="6" t="s">
        <v>29</v>
      </c>
      <c r="E71" s="6" t="s">
        <v>30</v>
      </c>
      <c r="F71" s="6" t="s">
        <v>118</v>
      </c>
      <c r="G71" s="7"/>
      <c r="H71" s="7" t="s">
        <v>32</v>
      </c>
      <c r="I71" s="6" t="s">
        <v>33</v>
      </c>
      <c r="J71" s="8" t="s">
        <v>105</v>
      </c>
      <c r="K71" s="6" t="s">
        <v>35</v>
      </c>
    </row>
    <row r="72" customFormat="false" ht="64.9" hidden="false" customHeight="false" outlineLevel="0" collapsed="false">
      <c r="A72" s="6" t="s">
        <v>26</v>
      </c>
      <c r="B72" s="6" t="s">
        <v>27</v>
      </c>
      <c r="C72" s="7" t="s">
        <v>103</v>
      </c>
      <c r="D72" s="6" t="s">
        <v>29</v>
      </c>
      <c r="E72" s="6" t="s">
        <v>30</v>
      </c>
      <c r="F72" s="6" t="s">
        <v>119</v>
      </c>
      <c r="G72" s="7"/>
      <c r="H72" s="7" t="s">
        <v>32</v>
      </c>
      <c r="I72" s="6" t="s">
        <v>33</v>
      </c>
      <c r="J72" s="8" t="s">
        <v>105</v>
      </c>
      <c r="K72" s="6" t="s">
        <v>35</v>
      </c>
    </row>
    <row r="73" customFormat="false" ht="64.9" hidden="false" customHeight="false" outlineLevel="0" collapsed="false">
      <c r="A73" s="6" t="s">
        <v>26</v>
      </c>
      <c r="B73" s="6" t="s">
        <v>27</v>
      </c>
      <c r="C73" s="7" t="s">
        <v>103</v>
      </c>
      <c r="D73" s="6" t="s">
        <v>29</v>
      </c>
      <c r="E73" s="6" t="s">
        <v>30</v>
      </c>
      <c r="F73" s="6" t="s">
        <v>120</v>
      </c>
      <c r="G73" s="7"/>
      <c r="H73" s="7" t="s">
        <v>32</v>
      </c>
      <c r="I73" s="6" t="s">
        <v>33</v>
      </c>
      <c r="J73" s="8" t="s">
        <v>105</v>
      </c>
      <c r="K73" s="6" t="s">
        <v>35</v>
      </c>
    </row>
    <row r="74" customFormat="false" ht="77.6" hidden="false" customHeight="false" outlineLevel="0" collapsed="false">
      <c r="A74" s="6" t="s">
        <v>26</v>
      </c>
      <c r="B74" s="6" t="s">
        <v>27</v>
      </c>
      <c r="C74" s="7" t="s">
        <v>103</v>
      </c>
      <c r="D74" s="6" t="s">
        <v>51</v>
      </c>
      <c r="E74" s="6" t="s">
        <v>30</v>
      </c>
      <c r="F74" s="6" t="s">
        <v>121</v>
      </c>
      <c r="G74" s="7"/>
      <c r="H74" s="7" t="s">
        <v>53</v>
      </c>
      <c r="I74" s="6" t="s">
        <v>33</v>
      </c>
      <c r="J74" s="8" t="s">
        <v>122</v>
      </c>
      <c r="K74" s="6" t="s">
        <v>123</v>
      </c>
    </row>
    <row r="75" customFormat="false" ht="64.9" hidden="false" customHeight="false" outlineLevel="0" collapsed="false">
      <c r="A75" s="6" t="s">
        <v>26</v>
      </c>
      <c r="B75" s="6" t="s">
        <v>27</v>
      </c>
      <c r="C75" s="7" t="s">
        <v>103</v>
      </c>
      <c r="D75" s="6" t="s">
        <v>51</v>
      </c>
      <c r="E75" s="6" t="s">
        <v>30</v>
      </c>
      <c r="F75" s="6" t="s">
        <v>124</v>
      </c>
      <c r="G75" s="7"/>
      <c r="H75" s="7" t="s">
        <v>53</v>
      </c>
      <c r="I75" s="6" t="s">
        <v>33</v>
      </c>
      <c r="J75" s="8" t="s">
        <v>122</v>
      </c>
      <c r="K75" s="6" t="s">
        <v>55</v>
      </c>
    </row>
    <row r="76" customFormat="false" ht="64.9" hidden="false" customHeight="false" outlineLevel="0" collapsed="false">
      <c r="A76" s="6" t="s">
        <v>26</v>
      </c>
      <c r="B76" s="6" t="s">
        <v>27</v>
      </c>
      <c r="C76" s="7" t="s">
        <v>103</v>
      </c>
      <c r="D76" s="6" t="s">
        <v>51</v>
      </c>
      <c r="E76" s="6" t="s">
        <v>30</v>
      </c>
      <c r="F76" s="6" t="s">
        <v>125</v>
      </c>
      <c r="G76" s="7"/>
      <c r="H76" s="7" t="s">
        <v>53</v>
      </c>
      <c r="I76" s="6" t="s">
        <v>33</v>
      </c>
      <c r="J76" s="8" t="s">
        <v>122</v>
      </c>
      <c r="K76" s="6" t="s">
        <v>55</v>
      </c>
    </row>
    <row r="77" customFormat="false" ht="64.9" hidden="false" customHeight="false" outlineLevel="0" collapsed="false">
      <c r="A77" s="6" t="s">
        <v>26</v>
      </c>
      <c r="B77" s="6" t="s">
        <v>27</v>
      </c>
      <c r="C77" s="7" t="s">
        <v>103</v>
      </c>
      <c r="D77" s="6" t="s">
        <v>51</v>
      </c>
      <c r="E77" s="6" t="s">
        <v>30</v>
      </c>
      <c r="F77" s="6" t="s">
        <v>126</v>
      </c>
      <c r="G77" s="7"/>
      <c r="H77" s="7" t="s">
        <v>53</v>
      </c>
      <c r="I77" s="6" t="s">
        <v>33</v>
      </c>
      <c r="J77" s="8" t="s">
        <v>122</v>
      </c>
      <c r="K77" s="6" t="s">
        <v>55</v>
      </c>
    </row>
    <row r="78" customFormat="false" ht="64.9" hidden="false" customHeight="false" outlineLevel="0" collapsed="false">
      <c r="A78" s="6" t="s">
        <v>26</v>
      </c>
      <c r="B78" s="6" t="s">
        <v>27</v>
      </c>
      <c r="C78" s="7" t="s">
        <v>103</v>
      </c>
      <c r="D78" s="6" t="s">
        <v>51</v>
      </c>
      <c r="E78" s="6" t="s">
        <v>30</v>
      </c>
      <c r="F78" s="6" t="s">
        <v>127</v>
      </c>
      <c r="G78" s="7"/>
      <c r="H78" s="7" t="s">
        <v>53</v>
      </c>
      <c r="I78" s="6" t="s">
        <v>33</v>
      </c>
      <c r="J78" s="8" t="s">
        <v>122</v>
      </c>
      <c r="K78" s="6" t="s">
        <v>55</v>
      </c>
    </row>
    <row r="79" customFormat="false" ht="64.9" hidden="false" customHeight="false" outlineLevel="0" collapsed="false">
      <c r="A79" s="6" t="s">
        <v>26</v>
      </c>
      <c r="B79" s="6" t="s">
        <v>27</v>
      </c>
      <c r="C79" s="7" t="s">
        <v>103</v>
      </c>
      <c r="D79" s="6" t="s">
        <v>51</v>
      </c>
      <c r="E79" s="6" t="s">
        <v>30</v>
      </c>
      <c r="F79" s="6" t="s">
        <v>128</v>
      </c>
      <c r="G79" s="7"/>
      <c r="H79" s="7" t="s">
        <v>53</v>
      </c>
      <c r="I79" s="6" t="s">
        <v>33</v>
      </c>
      <c r="J79" s="8" t="s">
        <v>122</v>
      </c>
      <c r="K79" s="6" t="s">
        <v>55</v>
      </c>
    </row>
    <row r="80" customFormat="false" ht="64.9" hidden="false" customHeight="false" outlineLevel="0" collapsed="false">
      <c r="A80" s="6" t="s">
        <v>26</v>
      </c>
      <c r="B80" s="6" t="s">
        <v>27</v>
      </c>
      <c r="C80" s="7" t="s">
        <v>103</v>
      </c>
      <c r="D80" s="6" t="s">
        <v>51</v>
      </c>
      <c r="E80" s="6" t="s">
        <v>30</v>
      </c>
      <c r="F80" s="6" t="s">
        <v>129</v>
      </c>
      <c r="G80" s="7"/>
      <c r="H80" s="7" t="s">
        <v>53</v>
      </c>
      <c r="I80" s="6" t="s">
        <v>33</v>
      </c>
      <c r="J80" s="8" t="s">
        <v>122</v>
      </c>
      <c r="K80" s="6" t="s">
        <v>55</v>
      </c>
    </row>
    <row r="81" customFormat="false" ht="64.9" hidden="false" customHeight="false" outlineLevel="0" collapsed="false">
      <c r="A81" s="6" t="s">
        <v>26</v>
      </c>
      <c r="B81" s="6" t="s">
        <v>27</v>
      </c>
      <c r="C81" s="7" t="s">
        <v>103</v>
      </c>
      <c r="D81" s="6" t="s">
        <v>51</v>
      </c>
      <c r="E81" s="6" t="s">
        <v>30</v>
      </c>
      <c r="F81" s="6" t="s">
        <v>130</v>
      </c>
      <c r="G81" s="7"/>
      <c r="H81" s="7" t="s">
        <v>53</v>
      </c>
      <c r="I81" s="6" t="s">
        <v>33</v>
      </c>
      <c r="J81" s="8" t="s">
        <v>122</v>
      </c>
      <c r="K81" s="6" t="s">
        <v>55</v>
      </c>
    </row>
    <row r="82" customFormat="false" ht="64.9" hidden="false" customHeight="false" outlineLevel="0" collapsed="false">
      <c r="A82" s="6" t="s">
        <v>26</v>
      </c>
      <c r="B82" s="6" t="s">
        <v>27</v>
      </c>
      <c r="C82" s="7" t="s">
        <v>103</v>
      </c>
      <c r="D82" s="6" t="s">
        <v>51</v>
      </c>
      <c r="E82" s="6" t="s">
        <v>30</v>
      </c>
      <c r="F82" s="6" t="s">
        <v>131</v>
      </c>
      <c r="G82" s="7"/>
      <c r="H82" s="7" t="s">
        <v>53</v>
      </c>
      <c r="I82" s="6" t="s">
        <v>33</v>
      </c>
      <c r="J82" s="8" t="s">
        <v>122</v>
      </c>
      <c r="K82" s="6" t="s">
        <v>55</v>
      </c>
    </row>
    <row r="83" customFormat="false" ht="64.9" hidden="false" customHeight="false" outlineLevel="0" collapsed="false">
      <c r="A83" s="6" t="s">
        <v>26</v>
      </c>
      <c r="B83" s="6" t="s">
        <v>27</v>
      </c>
      <c r="C83" s="7" t="s">
        <v>28</v>
      </c>
      <c r="D83" s="6" t="s">
        <v>29</v>
      </c>
      <c r="E83" s="6" t="s">
        <v>132</v>
      </c>
      <c r="F83" s="7" t="s">
        <v>133</v>
      </c>
      <c r="G83" s="7"/>
      <c r="H83" s="7" t="s">
        <v>32</v>
      </c>
      <c r="I83" s="6" t="s">
        <v>33</v>
      </c>
      <c r="J83" s="8" t="s">
        <v>134</v>
      </c>
      <c r="K83" s="6" t="s">
        <v>135</v>
      </c>
    </row>
    <row r="84" customFormat="false" ht="64.9" hidden="false" customHeight="false" outlineLevel="0" collapsed="false">
      <c r="A84" s="6" t="s">
        <v>26</v>
      </c>
      <c r="B84" s="6" t="s">
        <v>27</v>
      </c>
      <c r="C84" s="7" t="s">
        <v>28</v>
      </c>
      <c r="D84" s="6" t="s">
        <v>29</v>
      </c>
      <c r="E84" s="6" t="s">
        <v>132</v>
      </c>
      <c r="F84" s="7" t="s">
        <v>136</v>
      </c>
      <c r="G84" s="7"/>
      <c r="H84" s="7" t="s">
        <v>32</v>
      </c>
      <c r="I84" s="6" t="s">
        <v>33</v>
      </c>
      <c r="J84" s="8" t="s">
        <v>134</v>
      </c>
      <c r="K84" s="6" t="s">
        <v>135</v>
      </c>
    </row>
    <row r="85" customFormat="false" ht="64.9" hidden="false" customHeight="false" outlineLevel="0" collapsed="false">
      <c r="A85" s="6" t="s">
        <v>26</v>
      </c>
      <c r="B85" s="6" t="s">
        <v>27</v>
      </c>
      <c r="C85" s="7" t="s">
        <v>28</v>
      </c>
      <c r="D85" s="6" t="s">
        <v>29</v>
      </c>
      <c r="E85" s="6" t="s">
        <v>132</v>
      </c>
      <c r="F85" s="7" t="s">
        <v>137</v>
      </c>
      <c r="G85" s="7"/>
      <c r="H85" s="7" t="s">
        <v>32</v>
      </c>
      <c r="I85" s="6" t="s">
        <v>33</v>
      </c>
      <c r="J85" s="8" t="s">
        <v>134</v>
      </c>
      <c r="K85" s="6" t="s">
        <v>135</v>
      </c>
    </row>
    <row r="86" customFormat="false" ht="64.9" hidden="false" customHeight="false" outlineLevel="0" collapsed="false">
      <c r="A86" s="6" t="s">
        <v>26</v>
      </c>
      <c r="B86" s="6" t="s">
        <v>27</v>
      </c>
      <c r="C86" s="7" t="s">
        <v>28</v>
      </c>
      <c r="D86" s="6" t="s">
        <v>29</v>
      </c>
      <c r="E86" s="6" t="s">
        <v>132</v>
      </c>
      <c r="F86" s="7" t="s">
        <v>138</v>
      </c>
      <c r="G86" s="7"/>
      <c r="H86" s="7" t="s">
        <v>32</v>
      </c>
      <c r="I86" s="6" t="s">
        <v>33</v>
      </c>
      <c r="J86" s="8" t="s">
        <v>134</v>
      </c>
      <c r="K86" s="6" t="s">
        <v>135</v>
      </c>
    </row>
    <row r="87" customFormat="false" ht="77.6" hidden="false" customHeight="false" outlineLevel="0" collapsed="false">
      <c r="A87" s="6" t="s">
        <v>26</v>
      </c>
      <c r="B87" s="6" t="s">
        <v>27</v>
      </c>
      <c r="C87" s="7" t="s">
        <v>28</v>
      </c>
      <c r="D87" s="6" t="s">
        <v>29</v>
      </c>
      <c r="E87" s="6" t="s">
        <v>132</v>
      </c>
      <c r="F87" s="7" t="s">
        <v>139</v>
      </c>
      <c r="G87" s="7"/>
      <c r="H87" s="7" t="s">
        <v>32</v>
      </c>
      <c r="I87" s="6" t="s">
        <v>33</v>
      </c>
      <c r="J87" s="8" t="s">
        <v>134</v>
      </c>
      <c r="K87" s="6" t="s">
        <v>140</v>
      </c>
    </row>
    <row r="88" customFormat="false" ht="64.9" hidden="false" customHeight="false" outlineLevel="0" collapsed="false">
      <c r="A88" s="6" t="s">
        <v>26</v>
      </c>
      <c r="B88" s="6" t="s">
        <v>27</v>
      </c>
      <c r="C88" s="7" t="s">
        <v>28</v>
      </c>
      <c r="D88" s="6" t="s">
        <v>29</v>
      </c>
      <c r="E88" s="6" t="s">
        <v>132</v>
      </c>
      <c r="F88" s="7" t="s">
        <v>141</v>
      </c>
      <c r="G88" s="7"/>
      <c r="H88" s="7" t="s">
        <v>32</v>
      </c>
      <c r="I88" s="6" t="s">
        <v>33</v>
      </c>
      <c r="J88" s="8" t="s">
        <v>134</v>
      </c>
      <c r="K88" s="6" t="s">
        <v>135</v>
      </c>
    </row>
    <row r="89" customFormat="false" ht="77.6" hidden="false" customHeight="false" outlineLevel="0" collapsed="false">
      <c r="A89" s="6" t="s">
        <v>26</v>
      </c>
      <c r="B89" s="6" t="s">
        <v>27</v>
      </c>
      <c r="C89" s="7" t="s">
        <v>28</v>
      </c>
      <c r="D89" s="6" t="s">
        <v>29</v>
      </c>
      <c r="E89" s="6" t="s">
        <v>132</v>
      </c>
      <c r="F89" s="7" t="s">
        <v>142</v>
      </c>
      <c r="G89" s="7"/>
      <c r="H89" s="7" t="s">
        <v>32</v>
      </c>
      <c r="I89" s="6" t="s">
        <v>33</v>
      </c>
      <c r="J89" s="8" t="s">
        <v>134</v>
      </c>
      <c r="K89" s="6" t="s">
        <v>143</v>
      </c>
    </row>
    <row r="90" customFormat="false" ht="39.55" hidden="false" customHeight="false" outlineLevel="0" collapsed="false">
      <c r="A90" s="9" t="s">
        <v>26</v>
      </c>
      <c r="B90" s="9" t="s">
        <v>27</v>
      </c>
      <c r="C90" s="10" t="s">
        <v>28</v>
      </c>
      <c r="D90" s="9" t="s">
        <v>51</v>
      </c>
      <c r="E90" s="9" t="s">
        <v>132</v>
      </c>
      <c r="F90" s="10"/>
      <c r="G90" s="10"/>
      <c r="H90" s="10"/>
      <c r="I90" s="10"/>
      <c r="J90" s="10"/>
      <c r="K90" s="9" t="s">
        <v>144</v>
      </c>
    </row>
    <row r="91" customFormat="false" ht="15" hidden="false" customHeight="false" outlineLevel="0" collapsed="false">
      <c r="A91" s="9" t="s">
        <v>26</v>
      </c>
      <c r="B91" s="9" t="s">
        <v>27</v>
      </c>
      <c r="C91" s="10" t="s">
        <v>70</v>
      </c>
      <c r="D91" s="9" t="s">
        <v>29</v>
      </c>
      <c r="E91" s="9" t="s">
        <v>132</v>
      </c>
      <c r="F91" s="10"/>
      <c r="G91" s="10"/>
      <c r="H91" s="10"/>
      <c r="I91" s="10"/>
      <c r="J91" s="10"/>
      <c r="K91" s="9" t="s">
        <v>145</v>
      </c>
    </row>
    <row r="92" customFormat="false" ht="15" hidden="false" customHeight="false" outlineLevel="0" collapsed="false">
      <c r="A92" s="9" t="s">
        <v>26</v>
      </c>
      <c r="B92" s="9" t="s">
        <v>27</v>
      </c>
      <c r="C92" s="10" t="s">
        <v>70</v>
      </c>
      <c r="D92" s="9" t="s">
        <v>51</v>
      </c>
      <c r="E92" s="9" t="s">
        <v>132</v>
      </c>
      <c r="F92" s="10"/>
      <c r="G92" s="10"/>
      <c r="H92" s="10"/>
      <c r="I92" s="10"/>
      <c r="J92" s="10"/>
      <c r="K92" s="9" t="s">
        <v>145</v>
      </c>
    </row>
    <row r="93" customFormat="false" ht="15" hidden="false" customHeight="false" outlineLevel="0" collapsed="false">
      <c r="A93" s="9" t="s">
        <v>26</v>
      </c>
      <c r="B93" s="9" t="s">
        <v>27</v>
      </c>
      <c r="C93" s="10" t="s">
        <v>103</v>
      </c>
      <c r="D93" s="9" t="s">
        <v>29</v>
      </c>
      <c r="E93" s="9" t="s">
        <v>132</v>
      </c>
      <c r="F93" s="10"/>
      <c r="G93" s="10"/>
      <c r="H93" s="10"/>
      <c r="I93" s="10"/>
      <c r="J93" s="10"/>
      <c r="K93" s="9" t="s">
        <v>145</v>
      </c>
    </row>
    <row r="94" customFormat="false" ht="15" hidden="false" customHeight="false" outlineLevel="0" collapsed="false">
      <c r="A94" s="9" t="s">
        <v>26</v>
      </c>
      <c r="B94" s="9" t="s">
        <v>27</v>
      </c>
      <c r="C94" s="10" t="s">
        <v>103</v>
      </c>
      <c r="D94" s="9" t="s">
        <v>51</v>
      </c>
      <c r="E94" s="9" t="s">
        <v>132</v>
      </c>
      <c r="F94" s="10"/>
      <c r="G94" s="10"/>
      <c r="H94" s="10"/>
      <c r="I94" s="10"/>
      <c r="J94" s="10"/>
      <c r="K94" s="9" t="s">
        <v>145</v>
      </c>
    </row>
    <row r="95" customFormat="false" ht="64.9" hidden="false" customHeight="false" outlineLevel="0" collapsed="false">
      <c r="A95" s="6" t="s">
        <v>26</v>
      </c>
      <c r="B95" s="6" t="s">
        <v>27</v>
      </c>
      <c r="C95" s="7" t="s">
        <v>28</v>
      </c>
      <c r="D95" s="6" t="s">
        <v>29</v>
      </c>
      <c r="E95" s="6" t="s">
        <v>146</v>
      </c>
      <c r="F95" s="6" t="s">
        <v>147</v>
      </c>
      <c r="G95" s="7"/>
      <c r="H95" s="6" t="s">
        <v>148</v>
      </c>
      <c r="I95" s="6" t="s">
        <v>149</v>
      </c>
      <c r="J95" s="8" t="s">
        <v>150</v>
      </c>
      <c r="K95" s="6" t="s">
        <v>151</v>
      </c>
    </row>
    <row r="96" customFormat="false" ht="64.9" hidden="false" customHeight="false" outlineLevel="0" collapsed="false">
      <c r="A96" s="6" t="s">
        <v>26</v>
      </c>
      <c r="B96" s="6" t="s">
        <v>27</v>
      </c>
      <c r="C96" s="7" t="s">
        <v>28</v>
      </c>
      <c r="D96" s="6" t="s">
        <v>29</v>
      </c>
      <c r="E96" s="6" t="s">
        <v>146</v>
      </c>
      <c r="F96" s="6" t="s">
        <v>152</v>
      </c>
      <c r="G96" s="7"/>
      <c r="H96" s="6" t="s">
        <v>148</v>
      </c>
      <c r="I96" s="6" t="s">
        <v>149</v>
      </c>
      <c r="J96" s="8" t="s">
        <v>150</v>
      </c>
      <c r="K96" s="6" t="s">
        <v>151</v>
      </c>
    </row>
    <row r="97" customFormat="false" ht="77.6" hidden="false" customHeight="false" outlineLevel="0" collapsed="false">
      <c r="A97" s="6" t="s">
        <v>26</v>
      </c>
      <c r="B97" s="6" t="s">
        <v>27</v>
      </c>
      <c r="C97" s="7" t="s">
        <v>28</v>
      </c>
      <c r="D97" s="6" t="s">
        <v>29</v>
      </c>
      <c r="E97" s="6" t="s">
        <v>146</v>
      </c>
      <c r="F97" s="6" t="s">
        <v>153</v>
      </c>
      <c r="G97" s="7"/>
      <c r="H97" s="6" t="s">
        <v>148</v>
      </c>
      <c r="I97" s="6" t="s">
        <v>149</v>
      </c>
      <c r="J97" s="8" t="s">
        <v>150</v>
      </c>
      <c r="K97" s="6" t="s">
        <v>154</v>
      </c>
    </row>
    <row r="98" customFormat="false" ht="15" hidden="false" customHeight="false" outlineLevel="0" collapsed="false">
      <c r="A98" s="9" t="s">
        <v>26</v>
      </c>
      <c r="B98" s="9" t="s">
        <v>27</v>
      </c>
      <c r="C98" s="10" t="s">
        <v>28</v>
      </c>
      <c r="D98" s="9" t="s">
        <v>51</v>
      </c>
      <c r="E98" s="9" t="s">
        <v>146</v>
      </c>
      <c r="F98" s="10"/>
      <c r="G98" s="10"/>
      <c r="H98" s="10"/>
      <c r="I98" s="10"/>
      <c r="J98" s="10"/>
      <c r="K98" s="9" t="s">
        <v>145</v>
      </c>
    </row>
    <row r="99" customFormat="false" ht="15" hidden="false" customHeight="false" outlineLevel="0" collapsed="false">
      <c r="A99" s="9" t="s">
        <v>26</v>
      </c>
      <c r="B99" s="9" t="s">
        <v>27</v>
      </c>
      <c r="C99" s="10" t="s">
        <v>70</v>
      </c>
      <c r="D99" s="9" t="s">
        <v>29</v>
      </c>
      <c r="E99" s="9" t="s">
        <v>146</v>
      </c>
      <c r="F99" s="10"/>
      <c r="G99" s="10"/>
      <c r="H99" s="10"/>
      <c r="I99" s="10"/>
      <c r="J99" s="10"/>
      <c r="K99" s="9" t="s">
        <v>145</v>
      </c>
    </row>
    <row r="100" customFormat="false" ht="15" hidden="false" customHeight="false" outlineLevel="0" collapsed="false">
      <c r="A100" s="9" t="s">
        <v>26</v>
      </c>
      <c r="B100" s="9" t="s">
        <v>27</v>
      </c>
      <c r="C100" s="10" t="s">
        <v>70</v>
      </c>
      <c r="D100" s="9" t="s">
        <v>51</v>
      </c>
      <c r="E100" s="9" t="s">
        <v>146</v>
      </c>
      <c r="F100" s="10"/>
      <c r="G100" s="10"/>
      <c r="H100" s="10"/>
      <c r="I100" s="10"/>
      <c r="J100" s="10"/>
      <c r="K100" s="9" t="s">
        <v>145</v>
      </c>
    </row>
    <row r="101" customFormat="false" ht="15" hidden="false" customHeight="false" outlineLevel="0" collapsed="false">
      <c r="A101" s="9" t="s">
        <v>26</v>
      </c>
      <c r="B101" s="9" t="s">
        <v>27</v>
      </c>
      <c r="C101" s="10" t="s">
        <v>103</v>
      </c>
      <c r="D101" s="9" t="s">
        <v>29</v>
      </c>
      <c r="E101" s="9" t="s">
        <v>146</v>
      </c>
      <c r="F101" s="10"/>
      <c r="G101" s="10"/>
      <c r="H101" s="10"/>
      <c r="I101" s="10"/>
      <c r="J101" s="10"/>
      <c r="K101" s="9" t="s">
        <v>145</v>
      </c>
    </row>
    <row r="102" customFormat="false" ht="15" hidden="false" customHeight="false" outlineLevel="0" collapsed="false">
      <c r="A102" s="9" t="s">
        <v>26</v>
      </c>
      <c r="B102" s="9" t="s">
        <v>27</v>
      </c>
      <c r="C102" s="10" t="s">
        <v>103</v>
      </c>
      <c r="D102" s="9" t="s">
        <v>51</v>
      </c>
      <c r="E102" s="9" t="s">
        <v>146</v>
      </c>
      <c r="F102" s="10"/>
      <c r="G102" s="10"/>
      <c r="H102" s="10"/>
      <c r="I102" s="10"/>
      <c r="J102" s="10"/>
      <c r="K102" s="9" t="s">
        <v>145</v>
      </c>
    </row>
    <row r="103" customFormat="false" ht="52.2" hidden="false" customHeight="false" outlineLevel="0" collapsed="false">
      <c r="A103" s="9" t="s">
        <v>26</v>
      </c>
      <c r="B103" s="9" t="s">
        <v>27</v>
      </c>
      <c r="C103" s="10" t="s">
        <v>28</v>
      </c>
      <c r="D103" s="9" t="s">
        <v>29</v>
      </c>
      <c r="E103" s="9" t="s">
        <v>155</v>
      </c>
      <c r="F103" s="10"/>
      <c r="G103" s="10"/>
      <c r="H103" s="10"/>
      <c r="I103" s="10"/>
      <c r="J103" s="10"/>
      <c r="K103" s="9" t="s">
        <v>156</v>
      </c>
    </row>
    <row r="104" customFormat="false" ht="64.9" hidden="false" customHeight="false" outlineLevel="0" collapsed="false">
      <c r="A104" s="6" t="s">
        <v>26</v>
      </c>
      <c r="B104" s="6" t="s">
        <v>27</v>
      </c>
      <c r="C104" s="7" t="s">
        <v>28</v>
      </c>
      <c r="D104" s="6" t="s">
        <v>51</v>
      </c>
      <c r="E104" s="6" t="s">
        <v>155</v>
      </c>
      <c r="F104" s="6" t="s">
        <v>157</v>
      </c>
      <c r="G104" s="7"/>
      <c r="H104" s="7" t="s">
        <v>53</v>
      </c>
      <c r="I104" s="6" t="s">
        <v>158</v>
      </c>
      <c r="J104" s="8" t="s">
        <v>159</v>
      </c>
      <c r="K104" s="6" t="s">
        <v>160</v>
      </c>
    </row>
    <row r="105" customFormat="false" ht="64.9" hidden="false" customHeight="false" outlineLevel="0" collapsed="false">
      <c r="A105" s="6" t="s">
        <v>26</v>
      </c>
      <c r="B105" s="6" t="s">
        <v>27</v>
      </c>
      <c r="C105" s="7" t="s">
        <v>28</v>
      </c>
      <c r="D105" s="6" t="s">
        <v>51</v>
      </c>
      <c r="E105" s="6" t="s">
        <v>155</v>
      </c>
      <c r="F105" s="6" t="s">
        <v>161</v>
      </c>
      <c r="G105" s="7"/>
      <c r="H105" s="7" t="s">
        <v>53</v>
      </c>
      <c r="I105" s="6" t="s">
        <v>158</v>
      </c>
      <c r="J105" s="8" t="s">
        <v>159</v>
      </c>
      <c r="K105" s="6" t="s">
        <v>160</v>
      </c>
    </row>
    <row r="106" customFormat="false" ht="64.9" hidden="false" customHeight="false" outlineLevel="0" collapsed="false">
      <c r="A106" s="6" t="s">
        <v>26</v>
      </c>
      <c r="B106" s="6" t="s">
        <v>27</v>
      </c>
      <c r="C106" s="7" t="s">
        <v>28</v>
      </c>
      <c r="D106" s="6" t="s">
        <v>51</v>
      </c>
      <c r="E106" s="6" t="s">
        <v>155</v>
      </c>
      <c r="F106" s="6" t="s">
        <v>162</v>
      </c>
      <c r="G106" s="7"/>
      <c r="H106" s="7" t="s">
        <v>53</v>
      </c>
      <c r="I106" s="6" t="s">
        <v>158</v>
      </c>
      <c r="J106" s="8" t="s">
        <v>159</v>
      </c>
      <c r="K106" s="6" t="s">
        <v>160</v>
      </c>
    </row>
    <row r="107" customFormat="false" ht="64.9" hidden="false" customHeight="false" outlineLevel="0" collapsed="false">
      <c r="A107" s="6" t="s">
        <v>26</v>
      </c>
      <c r="B107" s="6" t="s">
        <v>27</v>
      </c>
      <c r="C107" s="7" t="s">
        <v>28</v>
      </c>
      <c r="D107" s="6" t="s">
        <v>51</v>
      </c>
      <c r="E107" s="6" t="s">
        <v>155</v>
      </c>
      <c r="F107" s="6" t="s">
        <v>163</v>
      </c>
      <c r="G107" s="7"/>
      <c r="H107" s="7" t="s">
        <v>53</v>
      </c>
      <c r="I107" s="6" t="s">
        <v>158</v>
      </c>
      <c r="J107" s="8" t="s">
        <v>159</v>
      </c>
      <c r="K107" s="6" t="s">
        <v>160</v>
      </c>
    </row>
    <row r="108" customFormat="false" ht="64.9" hidden="false" customHeight="false" outlineLevel="0" collapsed="false">
      <c r="A108" s="6" t="s">
        <v>26</v>
      </c>
      <c r="B108" s="6" t="s">
        <v>27</v>
      </c>
      <c r="C108" s="7" t="s">
        <v>28</v>
      </c>
      <c r="D108" s="6" t="s">
        <v>51</v>
      </c>
      <c r="E108" s="6" t="s">
        <v>155</v>
      </c>
      <c r="F108" s="6" t="s">
        <v>164</v>
      </c>
      <c r="G108" s="7"/>
      <c r="H108" s="7" t="s">
        <v>53</v>
      </c>
      <c r="I108" s="6" t="s">
        <v>158</v>
      </c>
      <c r="J108" s="8" t="s">
        <v>159</v>
      </c>
      <c r="K108" s="6" t="s">
        <v>160</v>
      </c>
    </row>
    <row r="109" customFormat="false" ht="15" hidden="false" customHeight="false" outlineLevel="0" collapsed="false">
      <c r="A109" s="9" t="s">
        <v>26</v>
      </c>
      <c r="B109" s="9" t="s">
        <v>27</v>
      </c>
      <c r="C109" s="10" t="s">
        <v>70</v>
      </c>
      <c r="D109" s="9" t="s">
        <v>29</v>
      </c>
      <c r="E109" s="9" t="s">
        <v>165</v>
      </c>
      <c r="F109" s="10"/>
      <c r="G109" s="10"/>
      <c r="H109" s="10"/>
      <c r="I109" s="10"/>
      <c r="J109" s="10"/>
      <c r="K109" s="9" t="s">
        <v>145</v>
      </c>
    </row>
    <row r="110" customFormat="false" ht="15" hidden="false" customHeight="false" outlineLevel="0" collapsed="false">
      <c r="A110" s="9" t="s">
        <v>26</v>
      </c>
      <c r="B110" s="9" t="s">
        <v>27</v>
      </c>
      <c r="C110" s="10" t="s">
        <v>70</v>
      </c>
      <c r="D110" s="9" t="s">
        <v>51</v>
      </c>
      <c r="E110" s="9" t="s">
        <v>165</v>
      </c>
      <c r="F110" s="10"/>
      <c r="G110" s="10"/>
      <c r="H110" s="10"/>
      <c r="I110" s="10"/>
      <c r="J110" s="10"/>
      <c r="K110" s="9" t="s">
        <v>145</v>
      </c>
    </row>
    <row r="111" customFormat="false" ht="15" hidden="false" customHeight="false" outlineLevel="0" collapsed="false">
      <c r="A111" s="9" t="s">
        <v>26</v>
      </c>
      <c r="B111" s="9" t="s">
        <v>27</v>
      </c>
      <c r="C111" s="10" t="s">
        <v>103</v>
      </c>
      <c r="D111" s="9" t="s">
        <v>29</v>
      </c>
      <c r="E111" s="9" t="s">
        <v>165</v>
      </c>
      <c r="F111" s="10"/>
      <c r="G111" s="10"/>
      <c r="H111" s="10"/>
      <c r="I111" s="10"/>
      <c r="J111" s="10"/>
      <c r="K111" s="9" t="s">
        <v>145</v>
      </c>
    </row>
    <row r="112" customFormat="false" ht="15" hidden="false" customHeight="false" outlineLevel="0" collapsed="false">
      <c r="A112" s="9" t="s">
        <v>26</v>
      </c>
      <c r="B112" s="9" t="s">
        <v>27</v>
      </c>
      <c r="C112" s="10" t="s">
        <v>103</v>
      </c>
      <c r="D112" s="9" t="s">
        <v>51</v>
      </c>
      <c r="E112" s="9" t="s">
        <v>165</v>
      </c>
      <c r="F112" s="10"/>
      <c r="G112" s="10"/>
      <c r="H112" s="10"/>
      <c r="I112" s="10"/>
      <c r="J112" s="10"/>
      <c r="K112" s="9" t="s">
        <v>145</v>
      </c>
    </row>
    <row r="113" customFormat="false" ht="15" hidden="false" customHeight="false" outlineLevel="0" collapsed="false">
      <c r="A113" s="9" t="s">
        <v>26</v>
      </c>
      <c r="B113" s="9" t="s">
        <v>27</v>
      </c>
      <c r="C113" s="10" t="s">
        <v>103</v>
      </c>
      <c r="D113" s="9" t="s">
        <v>29</v>
      </c>
      <c r="E113" s="9" t="s">
        <v>166</v>
      </c>
      <c r="F113" s="10"/>
      <c r="G113" s="10"/>
      <c r="H113" s="10"/>
      <c r="I113" s="10"/>
      <c r="J113" s="10"/>
      <c r="K113" s="9" t="s">
        <v>145</v>
      </c>
    </row>
    <row r="114" customFormat="false" ht="15" hidden="false" customHeight="false" outlineLevel="0" collapsed="false">
      <c r="A114" s="9" t="s">
        <v>26</v>
      </c>
      <c r="B114" s="9" t="s">
        <v>27</v>
      </c>
      <c r="C114" s="10" t="s">
        <v>103</v>
      </c>
      <c r="D114" s="9" t="s">
        <v>51</v>
      </c>
      <c r="E114" s="9" t="s">
        <v>166</v>
      </c>
      <c r="F114" s="10"/>
      <c r="G114" s="10"/>
      <c r="H114" s="10"/>
      <c r="I114" s="10"/>
      <c r="J114" s="10"/>
      <c r="K114" s="9" t="s">
        <v>145</v>
      </c>
    </row>
    <row r="115" customFormat="false" ht="26.85" hidden="false" customHeight="false" outlineLevel="0" collapsed="false">
      <c r="A115" s="9" t="s">
        <v>26</v>
      </c>
      <c r="B115" s="9" t="s">
        <v>27</v>
      </c>
      <c r="C115" s="10" t="s">
        <v>28</v>
      </c>
      <c r="D115" s="9" t="s">
        <v>29</v>
      </c>
      <c r="E115" s="9" t="s">
        <v>167</v>
      </c>
      <c r="F115" s="10"/>
      <c r="G115" s="10"/>
      <c r="H115" s="10"/>
      <c r="I115" s="10"/>
      <c r="J115" s="10"/>
      <c r="K115" s="9" t="s">
        <v>168</v>
      </c>
    </row>
    <row r="116" customFormat="false" ht="26.85" hidden="false" customHeight="false" outlineLevel="0" collapsed="false">
      <c r="A116" s="9" t="s">
        <v>26</v>
      </c>
      <c r="B116" s="9" t="s">
        <v>27</v>
      </c>
      <c r="C116" s="10" t="s">
        <v>28</v>
      </c>
      <c r="D116" s="9" t="s">
        <v>51</v>
      </c>
      <c r="E116" s="9" t="s">
        <v>167</v>
      </c>
      <c r="F116" s="10"/>
      <c r="G116" s="10"/>
      <c r="H116" s="10"/>
      <c r="I116" s="10"/>
      <c r="J116" s="10"/>
      <c r="K116" s="9" t="s">
        <v>168</v>
      </c>
    </row>
    <row r="117" customFormat="false" ht="26.85" hidden="false" customHeight="false" outlineLevel="0" collapsed="false">
      <c r="A117" s="9" t="s">
        <v>26</v>
      </c>
      <c r="B117" s="9" t="s">
        <v>27</v>
      </c>
      <c r="C117" s="10" t="s">
        <v>70</v>
      </c>
      <c r="D117" s="9" t="s">
        <v>29</v>
      </c>
      <c r="E117" s="9" t="s">
        <v>167</v>
      </c>
      <c r="F117" s="10"/>
      <c r="G117" s="10"/>
      <c r="H117" s="10"/>
      <c r="I117" s="10"/>
      <c r="J117" s="10"/>
      <c r="K117" s="9" t="s">
        <v>168</v>
      </c>
    </row>
    <row r="118" customFormat="false" ht="26.85" hidden="false" customHeight="false" outlineLevel="0" collapsed="false">
      <c r="A118" s="9" t="s">
        <v>26</v>
      </c>
      <c r="B118" s="9" t="s">
        <v>27</v>
      </c>
      <c r="C118" s="10" t="s">
        <v>70</v>
      </c>
      <c r="D118" s="9" t="s">
        <v>51</v>
      </c>
      <c r="E118" s="9" t="s">
        <v>167</v>
      </c>
      <c r="F118" s="10"/>
      <c r="G118" s="10"/>
      <c r="H118" s="10"/>
      <c r="I118" s="10"/>
      <c r="J118" s="10"/>
      <c r="K118" s="9" t="s">
        <v>168</v>
      </c>
    </row>
    <row r="119" customFormat="false" ht="26.85" hidden="false" customHeight="false" outlineLevel="0" collapsed="false">
      <c r="A119" s="9" t="s">
        <v>26</v>
      </c>
      <c r="B119" s="9" t="s">
        <v>27</v>
      </c>
      <c r="C119" s="10" t="s">
        <v>103</v>
      </c>
      <c r="D119" s="9" t="s">
        <v>29</v>
      </c>
      <c r="E119" s="9" t="s">
        <v>167</v>
      </c>
      <c r="F119" s="10"/>
      <c r="G119" s="10"/>
      <c r="H119" s="10"/>
      <c r="I119" s="10"/>
      <c r="J119" s="10"/>
      <c r="K119" s="9" t="s">
        <v>168</v>
      </c>
    </row>
    <row r="120" customFormat="false" ht="26.85" hidden="false" customHeight="false" outlineLevel="0" collapsed="false">
      <c r="A120" s="9" t="s">
        <v>26</v>
      </c>
      <c r="B120" s="9" t="s">
        <v>27</v>
      </c>
      <c r="C120" s="10" t="s">
        <v>103</v>
      </c>
      <c r="D120" s="9" t="s">
        <v>51</v>
      </c>
      <c r="E120" s="9" t="s">
        <v>167</v>
      </c>
      <c r="F120" s="10"/>
      <c r="G120" s="10"/>
      <c r="H120" s="10"/>
      <c r="I120" s="10"/>
      <c r="J120" s="10"/>
      <c r="K120" s="9" t="s">
        <v>168</v>
      </c>
    </row>
    <row r="121" customFormat="false" ht="26.85" hidden="false" customHeight="false" outlineLevel="0" collapsed="false">
      <c r="A121" s="9" t="s">
        <v>26</v>
      </c>
      <c r="B121" s="9" t="s">
        <v>27</v>
      </c>
      <c r="C121" s="10" t="s">
        <v>28</v>
      </c>
      <c r="D121" s="9" t="s">
        <v>29</v>
      </c>
      <c r="E121" s="9" t="s">
        <v>169</v>
      </c>
      <c r="F121" s="10"/>
      <c r="G121" s="10"/>
      <c r="H121" s="10"/>
      <c r="I121" s="10"/>
      <c r="J121" s="10"/>
      <c r="K121" s="9" t="s">
        <v>168</v>
      </c>
    </row>
    <row r="122" customFormat="false" ht="26.85" hidden="false" customHeight="false" outlineLevel="0" collapsed="false">
      <c r="A122" s="9" t="s">
        <v>26</v>
      </c>
      <c r="B122" s="9" t="s">
        <v>27</v>
      </c>
      <c r="C122" s="10" t="s">
        <v>28</v>
      </c>
      <c r="D122" s="9" t="s">
        <v>51</v>
      </c>
      <c r="E122" s="9" t="s">
        <v>169</v>
      </c>
      <c r="F122" s="10"/>
      <c r="G122" s="10"/>
      <c r="H122" s="10"/>
      <c r="I122" s="10"/>
      <c r="J122" s="10"/>
      <c r="K122" s="9" t="s">
        <v>168</v>
      </c>
    </row>
    <row r="123" customFormat="false" ht="26.85" hidden="false" customHeight="false" outlineLevel="0" collapsed="false">
      <c r="A123" s="9" t="s">
        <v>26</v>
      </c>
      <c r="B123" s="9" t="s">
        <v>27</v>
      </c>
      <c r="C123" s="10" t="s">
        <v>70</v>
      </c>
      <c r="D123" s="9" t="s">
        <v>29</v>
      </c>
      <c r="E123" s="9" t="s">
        <v>169</v>
      </c>
      <c r="F123" s="10"/>
      <c r="G123" s="10"/>
      <c r="H123" s="10"/>
      <c r="I123" s="10"/>
      <c r="J123" s="10"/>
      <c r="K123" s="9" t="s">
        <v>168</v>
      </c>
    </row>
    <row r="124" customFormat="false" ht="26.85" hidden="false" customHeight="false" outlineLevel="0" collapsed="false">
      <c r="A124" s="9" t="s">
        <v>26</v>
      </c>
      <c r="B124" s="9" t="s">
        <v>27</v>
      </c>
      <c r="C124" s="10" t="s">
        <v>70</v>
      </c>
      <c r="D124" s="9" t="s">
        <v>51</v>
      </c>
      <c r="E124" s="9" t="s">
        <v>169</v>
      </c>
      <c r="F124" s="10"/>
      <c r="G124" s="10"/>
      <c r="H124" s="10"/>
      <c r="I124" s="10"/>
      <c r="J124" s="10"/>
      <c r="K124" s="9" t="s">
        <v>168</v>
      </c>
    </row>
    <row r="125" customFormat="false" ht="26.85" hidden="false" customHeight="false" outlineLevel="0" collapsed="false">
      <c r="A125" s="9" t="s">
        <v>26</v>
      </c>
      <c r="B125" s="9" t="s">
        <v>27</v>
      </c>
      <c r="C125" s="10" t="s">
        <v>103</v>
      </c>
      <c r="D125" s="9" t="s">
        <v>29</v>
      </c>
      <c r="E125" s="9" t="s">
        <v>169</v>
      </c>
      <c r="F125" s="10"/>
      <c r="G125" s="10"/>
      <c r="H125" s="10"/>
      <c r="I125" s="10"/>
      <c r="J125" s="10"/>
      <c r="K125" s="9" t="s">
        <v>168</v>
      </c>
    </row>
    <row r="126" customFormat="false" ht="26.85" hidden="false" customHeight="false" outlineLevel="0" collapsed="false">
      <c r="A126" s="9" t="s">
        <v>26</v>
      </c>
      <c r="B126" s="9" t="s">
        <v>27</v>
      </c>
      <c r="C126" s="10" t="s">
        <v>103</v>
      </c>
      <c r="D126" s="9" t="s">
        <v>51</v>
      </c>
      <c r="E126" s="9" t="s">
        <v>169</v>
      </c>
      <c r="F126" s="10"/>
      <c r="G126" s="10"/>
      <c r="H126" s="10"/>
      <c r="I126" s="10"/>
      <c r="J126" s="10"/>
      <c r="K126" s="9" t="s">
        <v>168</v>
      </c>
    </row>
    <row r="127" customFormat="false" ht="26.85" hidden="false" customHeight="false" outlineLevel="0" collapsed="false">
      <c r="A127" s="9" t="s">
        <v>26</v>
      </c>
      <c r="B127" s="9" t="s">
        <v>27</v>
      </c>
      <c r="C127" s="10" t="s">
        <v>28</v>
      </c>
      <c r="D127" s="9" t="s">
        <v>29</v>
      </c>
      <c r="E127" s="9" t="s">
        <v>170</v>
      </c>
      <c r="F127" s="10"/>
      <c r="G127" s="10"/>
      <c r="H127" s="10"/>
      <c r="I127" s="10"/>
      <c r="J127" s="10"/>
      <c r="K127" s="9" t="s">
        <v>168</v>
      </c>
    </row>
    <row r="128" customFormat="false" ht="26.85" hidden="false" customHeight="false" outlineLevel="0" collapsed="false">
      <c r="A128" s="9" t="s">
        <v>26</v>
      </c>
      <c r="B128" s="9" t="s">
        <v>27</v>
      </c>
      <c r="C128" s="10" t="s">
        <v>28</v>
      </c>
      <c r="D128" s="9" t="s">
        <v>51</v>
      </c>
      <c r="E128" s="9" t="s">
        <v>170</v>
      </c>
      <c r="F128" s="10"/>
      <c r="G128" s="10"/>
      <c r="H128" s="10"/>
      <c r="I128" s="10"/>
      <c r="J128" s="10"/>
      <c r="K128" s="9" t="s">
        <v>168</v>
      </c>
    </row>
    <row r="129" customFormat="false" ht="26.85" hidden="false" customHeight="false" outlineLevel="0" collapsed="false">
      <c r="A129" s="9" t="s">
        <v>26</v>
      </c>
      <c r="B129" s="9" t="s">
        <v>27</v>
      </c>
      <c r="C129" s="10" t="s">
        <v>70</v>
      </c>
      <c r="D129" s="9" t="s">
        <v>29</v>
      </c>
      <c r="E129" s="9" t="s">
        <v>170</v>
      </c>
      <c r="F129" s="10"/>
      <c r="G129" s="10"/>
      <c r="H129" s="10"/>
      <c r="I129" s="10"/>
      <c r="J129" s="10"/>
      <c r="K129" s="9" t="s">
        <v>168</v>
      </c>
    </row>
    <row r="130" customFormat="false" ht="26.85" hidden="false" customHeight="false" outlineLevel="0" collapsed="false">
      <c r="A130" s="9" t="s">
        <v>26</v>
      </c>
      <c r="B130" s="9" t="s">
        <v>27</v>
      </c>
      <c r="C130" s="10" t="s">
        <v>70</v>
      </c>
      <c r="D130" s="9" t="s">
        <v>51</v>
      </c>
      <c r="E130" s="9" t="s">
        <v>170</v>
      </c>
      <c r="F130" s="10"/>
      <c r="G130" s="10"/>
      <c r="H130" s="10"/>
      <c r="I130" s="10"/>
      <c r="J130" s="10"/>
      <c r="K130" s="9" t="s">
        <v>168</v>
      </c>
    </row>
    <row r="131" customFormat="false" ht="26.85" hidden="false" customHeight="false" outlineLevel="0" collapsed="false">
      <c r="A131" s="9" t="s">
        <v>26</v>
      </c>
      <c r="B131" s="9" t="s">
        <v>27</v>
      </c>
      <c r="C131" s="10" t="s">
        <v>103</v>
      </c>
      <c r="D131" s="9" t="s">
        <v>29</v>
      </c>
      <c r="E131" s="9" t="s">
        <v>170</v>
      </c>
      <c r="F131" s="10"/>
      <c r="G131" s="10"/>
      <c r="H131" s="10"/>
      <c r="I131" s="10"/>
      <c r="J131" s="10"/>
      <c r="K131" s="9" t="s">
        <v>168</v>
      </c>
    </row>
    <row r="132" customFormat="false" ht="26.85" hidden="false" customHeight="false" outlineLevel="0" collapsed="false">
      <c r="A132" s="9" t="s">
        <v>26</v>
      </c>
      <c r="B132" s="9" t="s">
        <v>27</v>
      </c>
      <c r="C132" s="10" t="s">
        <v>103</v>
      </c>
      <c r="D132" s="9" t="s">
        <v>51</v>
      </c>
      <c r="E132" s="9" t="s">
        <v>170</v>
      </c>
      <c r="F132" s="10"/>
      <c r="G132" s="10"/>
      <c r="H132" s="10"/>
      <c r="I132" s="10"/>
      <c r="J132" s="10"/>
      <c r="K132" s="9" t="s">
        <v>168</v>
      </c>
    </row>
    <row r="133" customFormat="false" ht="115.65" hidden="false" customHeight="false" outlineLevel="0" collapsed="false">
      <c r="A133" s="6" t="s">
        <v>171</v>
      </c>
      <c r="B133" s="6" t="s">
        <v>27</v>
      </c>
      <c r="C133" s="7" t="s">
        <v>28</v>
      </c>
      <c r="D133" s="6" t="s">
        <v>29</v>
      </c>
      <c r="E133" s="6" t="s">
        <v>30</v>
      </c>
      <c r="F133" s="6" t="s">
        <v>31</v>
      </c>
      <c r="G133" s="7"/>
      <c r="H133" s="7" t="s">
        <v>53</v>
      </c>
      <c r="I133" s="6" t="s">
        <v>158</v>
      </c>
      <c r="J133" s="8" t="s">
        <v>172</v>
      </c>
      <c r="K133" s="7" t="s">
        <v>173</v>
      </c>
    </row>
    <row r="134" customFormat="false" ht="39.55" hidden="false" customHeight="false" outlineLevel="0" collapsed="false">
      <c r="A134" s="6" t="s">
        <v>171</v>
      </c>
      <c r="B134" s="6" t="s">
        <v>27</v>
      </c>
      <c r="C134" s="7" t="s">
        <v>28</v>
      </c>
      <c r="D134" s="6" t="s">
        <v>29</v>
      </c>
      <c r="E134" s="6" t="s">
        <v>30</v>
      </c>
      <c r="F134" s="6" t="s">
        <v>174</v>
      </c>
      <c r="G134" s="7"/>
      <c r="H134" s="7"/>
      <c r="I134" s="6" t="s">
        <v>149</v>
      </c>
      <c r="J134" s="8" t="s">
        <v>175</v>
      </c>
      <c r="K134" s="6" t="s">
        <v>176</v>
      </c>
    </row>
    <row r="135" customFormat="false" ht="39.55" hidden="false" customHeight="false" outlineLevel="0" collapsed="false">
      <c r="A135" s="6" t="s">
        <v>171</v>
      </c>
      <c r="B135" s="6" t="s">
        <v>27</v>
      </c>
      <c r="C135" s="7" t="s">
        <v>28</v>
      </c>
      <c r="D135" s="6" t="s">
        <v>29</v>
      </c>
      <c r="E135" s="6" t="s">
        <v>30</v>
      </c>
      <c r="F135" s="6" t="s">
        <v>177</v>
      </c>
      <c r="G135" s="7"/>
      <c r="H135" s="7"/>
      <c r="I135" s="6" t="s">
        <v>149</v>
      </c>
      <c r="J135" s="8" t="s">
        <v>175</v>
      </c>
      <c r="K135" s="6" t="s">
        <v>176</v>
      </c>
    </row>
    <row r="136" customFormat="false" ht="52.2" hidden="false" customHeight="false" outlineLevel="0" collapsed="false">
      <c r="A136" s="6" t="s">
        <v>171</v>
      </c>
      <c r="B136" s="6" t="s">
        <v>27</v>
      </c>
      <c r="C136" s="7" t="s">
        <v>28</v>
      </c>
      <c r="D136" s="6" t="s">
        <v>29</v>
      </c>
      <c r="E136" s="6" t="s">
        <v>30</v>
      </c>
      <c r="F136" s="6" t="s">
        <v>178</v>
      </c>
      <c r="G136" s="7"/>
      <c r="H136" s="7"/>
      <c r="I136" s="6" t="s">
        <v>149</v>
      </c>
      <c r="J136" s="8" t="s">
        <v>175</v>
      </c>
      <c r="K136" s="6" t="s">
        <v>179</v>
      </c>
    </row>
    <row r="137" customFormat="false" ht="39.55" hidden="false" customHeight="false" outlineLevel="0" collapsed="false">
      <c r="A137" s="9" t="s">
        <v>171</v>
      </c>
      <c r="B137" s="9" t="s">
        <v>27</v>
      </c>
      <c r="C137" s="10" t="s">
        <v>28</v>
      </c>
      <c r="D137" s="9" t="s">
        <v>51</v>
      </c>
      <c r="E137" s="9" t="s">
        <v>30</v>
      </c>
      <c r="F137" s="10"/>
      <c r="G137" s="10"/>
      <c r="H137" s="10"/>
      <c r="I137" s="9" t="s">
        <v>149</v>
      </c>
      <c r="J137" s="10"/>
      <c r="K137" s="9" t="s">
        <v>180</v>
      </c>
    </row>
    <row r="138" customFormat="false" ht="39.55" hidden="false" customHeight="false" outlineLevel="0" collapsed="false">
      <c r="A138" s="9" t="s">
        <v>171</v>
      </c>
      <c r="B138" s="9" t="s">
        <v>27</v>
      </c>
      <c r="C138" s="10" t="s">
        <v>70</v>
      </c>
      <c r="D138" s="9" t="s">
        <v>29</v>
      </c>
      <c r="E138" s="9" t="s">
        <v>30</v>
      </c>
      <c r="F138" s="10"/>
      <c r="G138" s="10"/>
      <c r="H138" s="10"/>
      <c r="I138" s="9" t="s">
        <v>149</v>
      </c>
      <c r="J138" s="10"/>
      <c r="K138" s="9" t="s">
        <v>180</v>
      </c>
    </row>
    <row r="139" customFormat="false" ht="52.2" hidden="false" customHeight="false" outlineLevel="0" collapsed="false">
      <c r="A139" s="6" t="s">
        <v>171</v>
      </c>
      <c r="B139" s="6" t="s">
        <v>27</v>
      </c>
      <c r="C139" s="7" t="s">
        <v>70</v>
      </c>
      <c r="D139" s="6" t="s">
        <v>51</v>
      </c>
      <c r="E139" s="6" t="s">
        <v>30</v>
      </c>
      <c r="F139" s="6" t="s">
        <v>181</v>
      </c>
      <c r="G139" s="7"/>
      <c r="H139" s="7"/>
      <c r="I139" s="6" t="s">
        <v>33</v>
      </c>
      <c r="J139" s="8" t="s">
        <v>182</v>
      </c>
      <c r="K139" s="6" t="s">
        <v>183</v>
      </c>
    </row>
    <row r="140" customFormat="false" ht="39.55" hidden="false" customHeight="false" outlineLevel="0" collapsed="false">
      <c r="A140" s="9" t="s">
        <v>171</v>
      </c>
      <c r="B140" s="9" t="s">
        <v>27</v>
      </c>
      <c r="C140" s="10" t="s">
        <v>103</v>
      </c>
      <c r="D140" s="9" t="s">
        <v>29</v>
      </c>
      <c r="E140" s="9" t="s">
        <v>30</v>
      </c>
      <c r="F140" s="10"/>
      <c r="G140" s="10"/>
      <c r="H140" s="10"/>
      <c r="I140" s="9" t="s">
        <v>149</v>
      </c>
      <c r="J140" s="10"/>
      <c r="K140" s="9" t="s">
        <v>180</v>
      </c>
    </row>
    <row r="141" customFormat="false" ht="39.55" hidden="false" customHeight="false" outlineLevel="0" collapsed="false">
      <c r="A141" s="9" t="s">
        <v>171</v>
      </c>
      <c r="B141" s="9" t="s">
        <v>27</v>
      </c>
      <c r="C141" s="10" t="s">
        <v>103</v>
      </c>
      <c r="D141" s="9" t="s">
        <v>51</v>
      </c>
      <c r="E141" s="9" t="s">
        <v>30</v>
      </c>
      <c r="F141" s="10"/>
      <c r="G141" s="10"/>
      <c r="H141" s="10"/>
      <c r="I141" s="9" t="s">
        <v>149</v>
      </c>
      <c r="J141" s="10"/>
      <c r="K141" s="9" t="s">
        <v>180</v>
      </c>
    </row>
    <row r="142" customFormat="false" ht="39.55" hidden="false" customHeight="false" outlineLevel="0" collapsed="false">
      <c r="A142" s="9" t="s">
        <v>171</v>
      </c>
      <c r="B142" s="9" t="s">
        <v>27</v>
      </c>
      <c r="C142" s="10" t="s">
        <v>28</v>
      </c>
      <c r="D142" s="9" t="s">
        <v>29</v>
      </c>
      <c r="E142" s="9" t="s">
        <v>132</v>
      </c>
      <c r="F142" s="10"/>
      <c r="G142" s="10"/>
      <c r="H142" s="10"/>
      <c r="I142" s="9" t="s">
        <v>149</v>
      </c>
      <c r="J142" s="10"/>
      <c r="K142" s="9" t="s">
        <v>180</v>
      </c>
    </row>
    <row r="143" customFormat="false" ht="39.55" hidden="false" customHeight="false" outlineLevel="0" collapsed="false">
      <c r="A143" s="9" t="s">
        <v>171</v>
      </c>
      <c r="B143" s="9" t="s">
        <v>27</v>
      </c>
      <c r="C143" s="10" t="s">
        <v>28</v>
      </c>
      <c r="D143" s="9" t="s">
        <v>51</v>
      </c>
      <c r="E143" s="9" t="s">
        <v>132</v>
      </c>
      <c r="F143" s="10"/>
      <c r="G143" s="10"/>
      <c r="H143" s="10"/>
      <c r="I143" s="9" t="s">
        <v>149</v>
      </c>
      <c r="J143" s="10"/>
      <c r="K143" s="9" t="s">
        <v>180</v>
      </c>
    </row>
    <row r="144" customFormat="false" ht="39.55" hidden="false" customHeight="false" outlineLevel="0" collapsed="false">
      <c r="A144" s="9" t="s">
        <v>171</v>
      </c>
      <c r="B144" s="9" t="s">
        <v>27</v>
      </c>
      <c r="C144" s="10" t="s">
        <v>70</v>
      </c>
      <c r="D144" s="9" t="s">
        <v>29</v>
      </c>
      <c r="E144" s="9" t="s">
        <v>132</v>
      </c>
      <c r="F144" s="10"/>
      <c r="G144" s="10"/>
      <c r="H144" s="10"/>
      <c r="I144" s="9" t="s">
        <v>149</v>
      </c>
      <c r="J144" s="10"/>
      <c r="K144" s="9" t="s">
        <v>180</v>
      </c>
    </row>
    <row r="145" customFormat="false" ht="39.55" hidden="false" customHeight="false" outlineLevel="0" collapsed="false">
      <c r="A145" s="9" t="s">
        <v>171</v>
      </c>
      <c r="B145" s="9" t="s">
        <v>27</v>
      </c>
      <c r="C145" s="10" t="s">
        <v>70</v>
      </c>
      <c r="D145" s="9" t="s">
        <v>51</v>
      </c>
      <c r="E145" s="9" t="s">
        <v>132</v>
      </c>
      <c r="F145" s="10"/>
      <c r="G145" s="10"/>
      <c r="H145" s="10"/>
      <c r="I145" s="9" t="s">
        <v>149</v>
      </c>
      <c r="J145" s="10"/>
      <c r="K145" s="9" t="s">
        <v>180</v>
      </c>
    </row>
    <row r="146" customFormat="false" ht="39.55" hidden="false" customHeight="false" outlineLevel="0" collapsed="false">
      <c r="A146" s="9" t="s">
        <v>171</v>
      </c>
      <c r="B146" s="9" t="s">
        <v>27</v>
      </c>
      <c r="C146" s="10" t="s">
        <v>103</v>
      </c>
      <c r="D146" s="9" t="s">
        <v>29</v>
      </c>
      <c r="E146" s="9" t="s">
        <v>132</v>
      </c>
      <c r="F146" s="10"/>
      <c r="G146" s="10"/>
      <c r="H146" s="10"/>
      <c r="I146" s="9" t="s">
        <v>149</v>
      </c>
      <c r="J146" s="10"/>
      <c r="K146" s="9" t="s">
        <v>180</v>
      </c>
    </row>
    <row r="147" customFormat="false" ht="39.55" hidden="false" customHeight="false" outlineLevel="0" collapsed="false">
      <c r="A147" s="9" t="s">
        <v>171</v>
      </c>
      <c r="B147" s="9" t="s">
        <v>27</v>
      </c>
      <c r="C147" s="10" t="s">
        <v>103</v>
      </c>
      <c r="D147" s="9" t="s">
        <v>51</v>
      </c>
      <c r="E147" s="9" t="s">
        <v>132</v>
      </c>
      <c r="F147" s="10"/>
      <c r="G147" s="10"/>
      <c r="H147" s="10"/>
      <c r="I147" s="9" t="s">
        <v>149</v>
      </c>
      <c r="J147" s="10"/>
      <c r="K147" s="9" t="s">
        <v>180</v>
      </c>
    </row>
    <row r="148" customFormat="false" ht="170.1" hidden="false" customHeight="false" outlineLevel="0" collapsed="false">
      <c r="A148" s="6" t="s">
        <v>171</v>
      </c>
      <c r="B148" s="6" t="s">
        <v>27</v>
      </c>
      <c r="C148" s="7" t="s">
        <v>28</v>
      </c>
      <c r="D148" s="6" t="s">
        <v>29</v>
      </c>
      <c r="E148" s="6" t="s">
        <v>146</v>
      </c>
      <c r="F148" s="6" t="s">
        <v>184</v>
      </c>
      <c r="G148" s="7" t="s">
        <v>185</v>
      </c>
      <c r="H148" s="7" t="s">
        <v>186</v>
      </c>
      <c r="I148" s="6" t="s">
        <v>149</v>
      </c>
      <c r="J148" s="8" t="s">
        <v>187</v>
      </c>
      <c r="K148" s="6" t="s">
        <v>188</v>
      </c>
    </row>
    <row r="149" customFormat="false" ht="39.55" hidden="false" customHeight="false" outlineLevel="0" collapsed="false">
      <c r="A149" s="6" t="s">
        <v>171</v>
      </c>
      <c r="B149" s="6" t="s">
        <v>27</v>
      </c>
      <c r="C149" s="7" t="s">
        <v>28</v>
      </c>
      <c r="D149" s="6" t="s">
        <v>29</v>
      </c>
      <c r="E149" s="6" t="s">
        <v>146</v>
      </c>
      <c r="F149" s="6" t="s">
        <v>189</v>
      </c>
      <c r="G149" s="7" t="s">
        <v>190</v>
      </c>
      <c r="H149" s="7" t="s">
        <v>186</v>
      </c>
      <c r="I149" s="6" t="s">
        <v>149</v>
      </c>
      <c r="J149" s="8" t="s">
        <v>187</v>
      </c>
      <c r="K149" s="6" t="s">
        <v>191</v>
      </c>
    </row>
    <row r="150" customFormat="false" ht="64.9" hidden="false" customHeight="false" outlineLevel="0" collapsed="false">
      <c r="A150" s="6" t="s">
        <v>171</v>
      </c>
      <c r="B150" s="6" t="s">
        <v>27</v>
      </c>
      <c r="C150" s="7" t="s">
        <v>28</v>
      </c>
      <c r="D150" s="6" t="s">
        <v>29</v>
      </c>
      <c r="E150" s="6" t="s">
        <v>146</v>
      </c>
      <c r="F150" s="6" t="s">
        <v>192</v>
      </c>
      <c r="G150" s="7" t="s">
        <v>193</v>
      </c>
      <c r="H150" s="7" t="s">
        <v>186</v>
      </c>
      <c r="I150" s="6" t="s">
        <v>149</v>
      </c>
      <c r="J150" s="8" t="s">
        <v>187</v>
      </c>
      <c r="K150" s="6" t="s">
        <v>194</v>
      </c>
    </row>
    <row r="151" customFormat="false" ht="64.9" hidden="false" customHeight="false" outlineLevel="0" collapsed="false">
      <c r="A151" s="6" t="s">
        <v>171</v>
      </c>
      <c r="B151" s="6" t="s">
        <v>27</v>
      </c>
      <c r="C151" s="7" t="s">
        <v>28</v>
      </c>
      <c r="D151" s="6" t="s">
        <v>51</v>
      </c>
      <c r="E151" s="6" t="s">
        <v>146</v>
      </c>
      <c r="F151" s="6" t="s">
        <v>195</v>
      </c>
      <c r="G151" s="7" t="s">
        <v>196</v>
      </c>
      <c r="H151" s="7"/>
      <c r="I151" s="6" t="s">
        <v>149</v>
      </c>
      <c r="J151" s="8" t="s">
        <v>197</v>
      </c>
      <c r="K151" s="6" t="s">
        <v>198</v>
      </c>
    </row>
    <row r="152" customFormat="false" ht="26.85" hidden="false" customHeight="false" outlineLevel="0" collapsed="false">
      <c r="A152" s="6" t="s">
        <v>171</v>
      </c>
      <c r="B152" s="6" t="s">
        <v>27</v>
      </c>
      <c r="C152" s="7" t="s">
        <v>28</v>
      </c>
      <c r="D152" s="6" t="s">
        <v>51</v>
      </c>
      <c r="E152" s="6" t="s">
        <v>146</v>
      </c>
      <c r="F152" s="6" t="s">
        <v>199</v>
      </c>
      <c r="G152" s="7" t="s">
        <v>200</v>
      </c>
      <c r="H152" s="7"/>
      <c r="I152" s="6" t="s">
        <v>149</v>
      </c>
      <c r="J152" s="8" t="s">
        <v>197</v>
      </c>
      <c r="K152" s="6" t="s">
        <v>201</v>
      </c>
    </row>
    <row r="153" customFormat="false" ht="26.85" hidden="false" customHeight="false" outlineLevel="0" collapsed="false">
      <c r="A153" s="6" t="s">
        <v>171</v>
      </c>
      <c r="B153" s="6" t="s">
        <v>27</v>
      </c>
      <c r="C153" s="7" t="s">
        <v>28</v>
      </c>
      <c r="D153" s="6" t="s">
        <v>51</v>
      </c>
      <c r="E153" s="6" t="s">
        <v>146</v>
      </c>
      <c r="F153" s="6" t="s">
        <v>202</v>
      </c>
      <c r="G153" s="7" t="s">
        <v>203</v>
      </c>
      <c r="H153" s="7"/>
      <c r="I153" s="6" t="s">
        <v>149</v>
      </c>
      <c r="J153" s="8" t="s">
        <v>197</v>
      </c>
      <c r="K153" s="6" t="s">
        <v>201</v>
      </c>
    </row>
    <row r="154" customFormat="false" ht="26.85" hidden="false" customHeight="false" outlineLevel="0" collapsed="false">
      <c r="A154" s="6" t="s">
        <v>171</v>
      </c>
      <c r="B154" s="6" t="s">
        <v>27</v>
      </c>
      <c r="C154" s="7" t="s">
        <v>28</v>
      </c>
      <c r="D154" s="6" t="s">
        <v>51</v>
      </c>
      <c r="E154" s="6" t="s">
        <v>146</v>
      </c>
      <c r="F154" s="6" t="s">
        <v>204</v>
      </c>
      <c r="G154" s="7" t="s">
        <v>205</v>
      </c>
      <c r="H154" s="7"/>
      <c r="I154" s="6" t="s">
        <v>149</v>
      </c>
      <c r="J154" s="8" t="s">
        <v>197</v>
      </c>
      <c r="K154" s="6" t="s">
        <v>201</v>
      </c>
    </row>
    <row r="155" customFormat="false" ht="26.85" hidden="false" customHeight="false" outlineLevel="0" collapsed="false">
      <c r="A155" s="6" t="s">
        <v>171</v>
      </c>
      <c r="B155" s="6" t="s">
        <v>27</v>
      </c>
      <c r="C155" s="7" t="s">
        <v>28</v>
      </c>
      <c r="D155" s="6" t="s">
        <v>51</v>
      </c>
      <c r="E155" s="6" t="s">
        <v>146</v>
      </c>
      <c r="F155" s="6" t="s">
        <v>206</v>
      </c>
      <c r="G155" s="7"/>
      <c r="H155" s="7"/>
      <c r="I155" s="6" t="s">
        <v>149</v>
      </c>
      <c r="J155" s="8" t="s">
        <v>197</v>
      </c>
      <c r="K155" s="6" t="s">
        <v>207</v>
      </c>
    </row>
    <row r="156" customFormat="false" ht="26.85" hidden="false" customHeight="false" outlineLevel="0" collapsed="false">
      <c r="A156" s="6" t="s">
        <v>171</v>
      </c>
      <c r="B156" s="6" t="s">
        <v>27</v>
      </c>
      <c r="C156" s="7" t="s">
        <v>28</v>
      </c>
      <c r="D156" s="6" t="s">
        <v>51</v>
      </c>
      <c r="E156" s="6" t="s">
        <v>146</v>
      </c>
      <c r="F156" s="6" t="s">
        <v>208</v>
      </c>
      <c r="G156" s="7"/>
      <c r="H156" s="7"/>
      <c r="I156" s="6" t="s">
        <v>149</v>
      </c>
      <c r="J156" s="8" t="s">
        <v>197</v>
      </c>
      <c r="K156" s="6" t="s">
        <v>207</v>
      </c>
    </row>
    <row r="157" customFormat="false" ht="77.6" hidden="false" customHeight="false" outlineLevel="0" collapsed="false">
      <c r="A157" s="6" t="s">
        <v>171</v>
      </c>
      <c r="B157" s="6" t="s">
        <v>27</v>
      </c>
      <c r="C157" s="7" t="s">
        <v>70</v>
      </c>
      <c r="D157" s="6" t="s">
        <v>29</v>
      </c>
      <c r="E157" s="6" t="s">
        <v>146</v>
      </c>
      <c r="F157" s="6" t="s">
        <v>209</v>
      </c>
      <c r="G157" s="7" t="s">
        <v>210</v>
      </c>
      <c r="H157" s="7" t="s">
        <v>211</v>
      </c>
      <c r="I157" s="6" t="s">
        <v>149</v>
      </c>
      <c r="J157" s="8" t="s">
        <v>212</v>
      </c>
      <c r="K157" s="6" t="s">
        <v>213</v>
      </c>
    </row>
    <row r="158" customFormat="false" ht="64.9" hidden="false" customHeight="false" outlineLevel="0" collapsed="false">
      <c r="A158" s="6" t="s">
        <v>171</v>
      </c>
      <c r="B158" s="6" t="s">
        <v>27</v>
      </c>
      <c r="C158" s="7" t="s">
        <v>70</v>
      </c>
      <c r="D158" s="6" t="s">
        <v>29</v>
      </c>
      <c r="E158" s="6" t="s">
        <v>146</v>
      </c>
      <c r="F158" s="6" t="s">
        <v>214</v>
      </c>
      <c r="G158" s="7" t="s">
        <v>215</v>
      </c>
      <c r="H158" s="7" t="s">
        <v>211</v>
      </c>
      <c r="I158" s="6" t="s">
        <v>149</v>
      </c>
      <c r="J158" s="8" t="s">
        <v>212</v>
      </c>
      <c r="K158" s="6" t="s">
        <v>216</v>
      </c>
    </row>
    <row r="159" customFormat="false" ht="101.45" hidden="false" customHeight="false" outlineLevel="0" collapsed="false">
      <c r="A159" s="6" t="s">
        <v>171</v>
      </c>
      <c r="B159" s="6" t="s">
        <v>27</v>
      </c>
      <c r="C159" s="7" t="s">
        <v>70</v>
      </c>
      <c r="D159" s="6" t="s">
        <v>29</v>
      </c>
      <c r="E159" s="6" t="s">
        <v>146</v>
      </c>
      <c r="F159" s="6" t="s">
        <v>217</v>
      </c>
      <c r="G159" s="7" t="s">
        <v>218</v>
      </c>
      <c r="H159" s="7" t="s">
        <v>211</v>
      </c>
      <c r="I159" s="6" t="s">
        <v>149</v>
      </c>
      <c r="J159" s="8" t="s">
        <v>212</v>
      </c>
      <c r="K159" s="6" t="s">
        <v>219</v>
      </c>
    </row>
    <row r="160" customFormat="false" ht="77.6" hidden="false" customHeight="false" outlineLevel="0" collapsed="false">
      <c r="A160" s="6" t="s">
        <v>171</v>
      </c>
      <c r="B160" s="6" t="s">
        <v>27</v>
      </c>
      <c r="C160" s="7" t="s">
        <v>70</v>
      </c>
      <c r="D160" s="6" t="s">
        <v>29</v>
      </c>
      <c r="E160" s="6" t="s">
        <v>146</v>
      </c>
      <c r="F160" s="6" t="s">
        <v>220</v>
      </c>
      <c r="G160" s="7" t="s">
        <v>221</v>
      </c>
      <c r="H160" s="7" t="s">
        <v>211</v>
      </c>
      <c r="I160" s="6" t="s">
        <v>149</v>
      </c>
      <c r="J160" s="8" t="s">
        <v>212</v>
      </c>
      <c r="K160" s="7" t="s">
        <v>222</v>
      </c>
    </row>
    <row r="161" customFormat="false" ht="64.9" hidden="false" customHeight="false" outlineLevel="0" collapsed="false">
      <c r="A161" s="6" t="s">
        <v>171</v>
      </c>
      <c r="B161" s="6" t="s">
        <v>27</v>
      </c>
      <c r="C161" s="7" t="s">
        <v>70</v>
      </c>
      <c r="D161" s="6" t="s">
        <v>29</v>
      </c>
      <c r="E161" s="6" t="s">
        <v>146</v>
      </c>
      <c r="F161" s="6" t="s">
        <v>223</v>
      </c>
      <c r="G161" s="7" t="s">
        <v>224</v>
      </c>
      <c r="H161" s="7" t="s">
        <v>211</v>
      </c>
      <c r="I161" s="6" t="s">
        <v>149</v>
      </c>
      <c r="J161" s="8" t="s">
        <v>212</v>
      </c>
      <c r="K161" s="6" t="s">
        <v>225</v>
      </c>
    </row>
    <row r="162" customFormat="false" ht="52.2" hidden="false" customHeight="false" outlineLevel="0" collapsed="false">
      <c r="A162" s="6" t="s">
        <v>171</v>
      </c>
      <c r="B162" s="6" t="s">
        <v>27</v>
      </c>
      <c r="C162" s="7" t="s">
        <v>70</v>
      </c>
      <c r="D162" s="6" t="s">
        <v>51</v>
      </c>
      <c r="E162" s="6" t="s">
        <v>146</v>
      </c>
      <c r="F162" s="6" t="s">
        <v>226</v>
      </c>
      <c r="G162" s="7" t="s">
        <v>227</v>
      </c>
      <c r="H162" s="7" t="s">
        <v>186</v>
      </c>
      <c r="I162" s="6" t="s">
        <v>149</v>
      </c>
      <c r="J162" s="8" t="s">
        <v>228</v>
      </c>
      <c r="K162" s="6" t="s">
        <v>229</v>
      </c>
    </row>
    <row r="163" customFormat="false" ht="52.2" hidden="false" customHeight="false" outlineLevel="0" collapsed="false">
      <c r="A163" s="6" t="s">
        <v>171</v>
      </c>
      <c r="B163" s="6" t="s">
        <v>27</v>
      </c>
      <c r="C163" s="7" t="s">
        <v>70</v>
      </c>
      <c r="D163" s="6" t="s">
        <v>51</v>
      </c>
      <c r="E163" s="6" t="s">
        <v>146</v>
      </c>
      <c r="F163" s="6" t="s">
        <v>230</v>
      </c>
      <c r="G163" s="7" t="s">
        <v>231</v>
      </c>
      <c r="H163" s="7" t="s">
        <v>186</v>
      </c>
      <c r="I163" s="6" t="s">
        <v>149</v>
      </c>
      <c r="J163" s="8" t="s">
        <v>228</v>
      </c>
      <c r="K163" s="6" t="s">
        <v>229</v>
      </c>
    </row>
    <row r="164" customFormat="false" ht="52.2" hidden="false" customHeight="false" outlineLevel="0" collapsed="false">
      <c r="A164" s="6" t="s">
        <v>171</v>
      </c>
      <c r="B164" s="6" t="s">
        <v>27</v>
      </c>
      <c r="C164" s="7" t="s">
        <v>70</v>
      </c>
      <c r="D164" s="6" t="s">
        <v>51</v>
      </c>
      <c r="E164" s="6" t="s">
        <v>146</v>
      </c>
      <c r="F164" s="6" t="s">
        <v>232</v>
      </c>
      <c r="G164" s="7" t="s">
        <v>233</v>
      </c>
      <c r="H164" s="7" t="s">
        <v>186</v>
      </c>
      <c r="I164" s="6" t="s">
        <v>149</v>
      </c>
      <c r="J164" s="8" t="s">
        <v>228</v>
      </c>
      <c r="K164" s="6" t="s">
        <v>229</v>
      </c>
    </row>
    <row r="165" customFormat="false" ht="52.2" hidden="false" customHeight="false" outlineLevel="0" collapsed="false">
      <c r="A165" s="6" t="s">
        <v>171</v>
      </c>
      <c r="B165" s="6" t="s">
        <v>27</v>
      </c>
      <c r="C165" s="7" t="s">
        <v>70</v>
      </c>
      <c r="D165" s="6" t="s">
        <v>51</v>
      </c>
      <c r="E165" s="6" t="s">
        <v>146</v>
      </c>
      <c r="F165" s="6" t="s">
        <v>234</v>
      </c>
      <c r="G165" s="7" t="s">
        <v>235</v>
      </c>
      <c r="H165" s="7" t="s">
        <v>186</v>
      </c>
      <c r="I165" s="6" t="s">
        <v>149</v>
      </c>
      <c r="J165" s="8" t="s">
        <v>228</v>
      </c>
      <c r="K165" s="6" t="s">
        <v>229</v>
      </c>
    </row>
    <row r="166" customFormat="false" ht="126.85" hidden="false" customHeight="false" outlineLevel="0" collapsed="false">
      <c r="A166" s="6" t="s">
        <v>171</v>
      </c>
      <c r="B166" s="6" t="s">
        <v>27</v>
      </c>
      <c r="C166" s="7" t="s">
        <v>103</v>
      </c>
      <c r="D166" s="6" t="s">
        <v>29</v>
      </c>
      <c r="E166" s="6" t="s">
        <v>146</v>
      </c>
      <c r="F166" s="6" t="s">
        <v>236</v>
      </c>
      <c r="G166" s="7" t="s">
        <v>237</v>
      </c>
      <c r="H166" s="7"/>
      <c r="I166" s="6" t="s">
        <v>33</v>
      </c>
      <c r="J166" s="8" t="s">
        <v>238</v>
      </c>
      <c r="K166" s="6" t="s">
        <v>239</v>
      </c>
    </row>
    <row r="167" customFormat="false" ht="101.45" hidden="false" customHeight="false" outlineLevel="0" collapsed="false">
      <c r="A167" s="6" t="s">
        <v>171</v>
      </c>
      <c r="B167" s="6" t="s">
        <v>27</v>
      </c>
      <c r="C167" s="7" t="s">
        <v>103</v>
      </c>
      <c r="D167" s="6" t="s">
        <v>29</v>
      </c>
      <c r="E167" s="6" t="s">
        <v>146</v>
      </c>
      <c r="F167" s="6" t="s">
        <v>240</v>
      </c>
      <c r="G167" s="7" t="s">
        <v>241</v>
      </c>
      <c r="H167" s="7"/>
      <c r="I167" s="6" t="s">
        <v>33</v>
      </c>
      <c r="J167" s="8" t="s">
        <v>238</v>
      </c>
      <c r="K167" s="6" t="s">
        <v>242</v>
      </c>
    </row>
    <row r="168" customFormat="false" ht="101.45" hidden="false" customHeight="false" outlineLevel="0" collapsed="false">
      <c r="A168" s="6" t="s">
        <v>171</v>
      </c>
      <c r="B168" s="6" t="s">
        <v>27</v>
      </c>
      <c r="C168" s="7" t="s">
        <v>103</v>
      </c>
      <c r="D168" s="6" t="s">
        <v>29</v>
      </c>
      <c r="E168" s="6" t="s">
        <v>146</v>
      </c>
      <c r="F168" s="6" t="s">
        <v>243</v>
      </c>
      <c r="G168" s="7" t="s">
        <v>244</v>
      </c>
      <c r="H168" s="7"/>
      <c r="I168" s="6" t="s">
        <v>33</v>
      </c>
      <c r="J168" s="8" t="s">
        <v>238</v>
      </c>
      <c r="K168" s="6" t="s">
        <v>242</v>
      </c>
    </row>
    <row r="169" customFormat="false" ht="52.2" hidden="false" customHeight="false" outlineLevel="0" collapsed="false">
      <c r="A169" s="6" t="s">
        <v>171</v>
      </c>
      <c r="B169" s="6" t="s">
        <v>27</v>
      </c>
      <c r="C169" s="7" t="s">
        <v>103</v>
      </c>
      <c r="D169" s="6" t="s">
        <v>51</v>
      </c>
      <c r="E169" s="6" t="s">
        <v>146</v>
      </c>
      <c r="F169" s="6" t="s">
        <v>245</v>
      </c>
      <c r="G169" s="7" t="s">
        <v>246</v>
      </c>
      <c r="H169" s="7"/>
      <c r="I169" s="6" t="s">
        <v>33</v>
      </c>
      <c r="J169" s="8" t="s">
        <v>247</v>
      </c>
      <c r="K169" s="6" t="s">
        <v>248</v>
      </c>
    </row>
    <row r="170" customFormat="false" ht="52.2" hidden="false" customHeight="false" outlineLevel="0" collapsed="false">
      <c r="A170" s="6" t="s">
        <v>171</v>
      </c>
      <c r="B170" s="6" t="s">
        <v>27</v>
      </c>
      <c r="C170" s="7" t="s">
        <v>103</v>
      </c>
      <c r="D170" s="6" t="s">
        <v>51</v>
      </c>
      <c r="E170" s="6" t="s">
        <v>146</v>
      </c>
      <c r="F170" s="6" t="s">
        <v>249</v>
      </c>
      <c r="G170" s="7" t="s">
        <v>250</v>
      </c>
      <c r="H170" s="7"/>
      <c r="I170" s="6" t="s">
        <v>33</v>
      </c>
      <c r="J170" s="8" t="s">
        <v>247</v>
      </c>
      <c r="K170" s="6" t="s">
        <v>251</v>
      </c>
    </row>
    <row r="171" customFormat="false" ht="52.2" hidden="false" customHeight="false" outlineLevel="0" collapsed="false">
      <c r="A171" s="6" t="s">
        <v>171</v>
      </c>
      <c r="B171" s="6" t="s">
        <v>27</v>
      </c>
      <c r="C171" s="7" t="s">
        <v>103</v>
      </c>
      <c r="D171" s="6" t="s">
        <v>51</v>
      </c>
      <c r="E171" s="6" t="s">
        <v>146</v>
      </c>
      <c r="F171" s="6" t="s">
        <v>252</v>
      </c>
      <c r="G171" s="7" t="s">
        <v>253</v>
      </c>
      <c r="H171" s="7"/>
      <c r="I171" s="6" t="s">
        <v>33</v>
      </c>
      <c r="J171" s="8" t="s">
        <v>254</v>
      </c>
      <c r="K171" s="6" t="s">
        <v>255</v>
      </c>
    </row>
    <row r="172" customFormat="false" ht="39.55" hidden="false" customHeight="false" outlineLevel="0" collapsed="false">
      <c r="A172" s="9" t="s">
        <v>171</v>
      </c>
      <c r="B172" s="9" t="s">
        <v>27</v>
      </c>
      <c r="C172" s="10" t="s">
        <v>28</v>
      </c>
      <c r="D172" s="9" t="s">
        <v>29</v>
      </c>
      <c r="E172" s="9" t="s">
        <v>155</v>
      </c>
      <c r="F172" s="10"/>
      <c r="G172" s="10"/>
      <c r="H172" s="10"/>
      <c r="I172" s="9" t="s">
        <v>149</v>
      </c>
      <c r="J172" s="10"/>
      <c r="K172" s="9" t="s">
        <v>180</v>
      </c>
    </row>
    <row r="173" customFormat="false" ht="39.55" hidden="false" customHeight="false" outlineLevel="0" collapsed="false">
      <c r="A173" s="9" t="s">
        <v>171</v>
      </c>
      <c r="B173" s="9" t="s">
        <v>27</v>
      </c>
      <c r="C173" s="10" t="s">
        <v>28</v>
      </c>
      <c r="D173" s="9" t="s">
        <v>51</v>
      </c>
      <c r="E173" s="9" t="s">
        <v>155</v>
      </c>
      <c r="F173" s="10"/>
      <c r="G173" s="10"/>
      <c r="H173" s="10"/>
      <c r="I173" s="9" t="s">
        <v>149</v>
      </c>
      <c r="J173" s="10"/>
      <c r="K173" s="9" t="s">
        <v>180</v>
      </c>
    </row>
    <row r="174" customFormat="false" ht="39.55" hidden="false" customHeight="false" outlineLevel="0" collapsed="false">
      <c r="A174" s="9" t="s">
        <v>171</v>
      </c>
      <c r="B174" s="9" t="s">
        <v>27</v>
      </c>
      <c r="C174" s="10" t="s">
        <v>70</v>
      </c>
      <c r="D174" s="9" t="s">
        <v>29</v>
      </c>
      <c r="E174" s="9" t="s">
        <v>165</v>
      </c>
      <c r="F174" s="10"/>
      <c r="G174" s="10"/>
      <c r="H174" s="10"/>
      <c r="I174" s="9" t="s">
        <v>149</v>
      </c>
      <c r="J174" s="10"/>
      <c r="K174" s="9" t="s">
        <v>180</v>
      </c>
    </row>
    <row r="175" customFormat="false" ht="39.55" hidden="false" customHeight="false" outlineLevel="0" collapsed="false">
      <c r="A175" s="9" t="s">
        <v>171</v>
      </c>
      <c r="B175" s="9" t="s">
        <v>27</v>
      </c>
      <c r="C175" s="10" t="s">
        <v>70</v>
      </c>
      <c r="D175" s="9" t="s">
        <v>51</v>
      </c>
      <c r="E175" s="9" t="s">
        <v>165</v>
      </c>
      <c r="F175" s="10"/>
      <c r="G175" s="10"/>
      <c r="H175" s="10"/>
      <c r="I175" s="9" t="s">
        <v>149</v>
      </c>
      <c r="J175" s="10"/>
      <c r="K175" s="9" t="s">
        <v>180</v>
      </c>
    </row>
    <row r="176" customFormat="false" ht="39.55" hidden="false" customHeight="false" outlineLevel="0" collapsed="false">
      <c r="A176" s="9" t="s">
        <v>171</v>
      </c>
      <c r="B176" s="9" t="s">
        <v>27</v>
      </c>
      <c r="C176" s="10" t="s">
        <v>103</v>
      </c>
      <c r="D176" s="9" t="s">
        <v>29</v>
      </c>
      <c r="E176" s="9" t="s">
        <v>165</v>
      </c>
      <c r="F176" s="10"/>
      <c r="G176" s="10"/>
      <c r="H176" s="10"/>
      <c r="I176" s="9" t="s">
        <v>149</v>
      </c>
      <c r="J176" s="10"/>
      <c r="K176" s="9" t="s">
        <v>180</v>
      </c>
    </row>
    <row r="177" customFormat="false" ht="39.55" hidden="false" customHeight="false" outlineLevel="0" collapsed="false">
      <c r="A177" s="9" t="s">
        <v>171</v>
      </c>
      <c r="B177" s="9" t="s">
        <v>27</v>
      </c>
      <c r="C177" s="10" t="s">
        <v>103</v>
      </c>
      <c r="D177" s="9" t="s">
        <v>51</v>
      </c>
      <c r="E177" s="9" t="s">
        <v>165</v>
      </c>
      <c r="F177" s="10"/>
      <c r="G177" s="10"/>
      <c r="H177" s="10"/>
      <c r="I177" s="9" t="s">
        <v>149</v>
      </c>
      <c r="J177" s="10"/>
      <c r="K177" s="9" t="s">
        <v>180</v>
      </c>
    </row>
    <row r="178" customFormat="false" ht="39.55" hidden="false" customHeight="false" outlineLevel="0" collapsed="false">
      <c r="A178" s="9" t="s">
        <v>171</v>
      </c>
      <c r="B178" s="9" t="s">
        <v>27</v>
      </c>
      <c r="C178" s="10" t="s">
        <v>103</v>
      </c>
      <c r="D178" s="9" t="s">
        <v>29</v>
      </c>
      <c r="E178" s="9" t="s">
        <v>166</v>
      </c>
      <c r="F178" s="10"/>
      <c r="G178" s="10"/>
      <c r="H178" s="10"/>
      <c r="I178" s="9" t="s">
        <v>149</v>
      </c>
      <c r="J178" s="10"/>
      <c r="K178" s="9" t="s">
        <v>180</v>
      </c>
    </row>
    <row r="179" customFormat="false" ht="39.55" hidden="false" customHeight="false" outlineLevel="0" collapsed="false">
      <c r="A179" s="9" t="s">
        <v>171</v>
      </c>
      <c r="B179" s="9" t="s">
        <v>27</v>
      </c>
      <c r="C179" s="10" t="s">
        <v>103</v>
      </c>
      <c r="D179" s="9" t="s">
        <v>51</v>
      </c>
      <c r="E179" s="9" t="s">
        <v>166</v>
      </c>
      <c r="F179" s="10"/>
      <c r="G179" s="10"/>
      <c r="H179" s="10"/>
      <c r="I179" s="9" t="s">
        <v>149</v>
      </c>
      <c r="J179" s="10"/>
      <c r="K179" s="9" t="s">
        <v>180</v>
      </c>
    </row>
    <row r="180" customFormat="false" ht="39.55" hidden="false" customHeight="false" outlineLevel="0" collapsed="false">
      <c r="A180" s="9" t="s">
        <v>171</v>
      </c>
      <c r="B180" s="9" t="s">
        <v>27</v>
      </c>
      <c r="C180" s="10" t="s">
        <v>28</v>
      </c>
      <c r="D180" s="9" t="s">
        <v>29</v>
      </c>
      <c r="E180" s="9" t="s">
        <v>256</v>
      </c>
      <c r="F180" s="10"/>
      <c r="G180" s="10"/>
      <c r="H180" s="10"/>
      <c r="I180" s="9" t="s">
        <v>149</v>
      </c>
      <c r="J180" s="10"/>
      <c r="K180" s="9" t="s">
        <v>180</v>
      </c>
    </row>
    <row r="181" customFormat="false" ht="39.55" hidden="false" customHeight="false" outlineLevel="0" collapsed="false">
      <c r="A181" s="9" t="s">
        <v>171</v>
      </c>
      <c r="B181" s="9" t="s">
        <v>27</v>
      </c>
      <c r="C181" s="10" t="s">
        <v>28</v>
      </c>
      <c r="D181" s="9" t="s">
        <v>51</v>
      </c>
      <c r="E181" s="9" t="s">
        <v>256</v>
      </c>
      <c r="F181" s="10"/>
      <c r="G181" s="10"/>
      <c r="H181" s="10"/>
      <c r="I181" s="9" t="s">
        <v>149</v>
      </c>
      <c r="J181" s="10"/>
      <c r="K181" s="9" t="s">
        <v>180</v>
      </c>
    </row>
    <row r="182" customFormat="false" ht="39.55" hidden="false" customHeight="false" outlineLevel="0" collapsed="false">
      <c r="A182" s="9" t="s">
        <v>171</v>
      </c>
      <c r="B182" s="9" t="s">
        <v>27</v>
      </c>
      <c r="C182" s="10" t="s">
        <v>70</v>
      </c>
      <c r="D182" s="9" t="s">
        <v>29</v>
      </c>
      <c r="E182" s="9" t="s">
        <v>256</v>
      </c>
      <c r="F182" s="10"/>
      <c r="G182" s="10"/>
      <c r="H182" s="10"/>
      <c r="I182" s="9" t="s">
        <v>149</v>
      </c>
      <c r="J182" s="10"/>
      <c r="K182" s="9" t="s">
        <v>180</v>
      </c>
    </row>
    <row r="183" customFormat="false" ht="39.55" hidden="false" customHeight="false" outlineLevel="0" collapsed="false">
      <c r="A183" s="9" t="s">
        <v>171</v>
      </c>
      <c r="B183" s="9" t="s">
        <v>27</v>
      </c>
      <c r="C183" s="10" t="s">
        <v>70</v>
      </c>
      <c r="D183" s="9" t="s">
        <v>51</v>
      </c>
      <c r="E183" s="9" t="s">
        <v>256</v>
      </c>
      <c r="F183" s="10"/>
      <c r="G183" s="10"/>
      <c r="H183" s="10"/>
      <c r="I183" s="9" t="s">
        <v>149</v>
      </c>
      <c r="J183" s="10"/>
      <c r="K183" s="9" t="s">
        <v>180</v>
      </c>
    </row>
    <row r="184" customFormat="false" ht="39.55" hidden="false" customHeight="false" outlineLevel="0" collapsed="false">
      <c r="A184" s="9" t="s">
        <v>171</v>
      </c>
      <c r="B184" s="9" t="s">
        <v>27</v>
      </c>
      <c r="C184" s="10" t="s">
        <v>103</v>
      </c>
      <c r="D184" s="9" t="s">
        <v>29</v>
      </c>
      <c r="E184" s="9" t="s">
        <v>256</v>
      </c>
      <c r="F184" s="10"/>
      <c r="G184" s="10"/>
      <c r="H184" s="10"/>
      <c r="I184" s="9" t="s">
        <v>149</v>
      </c>
      <c r="J184" s="10"/>
      <c r="K184" s="9" t="s">
        <v>180</v>
      </c>
    </row>
    <row r="185" customFormat="false" ht="39.55" hidden="false" customHeight="false" outlineLevel="0" collapsed="false">
      <c r="A185" s="9" t="s">
        <v>171</v>
      </c>
      <c r="B185" s="9" t="s">
        <v>27</v>
      </c>
      <c r="C185" s="10" t="s">
        <v>103</v>
      </c>
      <c r="D185" s="9" t="s">
        <v>51</v>
      </c>
      <c r="E185" s="9" t="s">
        <v>256</v>
      </c>
      <c r="F185" s="10"/>
      <c r="G185" s="10"/>
      <c r="H185" s="10"/>
      <c r="I185" s="9" t="s">
        <v>149</v>
      </c>
      <c r="J185" s="10"/>
      <c r="K185" s="9" t="s">
        <v>180</v>
      </c>
    </row>
    <row r="186" customFormat="false" ht="39.55" hidden="false" customHeight="false" outlineLevel="0" collapsed="false">
      <c r="A186" s="9" t="s">
        <v>171</v>
      </c>
      <c r="B186" s="9" t="s">
        <v>27</v>
      </c>
      <c r="C186" s="10" t="s">
        <v>28</v>
      </c>
      <c r="D186" s="9" t="s">
        <v>29</v>
      </c>
      <c r="E186" s="9" t="s">
        <v>257</v>
      </c>
      <c r="F186" s="10"/>
      <c r="G186" s="10"/>
      <c r="H186" s="10"/>
      <c r="I186" s="9" t="s">
        <v>149</v>
      </c>
      <c r="J186" s="10"/>
      <c r="K186" s="9" t="s">
        <v>180</v>
      </c>
    </row>
    <row r="187" customFormat="false" ht="39.55" hidden="false" customHeight="false" outlineLevel="0" collapsed="false">
      <c r="A187" s="9" t="s">
        <v>171</v>
      </c>
      <c r="B187" s="9" t="s">
        <v>27</v>
      </c>
      <c r="C187" s="10" t="s">
        <v>28</v>
      </c>
      <c r="D187" s="9" t="s">
        <v>51</v>
      </c>
      <c r="E187" s="9" t="s">
        <v>257</v>
      </c>
      <c r="F187" s="10"/>
      <c r="G187" s="10"/>
      <c r="H187" s="10"/>
      <c r="I187" s="9" t="s">
        <v>149</v>
      </c>
      <c r="J187" s="10"/>
      <c r="K187" s="9" t="s">
        <v>180</v>
      </c>
    </row>
    <row r="188" customFormat="false" ht="39.55" hidden="false" customHeight="false" outlineLevel="0" collapsed="false">
      <c r="A188" s="9" t="s">
        <v>171</v>
      </c>
      <c r="B188" s="9" t="s">
        <v>27</v>
      </c>
      <c r="C188" s="10" t="s">
        <v>70</v>
      </c>
      <c r="D188" s="9" t="s">
        <v>29</v>
      </c>
      <c r="E188" s="9" t="s">
        <v>257</v>
      </c>
      <c r="F188" s="10"/>
      <c r="G188" s="10"/>
      <c r="H188" s="10"/>
      <c r="I188" s="9" t="s">
        <v>149</v>
      </c>
      <c r="J188" s="10"/>
      <c r="K188" s="9" t="s">
        <v>180</v>
      </c>
    </row>
    <row r="189" customFormat="false" ht="39.55" hidden="false" customHeight="false" outlineLevel="0" collapsed="false">
      <c r="A189" s="9" t="s">
        <v>171</v>
      </c>
      <c r="B189" s="9" t="s">
        <v>27</v>
      </c>
      <c r="C189" s="10" t="s">
        <v>70</v>
      </c>
      <c r="D189" s="9" t="s">
        <v>51</v>
      </c>
      <c r="E189" s="9" t="s">
        <v>257</v>
      </c>
      <c r="F189" s="10"/>
      <c r="G189" s="10"/>
      <c r="H189" s="10"/>
      <c r="I189" s="9" t="s">
        <v>149</v>
      </c>
      <c r="J189" s="10"/>
      <c r="K189" s="9" t="s">
        <v>180</v>
      </c>
    </row>
    <row r="190" customFormat="false" ht="39.55" hidden="false" customHeight="false" outlineLevel="0" collapsed="false">
      <c r="A190" s="9" t="s">
        <v>171</v>
      </c>
      <c r="B190" s="9" t="s">
        <v>27</v>
      </c>
      <c r="C190" s="10" t="s">
        <v>103</v>
      </c>
      <c r="D190" s="9" t="s">
        <v>29</v>
      </c>
      <c r="E190" s="9" t="s">
        <v>257</v>
      </c>
      <c r="F190" s="10"/>
      <c r="G190" s="10"/>
      <c r="H190" s="10"/>
      <c r="I190" s="9" t="s">
        <v>149</v>
      </c>
      <c r="J190" s="10"/>
      <c r="K190" s="9" t="s">
        <v>180</v>
      </c>
    </row>
    <row r="191" customFormat="false" ht="39.55" hidden="false" customHeight="false" outlineLevel="0" collapsed="false">
      <c r="A191" s="9" t="s">
        <v>171</v>
      </c>
      <c r="B191" s="9" t="s">
        <v>27</v>
      </c>
      <c r="C191" s="10" t="s">
        <v>103</v>
      </c>
      <c r="D191" s="9" t="s">
        <v>51</v>
      </c>
      <c r="E191" s="9" t="s">
        <v>257</v>
      </c>
      <c r="F191" s="10"/>
      <c r="G191" s="10"/>
      <c r="H191" s="10"/>
      <c r="I191" s="9" t="s">
        <v>149</v>
      </c>
      <c r="J191" s="10"/>
      <c r="K191" s="9" t="s">
        <v>180</v>
      </c>
    </row>
    <row r="192" customFormat="false" ht="39.55" hidden="false" customHeight="false" outlineLevel="0" collapsed="false">
      <c r="A192" s="9" t="s">
        <v>171</v>
      </c>
      <c r="B192" s="9" t="s">
        <v>27</v>
      </c>
      <c r="C192" s="10" t="s">
        <v>28</v>
      </c>
      <c r="D192" s="9" t="s">
        <v>29</v>
      </c>
      <c r="E192" s="9" t="s">
        <v>258</v>
      </c>
      <c r="F192" s="10"/>
      <c r="G192" s="10"/>
      <c r="H192" s="10"/>
      <c r="I192" s="9" t="s">
        <v>149</v>
      </c>
      <c r="J192" s="10"/>
      <c r="K192" s="9" t="s">
        <v>180</v>
      </c>
    </row>
    <row r="193" customFormat="false" ht="39.55" hidden="false" customHeight="false" outlineLevel="0" collapsed="false">
      <c r="A193" s="9" t="s">
        <v>171</v>
      </c>
      <c r="B193" s="9" t="s">
        <v>27</v>
      </c>
      <c r="C193" s="10" t="s">
        <v>28</v>
      </c>
      <c r="D193" s="9" t="s">
        <v>51</v>
      </c>
      <c r="E193" s="9" t="s">
        <v>258</v>
      </c>
      <c r="F193" s="10"/>
      <c r="G193" s="10"/>
      <c r="H193" s="10"/>
      <c r="I193" s="9" t="s">
        <v>149</v>
      </c>
      <c r="J193" s="10"/>
      <c r="K193" s="9" t="s">
        <v>180</v>
      </c>
    </row>
    <row r="194" customFormat="false" ht="39.55" hidden="false" customHeight="false" outlineLevel="0" collapsed="false">
      <c r="A194" s="9" t="s">
        <v>171</v>
      </c>
      <c r="B194" s="9" t="s">
        <v>27</v>
      </c>
      <c r="C194" s="10" t="s">
        <v>70</v>
      </c>
      <c r="D194" s="9" t="s">
        <v>29</v>
      </c>
      <c r="E194" s="9" t="s">
        <v>258</v>
      </c>
      <c r="F194" s="10"/>
      <c r="G194" s="10"/>
      <c r="H194" s="10"/>
      <c r="I194" s="9" t="s">
        <v>149</v>
      </c>
      <c r="J194" s="10"/>
      <c r="K194" s="9" t="s">
        <v>180</v>
      </c>
    </row>
    <row r="195" customFormat="false" ht="52.2" hidden="false" customHeight="false" outlineLevel="0" collapsed="false">
      <c r="A195" s="6" t="s">
        <v>171</v>
      </c>
      <c r="B195" s="6" t="s">
        <v>27</v>
      </c>
      <c r="C195" s="7" t="s">
        <v>70</v>
      </c>
      <c r="D195" s="6" t="s">
        <v>51</v>
      </c>
      <c r="E195" s="6" t="s">
        <v>258</v>
      </c>
      <c r="F195" s="6" t="s">
        <v>259</v>
      </c>
      <c r="G195" s="7"/>
      <c r="H195" s="7"/>
      <c r="I195" s="6" t="s">
        <v>33</v>
      </c>
      <c r="J195" s="8" t="s">
        <v>260</v>
      </c>
      <c r="K195" s="6" t="s">
        <v>261</v>
      </c>
    </row>
    <row r="196" customFormat="false" ht="39.55" hidden="false" customHeight="false" outlineLevel="0" collapsed="false">
      <c r="A196" s="9" t="s">
        <v>171</v>
      </c>
      <c r="B196" s="9" t="s">
        <v>27</v>
      </c>
      <c r="C196" s="10" t="s">
        <v>103</v>
      </c>
      <c r="D196" s="9" t="s">
        <v>29</v>
      </c>
      <c r="E196" s="9" t="s">
        <v>258</v>
      </c>
      <c r="F196" s="10"/>
      <c r="G196" s="10"/>
      <c r="H196" s="10"/>
      <c r="I196" s="9" t="s">
        <v>149</v>
      </c>
      <c r="J196" s="10"/>
      <c r="K196" s="9" t="s">
        <v>180</v>
      </c>
    </row>
    <row r="197" customFormat="false" ht="39.55" hidden="false" customHeight="false" outlineLevel="0" collapsed="false">
      <c r="A197" s="9" t="s">
        <v>171</v>
      </c>
      <c r="B197" s="9" t="s">
        <v>27</v>
      </c>
      <c r="C197" s="10" t="s">
        <v>103</v>
      </c>
      <c r="D197" s="9" t="s">
        <v>51</v>
      </c>
      <c r="E197" s="9" t="s">
        <v>258</v>
      </c>
      <c r="F197" s="10"/>
      <c r="G197" s="10"/>
      <c r="H197" s="10"/>
      <c r="I197" s="9" t="s">
        <v>149</v>
      </c>
      <c r="J197" s="10"/>
      <c r="K197" s="9" t="s">
        <v>180</v>
      </c>
    </row>
    <row r="198" customFormat="false" ht="90.25" hidden="false" customHeight="false" outlineLevel="0" collapsed="false">
      <c r="A198" s="6" t="s">
        <v>262</v>
      </c>
      <c r="B198" s="6" t="s">
        <v>27</v>
      </c>
      <c r="C198" s="7" t="s">
        <v>28</v>
      </c>
      <c r="D198" s="6" t="s">
        <v>29</v>
      </c>
      <c r="E198" s="6" t="s">
        <v>30</v>
      </c>
      <c r="F198" s="6" t="s">
        <v>31</v>
      </c>
      <c r="G198" s="7"/>
      <c r="H198" s="7" t="s">
        <v>263</v>
      </c>
      <c r="I198" s="6" t="s">
        <v>158</v>
      </c>
      <c r="J198" s="8" t="s">
        <v>264</v>
      </c>
      <c r="K198" s="6" t="s">
        <v>265</v>
      </c>
    </row>
    <row r="199" customFormat="false" ht="90.25" hidden="false" customHeight="false" outlineLevel="0" collapsed="false">
      <c r="A199" s="6" t="s">
        <v>262</v>
      </c>
      <c r="B199" s="6" t="s">
        <v>27</v>
      </c>
      <c r="C199" s="7" t="s">
        <v>28</v>
      </c>
      <c r="D199" s="6" t="s">
        <v>29</v>
      </c>
      <c r="E199" s="6" t="s">
        <v>30</v>
      </c>
      <c r="F199" s="6" t="s">
        <v>266</v>
      </c>
      <c r="G199" s="7"/>
      <c r="H199" s="7" t="s">
        <v>263</v>
      </c>
      <c r="I199" s="6" t="s">
        <v>158</v>
      </c>
      <c r="J199" s="8" t="s">
        <v>264</v>
      </c>
      <c r="K199" s="6" t="s">
        <v>265</v>
      </c>
    </row>
    <row r="200" customFormat="false" ht="90.25" hidden="false" customHeight="false" outlineLevel="0" collapsed="false">
      <c r="A200" s="6" t="s">
        <v>262</v>
      </c>
      <c r="B200" s="6" t="s">
        <v>27</v>
      </c>
      <c r="C200" s="7" t="s">
        <v>28</v>
      </c>
      <c r="D200" s="6" t="s">
        <v>29</v>
      </c>
      <c r="E200" s="6" t="s">
        <v>30</v>
      </c>
      <c r="F200" s="6" t="s">
        <v>57</v>
      </c>
      <c r="G200" s="7"/>
      <c r="H200" s="7" t="s">
        <v>263</v>
      </c>
      <c r="I200" s="6" t="s">
        <v>158</v>
      </c>
      <c r="J200" s="8" t="s">
        <v>264</v>
      </c>
      <c r="K200" s="6" t="s">
        <v>265</v>
      </c>
    </row>
    <row r="201" customFormat="false" ht="128.35" hidden="false" customHeight="false" outlineLevel="0" collapsed="false">
      <c r="A201" s="6" t="s">
        <v>262</v>
      </c>
      <c r="B201" s="6" t="s">
        <v>27</v>
      </c>
      <c r="C201" s="7" t="s">
        <v>28</v>
      </c>
      <c r="D201" s="6" t="s">
        <v>29</v>
      </c>
      <c r="E201" s="6" t="s">
        <v>30</v>
      </c>
      <c r="F201" s="6" t="s">
        <v>267</v>
      </c>
      <c r="G201" s="7"/>
      <c r="H201" s="7" t="s">
        <v>263</v>
      </c>
      <c r="I201" s="6" t="s">
        <v>158</v>
      </c>
      <c r="J201" s="8" t="s">
        <v>264</v>
      </c>
      <c r="K201" s="6" t="s">
        <v>268</v>
      </c>
    </row>
    <row r="202" customFormat="false" ht="90.25" hidden="false" customHeight="false" outlineLevel="0" collapsed="false">
      <c r="A202" s="6" t="s">
        <v>262</v>
      </c>
      <c r="B202" s="6" t="s">
        <v>27</v>
      </c>
      <c r="C202" s="7" t="s">
        <v>28</v>
      </c>
      <c r="D202" s="6" t="s">
        <v>29</v>
      </c>
      <c r="E202" s="6" t="s">
        <v>30</v>
      </c>
      <c r="F202" s="6" t="s">
        <v>38</v>
      </c>
      <c r="G202" s="7"/>
      <c r="H202" s="7" t="s">
        <v>263</v>
      </c>
      <c r="I202" s="6" t="s">
        <v>158</v>
      </c>
      <c r="J202" s="8" t="s">
        <v>264</v>
      </c>
      <c r="K202" s="6" t="s">
        <v>265</v>
      </c>
    </row>
    <row r="203" customFormat="false" ht="90.25" hidden="false" customHeight="false" outlineLevel="0" collapsed="false">
      <c r="A203" s="6" t="s">
        <v>262</v>
      </c>
      <c r="B203" s="6" t="s">
        <v>27</v>
      </c>
      <c r="C203" s="7" t="s">
        <v>28</v>
      </c>
      <c r="D203" s="6" t="s">
        <v>29</v>
      </c>
      <c r="E203" s="6" t="s">
        <v>30</v>
      </c>
      <c r="F203" s="6" t="s">
        <v>269</v>
      </c>
      <c r="G203" s="7"/>
      <c r="H203" s="7" t="s">
        <v>263</v>
      </c>
      <c r="I203" s="6" t="s">
        <v>158</v>
      </c>
      <c r="J203" s="8" t="s">
        <v>264</v>
      </c>
      <c r="K203" s="6" t="s">
        <v>265</v>
      </c>
    </row>
    <row r="204" customFormat="false" ht="90.25" hidden="false" customHeight="false" outlineLevel="0" collapsed="false">
      <c r="A204" s="6" t="s">
        <v>262</v>
      </c>
      <c r="B204" s="6" t="s">
        <v>27</v>
      </c>
      <c r="C204" s="7" t="s">
        <v>28</v>
      </c>
      <c r="D204" s="6" t="s">
        <v>29</v>
      </c>
      <c r="E204" s="6" t="s">
        <v>30</v>
      </c>
      <c r="F204" s="6" t="s">
        <v>270</v>
      </c>
      <c r="G204" s="7"/>
      <c r="H204" s="7" t="s">
        <v>263</v>
      </c>
      <c r="I204" s="6" t="s">
        <v>158</v>
      </c>
      <c r="J204" s="8" t="s">
        <v>264</v>
      </c>
      <c r="K204" s="6" t="s">
        <v>265</v>
      </c>
    </row>
    <row r="205" customFormat="false" ht="90.25" hidden="false" customHeight="false" outlineLevel="0" collapsed="false">
      <c r="A205" s="6" t="s">
        <v>262</v>
      </c>
      <c r="B205" s="6" t="s">
        <v>27</v>
      </c>
      <c r="C205" s="7" t="s">
        <v>28</v>
      </c>
      <c r="D205" s="6" t="s">
        <v>29</v>
      </c>
      <c r="E205" s="6" t="s">
        <v>30</v>
      </c>
      <c r="F205" s="6" t="s">
        <v>271</v>
      </c>
      <c r="G205" s="7"/>
      <c r="H205" s="7" t="s">
        <v>263</v>
      </c>
      <c r="I205" s="6" t="s">
        <v>158</v>
      </c>
      <c r="J205" s="8" t="s">
        <v>264</v>
      </c>
      <c r="K205" s="6" t="s">
        <v>265</v>
      </c>
    </row>
    <row r="206" customFormat="false" ht="90.25" hidden="false" customHeight="false" outlineLevel="0" collapsed="false">
      <c r="A206" s="6" t="s">
        <v>262</v>
      </c>
      <c r="B206" s="6" t="s">
        <v>27</v>
      </c>
      <c r="C206" s="7" t="s">
        <v>28</v>
      </c>
      <c r="D206" s="6" t="s">
        <v>29</v>
      </c>
      <c r="E206" s="6" t="s">
        <v>30</v>
      </c>
      <c r="F206" s="6" t="s">
        <v>272</v>
      </c>
      <c r="G206" s="7"/>
      <c r="H206" s="7" t="s">
        <v>263</v>
      </c>
      <c r="I206" s="6" t="s">
        <v>158</v>
      </c>
      <c r="J206" s="8" t="s">
        <v>264</v>
      </c>
      <c r="K206" s="6" t="s">
        <v>265</v>
      </c>
    </row>
    <row r="207" customFormat="false" ht="15" hidden="false" customHeight="false" outlineLevel="0" collapsed="false">
      <c r="A207" s="9" t="s">
        <v>262</v>
      </c>
      <c r="B207" s="9" t="s">
        <v>27</v>
      </c>
      <c r="C207" s="10" t="s">
        <v>28</v>
      </c>
      <c r="D207" s="9" t="s">
        <v>51</v>
      </c>
      <c r="E207" s="9" t="s">
        <v>30</v>
      </c>
      <c r="F207" s="10"/>
      <c r="G207" s="10"/>
      <c r="H207" s="10"/>
      <c r="I207" s="10"/>
      <c r="J207" s="10"/>
      <c r="K207" s="9" t="s">
        <v>145</v>
      </c>
    </row>
    <row r="208" customFormat="false" ht="15" hidden="false" customHeight="false" outlineLevel="0" collapsed="false">
      <c r="A208" s="9" t="s">
        <v>262</v>
      </c>
      <c r="B208" s="9" t="s">
        <v>27</v>
      </c>
      <c r="C208" s="10" t="s">
        <v>70</v>
      </c>
      <c r="D208" s="9" t="s">
        <v>29</v>
      </c>
      <c r="E208" s="9" t="s">
        <v>30</v>
      </c>
      <c r="F208" s="10"/>
      <c r="G208" s="10"/>
      <c r="H208" s="10"/>
      <c r="I208" s="10"/>
      <c r="J208" s="10"/>
      <c r="K208" s="9" t="s">
        <v>145</v>
      </c>
    </row>
    <row r="209" customFormat="false" ht="15" hidden="false" customHeight="false" outlineLevel="0" collapsed="false">
      <c r="A209" s="9" t="s">
        <v>262</v>
      </c>
      <c r="B209" s="9" t="s">
        <v>27</v>
      </c>
      <c r="C209" s="10" t="s">
        <v>70</v>
      </c>
      <c r="D209" s="9" t="s">
        <v>51</v>
      </c>
      <c r="E209" s="9" t="s">
        <v>30</v>
      </c>
      <c r="F209" s="10"/>
      <c r="G209" s="10"/>
      <c r="H209" s="10"/>
      <c r="I209" s="10"/>
      <c r="J209" s="10"/>
      <c r="K209" s="9" t="s">
        <v>145</v>
      </c>
    </row>
    <row r="210" customFormat="false" ht="15" hidden="false" customHeight="false" outlineLevel="0" collapsed="false">
      <c r="A210" s="9" t="s">
        <v>262</v>
      </c>
      <c r="B210" s="9" t="s">
        <v>27</v>
      </c>
      <c r="C210" s="10" t="s">
        <v>103</v>
      </c>
      <c r="D210" s="9" t="s">
        <v>29</v>
      </c>
      <c r="E210" s="9" t="s">
        <v>30</v>
      </c>
      <c r="F210" s="10"/>
      <c r="G210" s="10"/>
      <c r="H210" s="10"/>
      <c r="I210" s="10"/>
      <c r="J210" s="10"/>
      <c r="K210" s="9" t="s">
        <v>145</v>
      </c>
    </row>
    <row r="211" customFormat="false" ht="15" hidden="false" customHeight="false" outlineLevel="0" collapsed="false">
      <c r="A211" s="9" t="s">
        <v>262</v>
      </c>
      <c r="B211" s="9" t="s">
        <v>27</v>
      </c>
      <c r="C211" s="10" t="s">
        <v>103</v>
      </c>
      <c r="D211" s="9" t="s">
        <v>51</v>
      </c>
      <c r="E211" s="9" t="s">
        <v>30</v>
      </c>
      <c r="F211" s="10"/>
      <c r="G211" s="10"/>
      <c r="H211" s="10"/>
      <c r="I211" s="10"/>
      <c r="J211" s="10"/>
      <c r="K211" s="9" t="s">
        <v>145</v>
      </c>
    </row>
    <row r="212" customFormat="false" ht="15" hidden="false" customHeight="false" outlineLevel="0" collapsed="false">
      <c r="A212" s="9" t="s">
        <v>262</v>
      </c>
      <c r="B212" s="9" t="s">
        <v>27</v>
      </c>
      <c r="C212" s="10" t="s">
        <v>28</v>
      </c>
      <c r="D212" s="9" t="s">
        <v>29</v>
      </c>
      <c r="E212" s="9" t="s">
        <v>132</v>
      </c>
      <c r="F212" s="10"/>
      <c r="G212" s="10"/>
      <c r="H212" s="10"/>
      <c r="I212" s="10"/>
      <c r="J212" s="10"/>
      <c r="K212" s="9" t="s">
        <v>145</v>
      </c>
    </row>
    <row r="213" customFormat="false" ht="15" hidden="false" customHeight="false" outlineLevel="0" collapsed="false">
      <c r="A213" s="9" t="s">
        <v>262</v>
      </c>
      <c r="B213" s="9" t="s">
        <v>27</v>
      </c>
      <c r="C213" s="10" t="s">
        <v>28</v>
      </c>
      <c r="D213" s="9" t="s">
        <v>51</v>
      </c>
      <c r="E213" s="9" t="s">
        <v>132</v>
      </c>
      <c r="F213" s="10"/>
      <c r="G213" s="10"/>
      <c r="H213" s="10"/>
      <c r="I213" s="10"/>
      <c r="J213" s="10"/>
      <c r="K213" s="9" t="s">
        <v>145</v>
      </c>
    </row>
    <row r="214" customFormat="false" ht="15" hidden="false" customHeight="false" outlineLevel="0" collapsed="false">
      <c r="A214" s="9" t="s">
        <v>262</v>
      </c>
      <c r="B214" s="9" t="s">
        <v>27</v>
      </c>
      <c r="C214" s="10" t="s">
        <v>70</v>
      </c>
      <c r="D214" s="9" t="s">
        <v>29</v>
      </c>
      <c r="E214" s="9" t="s">
        <v>132</v>
      </c>
      <c r="F214" s="10"/>
      <c r="G214" s="10"/>
      <c r="H214" s="10"/>
      <c r="I214" s="10"/>
      <c r="J214" s="10"/>
      <c r="K214" s="9" t="s">
        <v>145</v>
      </c>
    </row>
    <row r="215" customFormat="false" ht="15" hidden="false" customHeight="false" outlineLevel="0" collapsed="false">
      <c r="A215" s="9" t="s">
        <v>262</v>
      </c>
      <c r="B215" s="9" t="s">
        <v>27</v>
      </c>
      <c r="C215" s="10" t="s">
        <v>70</v>
      </c>
      <c r="D215" s="9" t="s">
        <v>51</v>
      </c>
      <c r="E215" s="9" t="s">
        <v>132</v>
      </c>
      <c r="F215" s="10"/>
      <c r="G215" s="10"/>
      <c r="H215" s="10"/>
      <c r="I215" s="10"/>
      <c r="J215" s="10"/>
      <c r="K215" s="9" t="s">
        <v>145</v>
      </c>
    </row>
    <row r="216" customFormat="false" ht="15" hidden="false" customHeight="false" outlineLevel="0" collapsed="false">
      <c r="A216" s="9" t="s">
        <v>262</v>
      </c>
      <c r="B216" s="9" t="s">
        <v>27</v>
      </c>
      <c r="C216" s="10" t="s">
        <v>103</v>
      </c>
      <c r="D216" s="9" t="s">
        <v>29</v>
      </c>
      <c r="E216" s="9" t="s">
        <v>132</v>
      </c>
      <c r="F216" s="10"/>
      <c r="G216" s="10"/>
      <c r="H216" s="10"/>
      <c r="I216" s="10"/>
      <c r="J216" s="10"/>
      <c r="K216" s="9" t="s">
        <v>145</v>
      </c>
    </row>
    <row r="217" customFormat="false" ht="15" hidden="false" customHeight="false" outlineLevel="0" collapsed="false">
      <c r="A217" s="9" t="s">
        <v>262</v>
      </c>
      <c r="B217" s="9" t="s">
        <v>27</v>
      </c>
      <c r="C217" s="10" t="s">
        <v>103</v>
      </c>
      <c r="D217" s="9" t="s">
        <v>51</v>
      </c>
      <c r="E217" s="9" t="s">
        <v>132</v>
      </c>
      <c r="F217" s="10"/>
      <c r="G217" s="10"/>
      <c r="H217" s="10"/>
      <c r="I217" s="10"/>
      <c r="J217" s="10"/>
      <c r="K217" s="9" t="s">
        <v>145</v>
      </c>
    </row>
    <row r="218" customFormat="false" ht="102.95" hidden="false" customHeight="false" outlineLevel="0" collapsed="false">
      <c r="A218" s="6" t="s">
        <v>262</v>
      </c>
      <c r="B218" s="6" t="s">
        <v>27</v>
      </c>
      <c r="C218" s="7" t="s">
        <v>28</v>
      </c>
      <c r="D218" s="6" t="s">
        <v>29</v>
      </c>
      <c r="E218" s="6" t="s">
        <v>146</v>
      </c>
      <c r="F218" s="6" t="s">
        <v>273</v>
      </c>
      <c r="G218" s="7" t="s">
        <v>274</v>
      </c>
      <c r="H218" s="6" t="s">
        <v>148</v>
      </c>
      <c r="I218" s="6" t="s">
        <v>149</v>
      </c>
      <c r="J218" s="8" t="s">
        <v>275</v>
      </c>
      <c r="K218" s="6" t="s">
        <v>276</v>
      </c>
    </row>
    <row r="219" customFormat="false" ht="191.75" hidden="false" customHeight="false" outlineLevel="0" collapsed="false">
      <c r="A219" s="6" t="s">
        <v>262</v>
      </c>
      <c r="B219" s="6" t="s">
        <v>27</v>
      </c>
      <c r="C219" s="7" t="s">
        <v>28</v>
      </c>
      <c r="D219" s="6" t="s">
        <v>29</v>
      </c>
      <c r="E219" s="6" t="s">
        <v>146</v>
      </c>
      <c r="F219" s="6" t="s">
        <v>277</v>
      </c>
      <c r="G219" s="7" t="s">
        <v>278</v>
      </c>
      <c r="H219" s="6" t="s">
        <v>148</v>
      </c>
      <c r="I219" s="6" t="s">
        <v>149</v>
      </c>
      <c r="J219" s="8" t="s">
        <v>275</v>
      </c>
      <c r="K219" s="6" t="s">
        <v>279</v>
      </c>
    </row>
    <row r="220" customFormat="false" ht="64.9" hidden="false" customHeight="false" outlineLevel="0" collapsed="false">
      <c r="A220" s="6" t="s">
        <v>262</v>
      </c>
      <c r="B220" s="6" t="s">
        <v>27</v>
      </c>
      <c r="C220" s="7" t="s">
        <v>28</v>
      </c>
      <c r="D220" s="6" t="s">
        <v>29</v>
      </c>
      <c r="E220" s="6" t="s">
        <v>146</v>
      </c>
      <c r="F220" s="6" t="s">
        <v>192</v>
      </c>
      <c r="G220" s="7" t="s">
        <v>280</v>
      </c>
      <c r="H220" s="6" t="s">
        <v>148</v>
      </c>
      <c r="I220" s="6" t="s">
        <v>149</v>
      </c>
      <c r="J220" s="8" t="s">
        <v>275</v>
      </c>
      <c r="K220" s="6" t="s">
        <v>281</v>
      </c>
    </row>
    <row r="221" customFormat="false" ht="64.9" hidden="false" customHeight="false" outlineLevel="0" collapsed="false">
      <c r="A221" s="6" t="s">
        <v>262</v>
      </c>
      <c r="B221" s="6" t="s">
        <v>27</v>
      </c>
      <c r="C221" s="7" t="s">
        <v>28</v>
      </c>
      <c r="D221" s="6" t="s">
        <v>51</v>
      </c>
      <c r="E221" s="6" t="s">
        <v>146</v>
      </c>
      <c r="F221" s="6" t="s">
        <v>195</v>
      </c>
      <c r="G221" s="7" t="s">
        <v>282</v>
      </c>
      <c r="H221" s="6" t="s">
        <v>148</v>
      </c>
      <c r="I221" s="6" t="s">
        <v>149</v>
      </c>
      <c r="J221" s="8" t="s">
        <v>283</v>
      </c>
      <c r="K221" s="6" t="s">
        <v>281</v>
      </c>
    </row>
    <row r="222" customFormat="false" ht="102.95" hidden="false" customHeight="false" outlineLevel="0" collapsed="false">
      <c r="A222" s="6" t="s">
        <v>262</v>
      </c>
      <c r="B222" s="6" t="s">
        <v>27</v>
      </c>
      <c r="C222" s="7" t="s">
        <v>28</v>
      </c>
      <c r="D222" s="6" t="s">
        <v>51</v>
      </c>
      <c r="E222" s="6" t="s">
        <v>146</v>
      </c>
      <c r="F222" s="6" t="s">
        <v>284</v>
      </c>
      <c r="G222" s="7" t="s">
        <v>285</v>
      </c>
      <c r="H222" s="6" t="s">
        <v>148</v>
      </c>
      <c r="I222" s="6" t="s">
        <v>149</v>
      </c>
      <c r="J222" s="8" t="s">
        <v>275</v>
      </c>
      <c r="K222" s="6" t="s">
        <v>286</v>
      </c>
    </row>
    <row r="223" customFormat="false" ht="64.9" hidden="false" customHeight="false" outlineLevel="0" collapsed="false">
      <c r="A223" s="6" t="s">
        <v>262</v>
      </c>
      <c r="B223" s="6" t="s">
        <v>27</v>
      </c>
      <c r="C223" s="7" t="s">
        <v>28</v>
      </c>
      <c r="D223" s="6" t="s">
        <v>51</v>
      </c>
      <c r="E223" s="6" t="s">
        <v>146</v>
      </c>
      <c r="F223" s="6" t="s">
        <v>287</v>
      </c>
      <c r="G223" s="7"/>
      <c r="H223" s="6" t="s">
        <v>148</v>
      </c>
      <c r="I223" s="6" t="s">
        <v>149</v>
      </c>
      <c r="J223" s="8" t="s">
        <v>275</v>
      </c>
      <c r="K223" s="6" t="s">
        <v>288</v>
      </c>
    </row>
    <row r="224" customFormat="false" ht="64.9" hidden="false" customHeight="false" outlineLevel="0" collapsed="false">
      <c r="A224" s="6" t="s">
        <v>262</v>
      </c>
      <c r="B224" s="6" t="s">
        <v>27</v>
      </c>
      <c r="C224" s="7" t="s">
        <v>28</v>
      </c>
      <c r="D224" s="6" t="s">
        <v>51</v>
      </c>
      <c r="E224" s="6" t="s">
        <v>146</v>
      </c>
      <c r="F224" s="6" t="s">
        <v>204</v>
      </c>
      <c r="G224" s="7"/>
      <c r="H224" s="6" t="s">
        <v>148</v>
      </c>
      <c r="I224" s="6" t="s">
        <v>149</v>
      </c>
      <c r="J224" s="8" t="s">
        <v>275</v>
      </c>
      <c r="K224" s="6" t="s">
        <v>288</v>
      </c>
    </row>
    <row r="225" customFormat="false" ht="64.9" hidden="false" customHeight="false" outlineLevel="0" collapsed="false">
      <c r="A225" s="6" t="s">
        <v>262</v>
      </c>
      <c r="B225" s="6" t="s">
        <v>27</v>
      </c>
      <c r="C225" s="7" t="s">
        <v>28</v>
      </c>
      <c r="D225" s="6" t="s">
        <v>51</v>
      </c>
      <c r="E225" s="6" t="s">
        <v>146</v>
      </c>
      <c r="F225" s="6" t="s">
        <v>289</v>
      </c>
      <c r="G225" s="7"/>
      <c r="H225" s="6" t="s">
        <v>148</v>
      </c>
      <c r="I225" s="6" t="s">
        <v>149</v>
      </c>
      <c r="J225" s="8" t="s">
        <v>275</v>
      </c>
      <c r="K225" s="6" t="s">
        <v>288</v>
      </c>
    </row>
    <row r="226" customFormat="false" ht="64.9" hidden="false" customHeight="false" outlineLevel="0" collapsed="false">
      <c r="A226" s="6" t="s">
        <v>262</v>
      </c>
      <c r="B226" s="6" t="s">
        <v>27</v>
      </c>
      <c r="C226" s="7" t="s">
        <v>28</v>
      </c>
      <c r="D226" s="6" t="s">
        <v>51</v>
      </c>
      <c r="E226" s="6" t="s">
        <v>146</v>
      </c>
      <c r="F226" s="6" t="s">
        <v>290</v>
      </c>
      <c r="G226" s="7"/>
      <c r="H226" s="6" t="s">
        <v>148</v>
      </c>
      <c r="I226" s="6" t="s">
        <v>149</v>
      </c>
      <c r="J226" s="8" t="s">
        <v>275</v>
      </c>
      <c r="K226" s="6" t="s">
        <v>288</v>
      </c>
    </row>
    <row r="227" customFormat="false" ht="128.35" hidden="false" customHeight="false" outlineLevel="0" collapsed="false">
      <c r="A227" s="6" t="s">
        <v>262</v>
      </c>
      <c r="B227" s="6" t="s">
        <v>27</v>
      </c>
      <c r="C227" s="7" t="s">
        <v>70</v>
      </c>
      <c r="D227" s="6" t="s">
        <v>29</v>
      </c>
      <c r="E227" s="6" t="s">
        <v>146</v>
      </c>
      <c r="F227" s="6" t="s">
        <v>209</v>
      </c>
      <c r="G227" s="7" t="s">
        <v>291</v>
      </c>
      <c r="H227" s="7" t="s">
        <v>211</v>
      </c>
      <c r="I227" s="6" t="s">
        <v>149</v>
      </c>
      <c r="J227" s="8" t="s">
        <v>292</v>
      </c>
      <c r="K227" s="6" t="s">
        <v>293</v>
      </c>
    </row>
    <row r="228" customFormat="false" ht="77.6" hidden="false" customHeight="false" outlineLevel="0" collapsed="false">
      <c r="A228" s="6" t="s">
        <v>262</v>
      </c>
      <c r="B228" s="6" t="s">
        <v>27</v>
      </c>
      <c r="C228" s="7" t="s">
        <v>70</v>
      </c>
      <c r="D228" s="6" t="s">
        <v>29</v>
      </c>
      <c r="E228" s="6" t="s">
        <v>146</v>
      </c>
      <c r="F228" s="6" t="s">
        <v>214</v>
      </c>
      <c r="G228" s="7" t="s">
        <v>215</v>
      </c>
      <c r="H228" s="7" t="s">
        <v>211</v>
      </c>
      <c r="I228" s="6" t="s">
        <v>149</v>
      </c>
      <c r="J228" s="8" t="s">
        <v>292</v>
      </c>
      <c r="K228" s="6" t="s">
        <v>294</v>
      </c>
    </row>
    <row r="229" customFormat="false" ht="77.6" hidden="false" customHeight="false" outlineLevel="0" collapsed="false">
      <c r="A229" s="6" t="s">
        <v>262</v>
      </c>
      <c r="B229" s="6" t="s">
        <v>27</v>
      </c>
      <c r="C229" s="7" t="s">
        <v>70</v>
      </c>
      <c r="D229" s="6" t="s">
        <v>29</v>
      </c>
      <c r="E229" s="6" t="s">
        <v>146</v>
      </c>
      <c r="F229" s="6" t="s">
        <v>217</v>
      </c>
      <c r="G229" s="7" t="s">
        <v>295</v>
      </c>
      <c r="H229" s="7" t="s">
        <v>211</v>
      </c>
      <c r="I229" s="6" t="s">
        <v>149</v>
      </c>
      <c r="J229" s="8" t="s">
        <v>292</v>
      </c>
      <c r="K229" s="6" t="s">
        <v>294</v>
      </c>
    </row>
    <row r="230" customFormat="false" ht="77.6" hidden="false" customHeight="false" outlineLevel="0" collapsed="false">
      <c r="A230" s="6" t="s">
        <v>262</v>
      </c>
      <c r="B230" s="6" t="s">
        <v>27</v>
      </c>
      <c r="C230" s="7" t="s">
        <v>70</v>
      </c>
      <c r="D230" s="6" t="s">
        <v>29</v>
      </c>
      <c r="E230" s="6" t="s">
        <v>146</v>
      </c>
      <c r="F230" s="6" t="s">
        <v>220</v>
      </c>
      <c r="G230" s="7" t="s">
        <v>296</v>
      </c>
      <c r="H230" s="7" t="s">
        <v>211</v>
      </c>
      <c r="I230" s="6" t="s">
        <v>149</v>
      </c>
      <c r="J230" s="8" t="s">
        <v>292</v>
      </c>
      <c r="K230" s="6" t="s">
        <v>294</v>
      </c>
    </row>
    <row r="231" customFormat="false" ht="77.6" hidden="false" customHeight="false" outlineLevel="0" collapsed="false">
      <c r="A231" s="6" t="s">
        <v>262</v>
      </c>
      <c r="B231" s="6" t="s">
        <v>27</v>
      </c>
      <c r="C231" s="7" t="s">
        <v>70</v>
      </c>
      <c r="D231" s="6" t="s">
        <v>51</v>
      </c>
      <c r="E231" s="6" t="s">
        <v>146</v>
      </c>
      <c r="F231" s="6" t="s">
        <v>297</v>
      </c>
      <c r="G231" s="7" t="s">
        <v>227</v>
      </c>
      <c r="H231" s="7" t="s">
        <v>211</v>
      </c>
      <c r="I231" s="6" t="s">
        <v>149</v>
      </c>
      <c r="J231" s="8" t="s">
        <v>298</v>
      </c>
      <c r="K231" s="6" t="s">
        <v>294</v>
      </c>
    </row>
    <row r="232" customFormat="false" ht="90.25" hidden="false" customHeight="false" outlineLevel="0" collapsed="false">
      <c r="A232" s="6" t="s">
        <v>262</v>
      </c>
      <c r="B232" s="6" t="s">
        <v>27</v>
      </c>
      <c r="C232" s="7" t="s">
        <v>70</v>
      </c>
      <c r="D232" s="6" t="s">
        <v>51</v>
      </c>
      <c r="E232" s="6" t="s">
        <v>146</v>
      </c>
      <c r="F232" s="6" t="s">
        <v>299</v>
      </c>
      <c r="G232" s="7" t="s">
        <v>300</v>
      </c>
      <c r="H232" s="7" t="s">
        <v>211</v>
      </c>
      <c r="I232" s="6" t="s">
        <v>149</v>
      </c>
      <c r="J232" s="8" t="s">
        <v>292</v>
      </c>
      <c r="K232" s="6" t="s">
        <v>301</v>
      </c>
    </row>
    <row r="233" customFormat="false" ht="77.6" hidden="false" customHeight="false" outlineLevel="0" collapsed="false">
      <c r="A233" s="6" t="s">
        <v>262</v>
      </c>
      <c r="B233" s="6" t="s">
        <v>27</v>
      </c>
      <c r="C233" s="7" t="s">
        <v>70</v>
      </c>
      <c r="D233" s="6" t="s">
        <v>51</v>
      </c>
      <c r="E233" s="6" t="s">
        <v>146</v>
      </c>
      <c r="F233" s="6" t="s">
        <v>302</v>
      </c>
      <c r="G233" s="7" t="s">
        <v>303</v>
      </c>
      <c r="H233" s="7" t="s">
        <v>211</v>
      </c>
      <c r="I233" s="6" t="s">
        <v>149</v>
      </c>
      <c r="J233" s="8" t="s">
        <v>304</v>
      </c>
      <c r="K233" s="6" t="s">
        <v>294</v>
      </c>
    </row>
    <row r="234" customFormat="false" ht="77.6" hidden="false" customHeight="false" outlineLevel="0" collapsed="false">
      <c r="A234" s="6" t="s">
        <v>262</v>
      </c>
      <c r="B234" s="6" t="s">
        <v>27</v>
      </c>
      <c r="C234" s="7" t="s">
        <v>70</v>
      </c>
      <c r="D234" s="6" t="s">
        <v>51</v>
      </c>
      <c r="E234" s="6" t="s">
        <v>146</v>
      </c>
      <c r="F234" s="6" t="s">
        <v>234</v>
      </c>
      <c r="G234" s="7" t="s">
        <v>305</v>
      </c>
      <c r="H234" s="7" t="s">
        <v>211</v>
      </c>
      <c r="I234" s="6" t="s">
        <v>149</v>
      </c>
      <c r="J234" s="8" t="s">
        <v>292</v>
      </c>
      <c r="K234" s="6" t="s">
        <v>294</v>
      </c>
    </row>
    <row r="235" customFormat="false" ht="77.6" hidden="false" customHeight="false" outlineLevel="0" collapsed="false">
      <c r="A235" s="6" t="s">
        <v>262</v>
      </c>
      <c r="B235" s="6" t="s">
        <v>27</v>
      </c>
      <c r="C235" s="7" t="s">
        <v>103</v>
      </c>
      <c r="D235" s="6" t="s">
        <v>29</v>
      </c>
      <c r="E235" s="6" t="s">
        <v>146</v>
      </c>
      <c r="F235" s="6" t="s">
        <v>306</v>
      </c>
      <c r="G235" s="7" t="s">
        <v>307</v>
      </c>
      <c r="H235" s="6" t="s">
        <v>148</v>
      </c>
      <c r="I235" s="6" t="s">
        <v>149</v>
      </c>
      <c r="J235" s="8" t="s">
        <v>308</v>
      </c>
      <c r="K235" s="6" t="s">
        <v>309</v>
      </c>
    </row>
    <row r="236" customFormat="false" ht="64.9" hidden="false" customHeight="false" outlineLevel="0" collapsed="false">
      <c r="A236" s="6" t="s">
        <v>262</v>
      </c>
      <c r="B236" s="6" t="s">
        <v>27</v>
      </c>
      <c r="C236" s="7" t="s">
        <v>103</v>
      </c>
      <c r="D236" s="6" t="s">
        <v>29</v>
      </c>
      <c r="E236" s="6" t="s">
        <v>146</v>
      </c>
      <c r="F236" s="6" t="s">
        <v>310</v>
      </c>
      <c r="G236" s="7"/>
      <c r="H236" s="6" t="s">
        <v>148</v>
      </c>
      <c r="I236" s="6" t="s">
        <v>149</v>
      </c>
      <c r="J236" s="8" t="s">
        <v>311</v>
      </c>
      <c r="K236" s="6" t="s">
        <v>288</v>
      </c>
    </row>
    <row r="237" customFormat="false" ht="102.95" hidden="false" customHeight="false" outlineLevel="0" collapsed="false">
      <c r="A237" s="6" t="s">
        <v>262</v>
      </c>
      <c r="B237" s="6" t="s">
        <v>27</v>
      </c>
      <c r="C237" s="7" t="s">
        <v>103</v>
      </c>
      <c r="D237" s="6" t="s">
        <v>29</v>
      </c>
      <c r="E237" s="6" t="s">
        <v>146</v>
      </c>
      <c r="F237" s="6" t="s">
        <v>312</v>
      </c>
      <c r="G237" s="7" t="s">
        <v>313</v>
      </c>
      <c r="H237" s="6" t="s">
        <v>148</v>
      </c>
      <c r="I237" s="6" t="s">
        <v>149</v>
      </c>
      <c r="J237" s="8" t="s">
        <v>314</v>
      </c>
      <c r="K237" s="6" t="s">
        <v>315</v>
      </c>
    </row>
    <row r="238" customFormat="false" ht="64.9" hidden="false" customHeight="false" outlineLevel="0" collapsed="false">
      <c r="A238" s="6" t="s">
        <v>262</v>
      </c>
      <c r="B238" s="6" t="s">
        <v>27</v>
      </c>
      <c r="C238" s="7" t="s">
        <v>103</v>
      </c>
      <c r="D238" s="6" t="s">
        <v>51</v>
      </c>
      <c r="E238" s="6" t="s">
        <v>146</v>
      </c>
      <c r="F238" s="6" t="s">
        <v>249</v>
      </c>
      <c r="G238" s="7" t="s">
        <v>316</v>
      </c>
      <c r="H238" s="6" t="s">
        <v>148</v>
      </c>
      <c r="I238" s="6" t="s">
        <v>149</v>
      </c>
      <c r="J238" s="8" t="s">
        <v>317</v>
      </c>
      <c r="K238" s="6" t="s">
        <v>318</v>
      </c>
    </row>
    <row r="239" customFormat="false" ht="90.25" hidden="false" customHeight="false" outlineLevel="0" collapsed="false">
      <c r="A239" s="6" t="s">
        <v>262</v>
      </c>
      <c r="B239" s="6" t="s">
        <v>27</v>
      </c>
      <c r="C239" s="7" t="s">
        <v>103</v>
      </c>
      <c r="D239" s="6" t="s">
        <v>51</v>
      </c>
      <c r="E239" s="6" t="s">
        <v>146</v>
      </c>
      <c r="F239" s="6" t="s">
        <v>319</v>
      </c>
      <c r="G239" s="7"/>
      <c r="H239" s="6" t="s">
        <v>148</v>
      </c>
      <c r="I239" s="6" t="s">
        <v>149</v>
      </c>
      <c r="J239" s="8" t="s">
        <v>320</v>
      </c>
      <c r="K239" s="6" t="s">
        <v>321</v>
      </c>
    </row>
    <row r="240" customFormat="false" ht="64.9" hidden="false" customHeight="false" outlineLevel="0" collapsed="false">
      <c r="A240" s="6" t="s">
        <v>262</v>
      </c>
      <c r="B240" s="6" t="s">
        <v>27</v>
      </c>
      <c r="C240" s="7" t="s">
        <v>28</v>
      </c>
      <c r="D240" s="6" t="s">
        <v>29</v>
      </c>
      <c r="E240" s="6" t="s">
        <v>155</v>
      </c>
      <c r="F240" s="6" t="s">
        <v>322</v>
      </c>
      <c r="G240" s="7"/>
      <c r="H240" s="6" t="s">
        <v>148</v>
      </c>
      <c r="I240" s="6" t="s">
        <v>149</v>
      </c>
      <c r="J240" s="8" t="s">
        <v>323</v>
      </c>
      <c r="K240" s="6" t="s">
        <v>324</v>
      </c>
    </row>
    <row r="241" customFormat="false" ht="15" hidden="false" customHeight="false" outlineLevel="0" collapsed="false">
      <c r="A241" s="9" t="s">
        <v>262</v>
      </c>
      <c r="B241" s="9" t="s">
        <v>27</v>
      </c>
      <c r="C241" s="10" t="s">
        <v>28</v>
      </c>
      <c r="D241" s="9" t="s">
        <v>51</v>
      </c>
      <c r="E241" s="9" t="s">
        <v>155</v>
      </c>
      <c r="F241" s="10"/>
      <c r="G241" s="10"/>
      <c r="H241" s="10"/>
      <c r="I241" s="10"/>
      <c r="J241" s="10"/>
      <c r="K241" s="9" t="s">
        <v>145</v>
      </c>
    </row>
    <row r="242" customFormat="false" ht="15" hidden="false" customHeight="false" outlineLevel="0" collapsed="false">
      <c r="A242" s="9" t="s">
        <v>262</v>
      </c>
      <c r="B242" s="9" t="s">
        <v>27</v>
      </c>
      <c r="C242" s="10" t="s">
        <v>70</v>
      </c>
      <c r="D242" s="9" t="s">
        <v>29</v>
      </c>
      <c r="E242" s="9" t="s">
        <v>165</v>
      </c>
      <c r="F242" s="10"/>
      <c r="G242" s="10"/>
      <c r="H242" s="10"/>
      <c r="I242" s="10"/>
      <c r="J242" s="10"/>
      <c r="K242" s="9" t="s">
        <v>145</v>
      </c>
    </row>
    <row r="243" customFormat="false" ht="15" hidden="false" customHeight="false" outlineLevel="0" collapsed="false">
      <c r="A243" s="9" t="s">
        <v>262</v>
      </c>
      <c r="B243" s="9" t="s">
        <v>27</v>
      </c>
      <c r="C243" s="10" t="s">
        <v>70</v>
      </c>
      <c r="D243" s="9" t="s">
        <v>51</v>
      </c>
      <c r="E243" s="9" t="s">
        <v>165</v>
      </c>
      <c r="F243" s="10"/>
      <c r="G243" s="10"/>
      <c r="H243" s="10"/>
      <c r="I243" s="10"/>
      <c r="J243" s="10"/>
      <c r="K243" s="9" t="s">
        <v>145</v>
      </c>
    </row>
    <row r="244" customFormat="false" ht="15" hidden="false" customHeight="false" outlineLevel="0" collapsed="false">
      <c r="A244" s="9" t="s">
        <v>262</v>
      </c>
      <c r="B244" s="9" t="s">
        <v>27</v>
      </c>
      <c r="C244" s="10" t="s">
        <v>103</v>
      </c>
      <c r="D244" s="9" t="s">
        <v>29</v>
      </c>
      <c r="E244" s="9" t="s">
        <v>165</v>
      </c>
      <c r="F244" s="10"/>
      <c r="G244" s="10"/>
      <c r="H244" s="10"/>
      <c r="I244" s="10"/>
      <c r="J244" s="10"/>
      <c r="K244" s="9" t="s">
        <v>145</v>
      </c>
    </row>
    <row r="245" customFormat="false" ht="15" hidden="false" customHeight="false" outlineLevel="0" collapsed="false">
      <c r="A245" s="9" t="s">
        <v>262</v>
      </c>
      <c r="B245" s="9" t="s">
        <v>27</v>
      </c>
      <c r="C245" s="10" t="s">
        <v>103</v>
      </c>
      <c r="D245" s="9" t="s">
        <v>51</v>
      </c>
      <c r="E245" s="9" t="s">
        <v>165</v>
      </c>
      <c r="F245" s="10"/>
      <c r="G245" s="10"/>
      <c r="H245" s="10"/>
      <c r="I245" s="10"/>
      <c r="J245" s="10"/>
      <c r="K245" s="9" t="s">
        <v>145</v>
      </c>
    </row>
    <row r="246" customFormat="false" ht="15" hidden="false" customHeight="false" outlineLevel="0" collapsed="false">
      <c r="A246" s="9" t="s">
        <v>262</v>
      </c>
      <c r="B246" s="9" t="s">
        <v>27</v>
      </c>
      <c r="C246" s="10" t="s">
        <v>103</v>
      </c>
      <c r="D246" s="9" t="s">
        <v>29</v>
      </c>
      <c r="E246" s="9" t="s">
        <v>166</v>
      </c>
      <c r="F246" s="10"/>
      <c r="G246" s="10"/>
      <c r="H246" s="10"/>
      <c r="I246" s="10"/>
      <c r="J246" s="10"/>
      <c r="K246" s="9" t="s">
        <v>145</v>
      </c>
    </row>
    <row r="247" customFormat="false" ht="15" hidden="false" customHeight="false" outlineLevel="0" collapsed="false">
      <c r="A247" s="9" t="s">
        <v>262</v>
      </c>
      <c r="B247" s="9" t="s">
        <v>27</v>
      </c>
      <c r="C247" s="10" t="s">
        <v>103</v>
      </c>
      <c r="D247" s="9" t="s">
        <v>51</v>
      </c>
      <c r="E247" s="9" t="s">
        <v>166</v>
      </c>
      <c r="F247" s="10"/>
      <c r="G247" s="10"/>
      <c r="H247" s="10"/>
      <c r="I247" s="10"/>
      <c r="J247" s="10"/>
      <c r="K247" s="9" t="s">
        <v>145</v>
      </c>
    </row>
    <row r="248" customFormat="false" ht="15" hidden="false" customHeight="false" outlineLevel="0" collapsed="false">
      <c r="A248" s="9" t="s">
        <v>262</v>
      </c>
      <c r="B248" s="9" t="s">
        <v>27</v>
      </c>
      <c r="C248" s="10" t="s">
        <v>28</v>
      </c>
      <c r="D248" s="9" t="s">
        <v>29</v>
      </c>
      <c r="E248" s="9" t="s">
        <v>256</v>
      </c>
      <c r="F248" s="10"/>
      <c r="G248" s="10"/>
      <c r="H248" s="10"/>
      <c r="I248" s="10"/>
      <c r="J248" s="10"/>
      <c r="K248" s="9" t="s">
        <v>145</v>
      </c>
    </row>
    <row r="249" customFormat="false" ht="15" hidden="false" customHeight="false" outlineLevel="0" collapsed="false">
      <c r="A249" s="9" t="s">
        <v>262</v>
      </c>
      <c r="B249" s="9" t="s">
        <v>27</v>
      </c>
      <c r="C249" s="10" t="s">
        <v>28</v>
      </c>
      <c r="D249" s="9" t="s">
        <v>51</v>
      </c>
      <c r="E249" s="9" t="s">
        <v>256</v>
      </c>
      <c r="F249" s="10"/>
      <c r="G249" s="10"/>
      <c r="H249" s="10"/>
      <c r="I249" s="10"/>
      <c r="J249" s="10"/>
      <c r="K249" s="9" t="s">
        <v>145</v>
      </c>
    </row>
    <row r="250" customFormat="false" ht="15" hidden="false" customHeight="false" outlineLevel="0" collapsed="false">
      <c r="A250" s="9" t="s">
        <v>262</v>
      </c>
      <c r="B250" s="9" t="s">
        <v>27</v>
      </c>
      <c r="C250" s="10" t="s">
        <v>70</v>
      </c>
      <c r="D250" s="9" t="s">
        <v>29</v>
      </c>
      <c r="E250" s="9" t="s">
        <v>256</v>
      </c>
      <c r="F250" s="10"/>
      <c r="G250" s="10"/>
      <c r="H250" s="10"/>
      <c r="I250" s="10"/>
      <c r="J250" s="10"/>
      <c r="K250" s="9" t="s">
        <v>145</v>
      </c>
    </row>
    <row r="251" customFormat="false" ht="15" hidden="false" customHeight="false" outlineLevel="0" collapsed="false">
      <c r="A251" s="9" t="s">
        <v>262</v>
      </c>
      <c r="B251" s="9" t="s">
        <v>27</v>
      </c>
      <c r="C251" s="10" t="s">
        <v>70</v>
      </c>
      <c r="D251" s="9" t="s">
        <v>51</v>
      </c>
      <c r="E251" s="9" t="s">
        <v>256</v>
      </c>
      <c r="F251" s="10"/>
      <c r="G251" s="10"/>
      <c r="H251" s="10"/>
      <c r="I251" s="10"/>
      <c r="J251" s="10"/>
      <c r="K251" s="9" t="s">
        <v>145</v>
      </c>
    </row>
    <row r="252" customFormat="false" ht="15" hidden="false" customHeight="false" outlineLevel="0" collapsed="false">
      <c r="A252" s="9" t="s">
        <v>262</v>
      </c>
      <c r="B252" s="9" t="s">
        <v>27</v>
      </c>
      <c r="C252" s="10" t="s">
        <v>103</v>
      </c>
      <c r="D252" s="9" t="s">
        <v>29</v>
      </c>
      <c r="E252" s="9" t="s">
        <v>256</v>
      </c>
      <c r="F252" s="10"/>
      <c r="G252" s="10"/>
      <c r="H252" s="10"/>
      <c r="I252" s="10"/>
      <c r="J252" s="10"/>
      <c r="K252" s="9" t="s">
        <v>145</v>
      </c>
    </row>
    <row r="253" customFormat="false" ht="15" hidden="false" customHeight="false" outlineLevel="0" collapsed="false">
      <c r="A253" s="9" t="s">
        <v>262</v>
      </c>
      <c r="B253" s="9" t="s">
        <v>27</v>
      </c>
      <c r="C253" s="10" t="s">
        <v>103</v>
      </c>
      <c r="D253" s="9" t="s">
        <v>51</v>
      </c>
      <c r="E253" s="9" t="s">
        <v>256</v>
      </c>
      <c r="F253" s="10"/>
      <c r="G253" s="10"/>
      <c r="H253" s="10"/>
      <c r="I253" s="10"/>
      <c r="J253" s="10"/>
      <c r="K253" s="9" t="s">
        <v>145</v>
      </c>
    </row>
    <row r="254" customFormat="false" ht="15" hidden="false" customHeight="false" outlineLevel="0" collapsed="false">
      <c r="A254" s="9" t="s">
        <v>262</v>
      </c>
      <c r="B254" s="9" t="s">
        <v>27</v>
      </c>
      <c r="C254" s="10" t="s">
        <v>28</v>
      </c>
      <c r="D254" s="9" t="s">
        <v>29</v>
      </c>
      <c r="E254" s="9" t="s">
        <v>257</v>
      </c>
      <c r="F254" s="10"/>
      <c r="G254" s="10"/>
      <c r="H254" s="10"/>
      <c r="I254" s="10"/>
      <c r="J254" s="10"/>
      <c r="K254" s="9" t="s">
        <v>145</v>
      </c>
    </row>
    <row r="255" customFormat="false" ht="15" hidden="false" customHeight="false" outlineLevel="0" collapsed="false">
      <c r="A255" s="9" t="s">
        <v>262</v>
      </c>
      <c r="B255" s="9" t="s">
        <v>27</v>
      </c>
      <c r="C255" s="10" t="s">
        <v>28</v>
      </c>
      <c r="D255" s="9" t="s">
        <v>51</v>
      </c>
      <c r="E255" s="9" t="s">
        <v>257</v>
      </c>
      <c r="F255" s="10"/>
      <c r="G255" s="10"/>
      <c r="H255" s="10"/>
      <c r="I255" s="10"/>
      <c r="J255" s="10"/>
      <c r="K255" s="9" t="s">
        <v>145</v>
      </c>
    </row>
    <row r="256" customFormat="false" ht="15" hidden="false" customHeight="false" outlineLevel="0" collapsed="false">
      <c r="A256" s="9" t="s">
        <v>262</v>
      </c>
      <c r="B256" s="9" t="s">
        <v>27</v>
      </c>
      <c r="C256" s="10" t="s">
        <v>70</v>
      </c>
      <c r="D256" s="9" t="s">
        <v>29</v>
      </c>
      <c r="E256" s="9" t="s">
        <v>257</v>
      </c>
      <c r="F256" s="10"/>
      <c r="G256" s="10"/>
      <c r="H256" s="10"/>
      <c r="I256" s="10"/>
      <c r="J256" s="10"/>
      <c r="K256" s="9" t="s">
        <v>145</v>
      </c>
    </row>
    <row r="257" customFormat="false" ht="15" hidden="false" customHeight="false" outlineLevel="0" collapsed="false">
      <c r="A257" s="9" t="s">
        <v>262</v>
      </c>
      <c r="B257" s="9" t="s">
        <v>27</v>
      </c>
      <c r="C257" s="10" t="s">
        <v>70</v>
      </c>
      <c r="D257" s="9" t="s">
        <v>51</v>
      </c>
      <c r="E257" s="9" t="s">
        <v>257</v>
      </c>
      <c r="F257" s="10"/>
      <c r="G257" s="10"/>
      <c r="H257" s="10"/>
      <c r="I257" s="10"/>
      <c r="J257" s="10"/>
      <c r="K257" s="9" t="s">
        <v>145</v>
      </c>
    </row>
    <row r="258" customFormat="false" ht="15" hidden="false" customHeight="false" outlineLevel="0" collapsed="false">
      <c r="A258" s="9" t="s">
        <v>262</v>
      </c>
      <c r="B258" s="9" t="s">
        <v>27</v>
      </c>
      <c r="C258" s="10" t="s">
        <v>103</v>
      </c>
      <c r="D258" s="9" t="s">
        <v>29</v>
      </c>
      <c r="E258" s="9" t="s">
        <v>257</v>
      </c>
      <c r="F258" s="10"/>
      <c r="G258" s="10"/>
      <c r="H258" s="10"/>
      <c r="I258" s="10"/>
      <c r="J258" s="10"/>
      <c r="K258" s="9" t="s">
        <v>145</v>
      </c>
    </row>
    <row r="259" customFormat="false" ht="15" hidden="false" customHeight="false" outlineLevel="0" collapsed="false">
      <c r="A259" s="9" t="s">
        <v>262</v>
      </c>
      <c r="B259" s="9" t="s">
        <v>27</v>
      </c>
      <c r="C259" s="10" t="s">
        <v>103</v>
      </c>
      <c r="D259" s="9" t="s">
        <v>51</v>
      </c>
      <c r="E259" s="9" t="s">
        <v>257</v>
      </c>
      <c r="F259" s="10"/>
      <c r="G259" s="10"/>
      <c r="H259" s="10"/>
      <c r="I259" s="10"/>
      <c r="J259" s="10"/>
      <c r="K259" s="9" t="s">
        <v>145</v>
      </c>
    </row>
    <row r="260" customFormat="false" ht="15" hidden="false" customHeight="false" outlineLevel="0" collapsed="false">
      <c r="A260" s="9" t="s">
        <v>262</v>
      </c>
      <c r="B260" s="9" t="s">
        <v>27</v>
      </c>
      <c r="C260" s="10" t="s">
        <v>28</v>
      </c>
      <c r="D260" s="9" t="s">
        <v>29</v>
      </c>
      <c r="E260" s="9" t="s">
        <v>258</v>
      </c>
      <c r="F260" s="10"/>
      <c r="G260" s="10"/>
      <c r="H260" s="10"/>
      <c r="I260" s="10"/>
      <c r="J260" s="10"/>
      <c r="K260" s="9" t="s">
        <v>145</v>
      </c>
    </row>
    <row r="261" customFormat="false" ht="15" hidden="false" customHeight="false" outlineLevel="0" collapsed="false">
      <c r="A261" s="9" t="s">
        <v>262</v>
      </c>
      <c r="B261" s="9" t="s">
        <v>27</v>
      </c>
      <c r="C261" s="10" t="s">
        <v>28</v>
      </c>
      <c r="D261" s="9" t="s">
        <v>51</v>
      </c>
      <c r="E261" s="9" t="s">
        <v>258</v>
      </c>
      <c r="F261" s="10"/>
      <c r="G261" s="10"/>
      <c r="H261" s="10"/>
      <c r="I261" s="10"/>
      <c r="J261" s="10"/>
      <c r="K261" s="9" t="s">
        <v>145</v>
      </c>
    </row>
    <row r="262" customFormat="false" ht="15" hidden="false" customHeight="false" outlineLevel="0" collapsed="false">
      <c r="A262" s="9" t="s">
        <v>262</v>
      </c>
      <c r="B262" s="9" t="s">
        <v>27</v>
      </c>
      <c r="C262" s="10" t="s">
        <v>70</v>
      </c>
      <c r="D262" s="9" t="s">
        <v>29</v>
      </c>
      <c r="E262" s="9" t="s">
        <v>258</v>
      </c>
      <c r="F262" s="10"/>
      <c r="G262" s="10"/>
      <c r="H262" s="10"/>
      <c r="I262" s="10"/>
      <c r="J262" s="10"/>
      <c r="K262" s="9" t="s">
        <v>145</v>
      </c>
    </row>
    <row r="263" customFormat="false" ht="15" hidden="false" customHeight="false" outlineLevel="0" collapsed="false">
      <c r="A263" s="9" t="s">
        <v>262</v>
      </c>
      <c r="B263" s="9" t="s">
        <v>27</v>
      </c>
      <c r="C263" s="10" t="s">
        <v>70</v>
      </c>
      <c r="D263" s="9" t="s">
        <v>51</v>
      </c>
      <c r="E263" s="9" t="s">
        <v>258</v>
      </c>
      <c r="F263" s="10"/>
      <c r="G263" s="10"/>
      <c r="H263" s="10"/>
      <c r="I263" s="10"/>
      <c r="J263" s="10"/>
      <c r="K263" s="9" t="s">
        <v>145</v>
      </c>
    </row>
    <row r="264" customFormat="false" ht="15" hidden="false" customHeight="false" outlineLevel="0" collapsed="false">
      <c r="A264" s="9" t="s">
        <v>262</v>
      </c>
      <c r="B264" s="9" t="s">
        <v>27</v>
      </c>
      <c r="C264" s="10" t="s">
        <v>103</v>
      </c>
      <c r="D264" s="9" t="s">
        <v>29</v>
      </c>
      <c r="E264" s="9" t="s">
        <v>258</v>
      </c>
      <c r="F264" s="10"/>
      <c r="G264" s="10"/>
      <c r="H264" s="10"/>
      <c r="I264" s="10"/>
      <c r="J264" s="10"/>
      <c r="K264" s="9" t="s">
        <v>145</v>
      </c>
    </row>
    <row r="265" customFormat="false" ht="15" hidden="false" customHeight="false" outlineLevel="0" collapsed="false">
      <c r="A265" s="9" t="s">
        <v>262</v>
      </c>
      <c r="B265" s="9" t="s">
        <v>27</v>
      </c>
      <c r="C265" s="10" t="s">
        <v>103</v>
      </c>
      <c r="D265" s="9" t="s">
        <v>51</v>
      </c>
      <c r="E265" s="9" t="s">
        <v>258</v>
      </c>
      <c r="F265" s="10"/>
      <c r="G265" s="10"/>
      <c r="H265" s="10"/>
      <c r="I265" s="10"/>
      <c r="J265" s="10"/>
      <c r="K265" s="9" t="s">
        <v>145</v>
      </c>
    </row>
  </sheetData>
  <autoFilter ref="A1:K265"/>
  <hyperlinks>
    <hyperlink ref="J2" r:id="rId1" display="https://sites.google.com/hanlin.com.tw/112chwebppt/1%E4%B8%8A"/>
    <hyperlink ref="J3" r:id="rId2" display="https://sites.google.com/hanlin.com.tw/112chwebppt/1%E4%B8%8A"/>
    <hyperlink ref="J4" r:id="rId3" display="https://sites.google.com/hanlin.com.tw/112chwebppt/1%E4%B8%8A"/>
    <hyperlink ref="J5" r:id="rId4" display="https://sites.google.com/hanlin.com.tw/112chwebppt/1%E4%B8%8A"/>
    <hyperlink ref="J6" r:id="rId5" display="https://sites.google.com/hanlin.com.tw/112chwebppt/1%E4%B8%8A"/>
    <hyperlink ref="J7" r:id="rId6" display="https://sites.google.com/hanlin.com.tw/112chwebppt/1%E4%B8%8A"/>
    <hyperlink ref="J8" r:id="rId7" display="https://sites.google.com/hanlin.com.tw/112chwebppt/1%E4%B8%8A"/>
    <hyperlink ref="J9" r:id="rId8" display="https://sites.google.com/hanlin.com.tw/112chwebppt/1%E4%B8%8A"/>
    <hyperlink ref="J10" r:id="rId9" display="https://sites.google.com/hanlin.com.tw/112chwebppt/1%E4%B8%8A"/>
    <hyperlink ref="J11" r:id="rId10" display="https://sites.google.com/hanlin.com.tw/112chwebppt/1%E4%B8%8A"/>
    <hyperlink ref="J12" r:id="rId11" display="https://sites.google.com/hanlin.com.tw/112chwebppt/1%E4%B8%8A"/>
    <hyperlink ref="J13" r:id="rId12" display="https://sites.google.com/hanlin.com.tw/112chwebppt/1%E4%B8%8A"/>
    <hyperlink ref="J14" r:id="rId13" display="https://sites.google.com/hanlin.com.tw/112chwebppt/1%E4%B8%8A"/>
    <hyperlink ref="J15" r:id="rId14" display="https://sites.google.com/hanlin.com.tw/112chwebppt/1%E4%B8%8A"/>
    <hyperlink ref="J16" r:id="rId15" display="https://sites.google.com/hanlin.com.tw/112chwebppt/1%E4%B8%8A"/>
    <hyperlink ref="J17" r:id="rId16" display="https://sites.google.com/hanlin.com.tw/112chwebppt/1%E4%B8%8B"/>
    <hyperlink ref="J18" r:id="rId17" display="https://sites.google.com/hanlin.com.tw/112chwebppt/1%E4%B8%8B"/>
    <hyperlink ref="J19" r:id="rId18" display="https://sites.google.com/hanlin.com.tw/112chwebppt/1%E4%B8%8B"/>
    <hyperlink ref="J20" r:id="rId19" display="https://sites.google.com/hanlin.com.tw/112chwebppt/1%E4%B8%8B"/>
    <hyperlink ref="J21" r:id="rId20" display="https://sites.google.com/hanlin.com.tw/112chwebppt/1%E4%B8%8B"/>
    <hyperlink ref="J22" r:id="rId21" display="https://sites.google.com/hanlin.com.tw/112chwebppt/1%E4%B8%8B"/>
    <hyperlink ref="J23" r:id="rId22" display="https://sites.google.com/hanlin.com.tw/112chwebppt/1%E4%B8%8B"/>
    <hyperlink ref="J24" r:id="rId23" display="https://sites.google.com/hanlin.com.tw/112chwebppt/1%E4%B8%8B"/>
    <hyperlink ref="J25" r:id="rId24" display="https://sites.google.com/hanlin.com.tw/112chwebppt/1%E4%B8%8B"/>
    <hyperlink ref="J26" r:id="rId25" display="https://sites.google.com/hanlin.com.tw/112chwebppt/1%E4%B8%8B"/>
    <hyperlink ref="J27" r:id="rId26" display="https://sites.google.com/hanlin.com.tw/112chwebppt/1%E4%B8%8B"/>
    <hyperlink ref="J28" r:id="rId27" display="https://sites.google.com/hanlin.com.tw/112chwebppt/1%E4%B8%8B"/>
    <hyperlink ref="J29" r:id="rId28" display="https://sites.google.com/hanlin.com.tw/112chwebppt/1%E4%B8%8B"/>
    <hyperlink ref="J30" r:id="rId29" display="https://sites.google.com/hanlin.com.tw/112chwebppt/1%E4%B8%8B"/>
    <hyperlink ref="J31" r:id="rId30" display="https://sites.google.com/hanlin.com.tw/112chwebppt/2%E4%B8%8A"/>
    <hyperlink ref="J32" r:id="rId31" display="https://sites.google.com/hanlin.com.tw/112chwebppt/2%E4%B8%8A"/>
    <hyperlink ref="J33" r:id="rId32" display="https://sites.google.com/hanlin.com.tw/112chwebppt/2%E4%B8%8A"/>
    <hyperlink ref="J34" r:id="rId33" display="https://sites.google.com/hanlin.com.tw/112chwebppt/2%E4%B8%8A"/>
    <hyperlink ref="J35" r:id="rId34" display="https://sites.google.com/hanlin.com.tw/112chwebppt/2%E4%B8%8A"/>
    <hyperlink ref="J36" r:id="rId35" display="https://sites.google.com/hanlin.com.tw/112chwebppt/2%E4%B8%8A"/>
    <hyperlink ref="J37" r:id="rId36" display="https://sites.google.com/hanlin.com.tw/112chwebppt/2%E4%B8%8A"/>
    <hyperlink ref="J38" r:id="rId37" display="https://sites.google.com/hanlin.com.tw/112chwebppt/2%E4%B8%8A"/>
    <hyperlink ref="J39" r:id="rId38" display="https://sites.google.com/hanlin.com.tw/112chwebppt/2%E4%B8%8A"/>
    <hyperlink ref="J40" r:id="rId39" display="https://sites.google.com/hanlin.com.tw/112chwebppt/2%E4%B8%8A"/>
    <hyperlink ref="J41" r:id="rId40" display="https://sites.google.com/hanlin.com.tw/112chwebppt/2%E4%B8%8A"/>
    <hyperlink ref="J42" r:id="rId41" display="https://sites.google.com/hanlin.com.tw/112chwebppt/2%E4%B8%8A"/>
    <hyperlink ref="J43" r:id="rId42" display="https://sites.google.com/hanlin.com.tw/112chwebppt/2%E4%B8%8A"/>
    <hyperlink ref="J44" r:id="rId43" display="https://sites.google.com/hanlin.com.tw/112chwebppt/2%E4%B8%8A"/>
    <hyperlink ref="J45" r:id="rId44" display="https://sites.google.com/hanlin.com.tw/112chwebppt/2%E4%B8%8A"/>
    <hyperlink ref="J46" r:id="rId45" display="https://sites.google.com/hanlin.com.tw/112chwebppt/2%E4%B8%8B"/>
    <hyperlink ref="J47" r:id="rId46" display="https://sites.google.com/hanlin.com.tw/112chwebppt/2%E4%B8%8B"/>
    <hyperlink ref="J48" r:id="rId47" display="https://sites.google.com/hanlin.com.tw/112chwebppt/2%E4%B8%8B"/>
    <hyperlink ref="J49" r:id="rId48" display="https://sites.google.com/hanlin.com.tw/112chwebppt/2%E4%B8%8B"/>
    <hyperlink ref="J50" r:id="rId49" display="https://sites.google.com/hanlin.com.tw/112chwebppt/2%E4%B8%8B"/>
    <hyperlink ref="J51" r:id="rId50" display="https://sites.google.com/hanlin.com.tw/112chwebppt/2%E4%B8%8B"/>
    <hyperlink ref="J52" r:id="rId51" display="https://sites.google.com/hanlin.com.tw/112chwebppt/2%E4%B8%8B"/>
    <hyperlink ref="J53" r:id="rId52" display="https://sites.google.com/hanlin.com.tw/112chwebppt/2%E4%B8%8B"/>
    <hyperlink ref="J54" r:id="rId53" display="https://sites.google.com/hanlin.com.tw/112chwebppt/2%E4%B8%8B"/>
    <hyperlink ref="J55" r:id="rId54" display="https://sites.google.com/hanlin.com.tw/112chwebppt/2%E4%B8%8B"/>
    <hyperlink ref="J56" r:id="rId55" display="https://sites.google.com/hanlin.com.tw/112chwebppt/2%E4%B8%8B"/>
    <hyperlink ref="J57" r:id="rId56" display="https://sites.google.com/hanlin.com.tw/112chwebppt/2%E4%B8%8B"/>
    <hyperlink ref="J58" r:id="rId57" display="https://sites.google.com/hanlin.com.tw/112chwebppt/2%E4%B8%8B"/>
    <hyperlink ref="J59" r:id="rId58" display="https://sites.google.com/hanlin.com.tw/112chwebppt/2%E4%B8%8B"/>
    <hyperlink ref="J60" r:id="rId59" display="https://sites.google.com/hanlin.com.tw/112chwebppt/2%E4%B8%8B"/>
    <hyperlink ref="J61" r:id="rId60" display="https://sites.google.com/hanlin.com.tw/112chwebppt/3%E4%B8%8A"/>
    <hyperlink ref="J62" r:id="rId61" display="https://sites.google.com/hanlin.com.tw/112chwebppt/3%E4%B8%8A"/>
    <hyperlink ref="J63" r:id="rId62" display="https://sites.google.com/hanlin.com.tw/112chwebppt/3%E4%B8%8A"/>
    <hyperlink ref="J64" r:id="rId63" display="https://sites.google.com/hanlin.com.tw/112chwebppt/3%E4%B8%8A"/>
    <hyperlink ref="J65" r:id="rId64" display="https://sites.google.com/hanlin.com.tw/112chwebppt/3%E4%B8%8A"/>
    <hyperlink ref="J66" r:id="rId65" display="https://sites.google.com/hanlin.com.tw/112chwebppt/3%E4%B8%8A"/>
    <hyperlink ref="J67" r:id="rId66" display="https://sites.google.com/hanlin.com.tw/112chwebppt/3%E4%B8%8A"/>
    <hyperlink ref="J68" r:id="rId67" display="https://sites.google.com/hanlin.com.tw/112chwebppt/3%E4%B8%8A"/>
    <hyperlink ref="J69" r:id="rId68" display="https://sites.google.com/hanlin.com.tw/112chwebppt/3%E4%B8%8A"/>
    <hyperlink ref="J70" r:id="rId69" display="https://sites.google.com/hanlin.com.tw/112chwebppt/3%E4%B8%8A"/>
    <hyperlink ref="J71" r:id="rId70" display="https://sites.google.com/hanlin.com.tw/112chwebppt/3%E4%B8%8A"/>
    <hyperlink ref="J72" r:id="rId71" display="https://sites.google.com/hanlin.com.tw/112chwebppt/3%E4%B8%8A"/>
    <hyperlink ref="J73" r:id="rId72" display="https://sites.google.com/hanlin.com.tw/112chwebppt/3%E4%B8%8A"/>
    <hyperlink ref="J74" r:id="rId73" display="https://sites.google.com/hanlin.com.tw/112chwebppt/3%E4%B8%8B"/>
    <hyperlink ref="J75" r:id="rId74" display="https://sites.google.com/hanlin.com.tw/112chwebppt/3%E4%B8%8B"/>
    <hyperlink ref="J76" r:id="rId75" display="https://sites.google.com/hanlin.com.tw/112chwebppt/3%E4%B8%8B"/>
    <hyperlink ref="J77" r:id="rId76" display="https://sites.google.com/hanlin.com.tw/112chwebppt/3%E4%B8%8B"/>
    <hyperlink ref="J78" r:id="rId77" display="https://sites.google.com/hanlin.com.tw/112chwebppt/3%E4%B8%8B"/>
    <hyperlink ref="J79" r:id="rId78" display="https://sites.google.com/hanlin.com.tw/112chwebppt/3%E4%B8%8B"/>
    <hyperlink ref="J80" r:id="rId79" display="https://sites.google.com/hanlin.com.tw/112chwebppt/3%E4%B8%8B"/>
    <hyperlink ref="J81" r:id="rId80" display="https://sites.google.com/hanlin.com.tw/112chwebppt/3%E4%B8%8B"/>
    <hyperlink ref="J82" r:id="rId81" display="https://sites.google.com/hanlin.com.tw/112chwebppt/3%E4%B8%8B"/>
    <hyperlink ref="J83" r:id="rId82" display="https://website.hle.com.tw/market/jr/%E6%95%99%E6%9D%90/%E6%95%99%E6%9D%90%E6%A8%A3%E6%9B%B8/%E7%BF%B0%E6%9E%97%E5%9C%8B%E4%B8%AD%E8%8B%B1%E8%AA%9E%E4%B8%83%E4%B8%8A%E8%AA%B2%E6%9C%AC.pdf"/>
    <hyperlink ref="J84" r:id="rId83" display="https://website.hle.com.tw/market/jr/%E6%95%99%E6%9D%90/%E6%95%99%E6%9D%90%E6%A8%A3%E6%9B%B8/%E7%BF%B0%E6%9E%97%E5%9C%8B%E4%B8%AD%E8%8B%B1%E8%AA%9E%E4%B8%83%E4%B8%8A%E8%AA%B2%E6%9C%AC.pdf"/>
    <hyperlink ref="J85" r:id="rId84" display="https://website.hle.com.tw/market/jr/%E6%95%99%E6%9D%90/%E6%95%99%E6%9D%90%E6%A8%A3%E6%9B%B8/%E7%BF%B0%E6%9E%97%E5%9C%8B%E4%B8%AD%E8%8B%B1%E8%AA%9E%E4%B8%83%E4%B8%8A%E8%AA%B2%E6%9C%AC.pdf"/>
    <hyperlink ref="J86" r:id="rId85" display="https://website.hle.com.tw/market/jr/%E6%95%99%E6%9D%90/%E6%95%99%E6%9D%90%E6%A8%A3%E6%9B%B8/%E7%BF%B0%E6%9E%97%E5%9C%8B%E4%B8%AD%E8%8B%B1%E8%AA%9E%E4%B8%83%E4%B8%8A%E8%AA%B2%E6%9C%AC.pdf"/>
    <hyperlink ref="J87" r:id="rId86" display="https://website.hle.com.tw/market/jr/%E6%95%99%E6%9D%90/%E6%95%99%E6%9D%90%E6%A8%A3%E6%9B%B8/%E7%BF%B0%E6%9E%97%E5%9C%8B%E4%B8%AD%E8%8B%B1%E8%AA%9E%E4%B8%83%E4%B8%8A%E8%AA%B2%E6%9C%AC.pdf"/>
    <hyperlink ref="J88" r:id="rId87" display="https://website.hle.com.tw/market/jr/%E6%95%99%E6%9D%90/%E6%95%99%E6%9D%90%E6%A8%A3%E6%9B%B8/%E7%BF%B0%E6%9E%97%E5%9C%8B%E4%B8%AD%E8%8B%B1%E8%AA%9E%E4%B8%83%E4%B8%8A%E8%AA%B2%E6%9C%AC.pdf"/>
    <hyperlink ref="J89" r:id="rId88" display="https://website.hle.com.tw/market/jr/%E6%95%99%E6%9D%90/%E6%95%99%E6%9D%90%E6%A8%A3%E6%9B%B8/%E7%BF%B0%E6%9E%97%E5%9C%8B%E4%B8%AD%E8%8B%B1%E8%AA%9E%E4%B8%83%E4%B8%8A%E8%AA%B2%E6%9C%AC.pdf"/>
    <hyperlink ref="J95" r:id="rId89" display="https://www.junyiacademy.org/topics/h-m7a"/>
    <hyperlink ref="J96" r:id="rId90" display="https://www.junyiacademy.org/topics/h-m7a"/>
    <hyperlink ref="J97" r:id="rId91" display="https://www.junyiacademy.org/topics/h-m7a"/>
    <hyperlink ref="J104" r:id="rId92" display="https://www.lkjh.tp.edu.tw/wp-content/uploads/doc/lkjh212/114%E5%AD%B8%E5%B9%B4%E5%BA%A6%E7%AC%AC%E4%BA%8C%E5%AD%B8%E6%9C%9F%E8%A6%AA%E5%B8%AB%E5%BA%A7%E8%AB%87%E6%9C%83%E4%B8%83%E5%B9%B4%E7%B4%9A%E7%94%9F%E7%89%A9%E7%A7%91%E6%95%99%E5%AD%B8%E8%A8%88%E7%95%AB-%E9%99%B3%E6%9F%94%E5%AE%89(%E4%B8%AD%E8%8B%B1%E6%96%87%E7%89%88).pdf"/>
    <hyperlink ref="J105" r:id="rId93" display="https://www.lkjh.tp.edu.tw/wp-content/uploads/doc/lkjh212/114%E5%AD%B8%E5%B9%B4%E5%BA%A6%E7%AC%AC%E4%BA%8C%E5%AD%B8%E6%9C%9F%E8%A6%AA%E5%B8%AB%E5%BA%A7%E8%AB%87%E6%9C%83%E4%B8%83%E5%B9%B4%E7%B4%9A%E7%94%9F%E7%89%A9%E7%A7%91%E6%95%99%E5%AD%B8%E8%A8%88%E7%95%AB-%E9%99%B3%E6%9F%94%E5%AE%89(%E4%B8%AD%E8%8B%B1%E6%96%87%E7%89%88).pdf"/>
    <hyperlink ref="J106" r:id="rId94" display="https://www.lkjh.tp.edu.tw/wp-content/uploads/doc/lkjh212/114%E5%AD%B8%E5%B9%B4%E5%BA%A6%E7%AC%AC%E4%BA%8C%E5%AD%B8%E6%9C%9F%E8%A6%AA%E5%B8%AB%E5%BA%A7%E8%AB%87%E6%9C%83%E4%B8%83%E5%B9%B4%E7%B4%9A%E7%94%9F%E7%89%A9%E7%A7%91%E6%95%99%E5%AD%B8%E8%A8%88%E7%95%AB-%E9%99%B3%E6%9F%94%E5%AE%89(%E4%B8%AD%E8%8B%B1%E6%96%87%E7%89%88).pdf"/>
    <hyperlink ref="J107" r:id="rId95" display="https://www.lkjh.tp.edu.tw/wp-content/uploads/doc/lkjh212/114%E5%AD%B8%E5%B9%B4%E5%BA%A6%E7%AC%AC%E4%BA%8C%E5%AD%B8%E6%9C%9F%E8%A6%AA%E5%B8%AB%E5%BA%A7%E8%AB%87%E6%9C%83%E4%B8%83%E5%B9%B4%E7%B4%9A%E7%94%9F%E7%89%A9%E7%A7%91%E6%95%99%E5%AD%B8%E8%A8%88%E7%95%AB-%E9%99%B3%E6%9F%94%E5%AE%89(%E4%B8%AD%E8%8B%B1%E6%96%87%E7%89%88).pdf"/>
    <hyperlink ref="J108" r:id="rId96" display="https://www.lkjh.tp.edu.tw/wp-content/uploads/doc/lkjh212/114%E5%AD%B8%E5%B9%B4%E5%BA%A6%E7%AC%AC%E4%BA%8C%E5%AD%B8%E6%9C%9F%E8%A6%AA%E5%B8%AB%E5%BA%A7%E8%AB%87%E6%9C%83%E4%B8%83%E5%B9%B4%E7%B4%9A%E7%94%9F%E7%89%A9%E7%A7%91%E6%95%99%E5%AD%B8%E8%A8%88%E7%95%AB-%E9%99%B3%E6%9F%94%E5%AE%89(%E4%B8%AD%E8%8B%B1%E6%96%87%E7%89%88).pdf"/>
    <hyperlink ref="J133" r:id="rId97" display="https://www.nmjh.tp.edu.tw/wp-content/uploads/doc/nmjh332/114七年級國語文領域.pdf"/>
    <hyperlink ref="J134" r:id="rId98" display="https://acerksy.pixnet.net/blog/posts/14220018170"/>
    <hyperlink ref="J135" r:id="rId99" display="https://acerksy.pixnet.net/blog/posts/14220018170"/>
    <hyperlink ref="J136" r:id="rId100" display="https://acerksy.pixnet.net/blog/posts/14220018170"/>
    <hyperlink ref="J139" r:id="rId101" display="https://digitalmaster.knsh.com.tw/all/video/j/mandarin_page.html?l1=8%E4%B8%8B&amp;l2=%E8%87%AA%E4%B8%80%E3%80%80%E9%81%8B%E5%8B%95%E5%AE%B6%E7%9A%84%E9%A2%A8%E5%BA%A6"/>
    <hyperlink ref="J148" r:id="rId102" display="https://www.learnmode.net/course/592128/content"/>
    <hyperlink ref="J149" r:id="rId103" display="https://www.learnmode.net/course/592128/content"/>
    <hyperlink ref="J150" r:id="rId104" display="https://www.learnmode.net/course/592128/content"/>
    <hyperlink ref="J151" r:id="rId105" display="https://www.junyiacademy.org/topics/k-m7a"/>
    <hyperlink ref="J152" r:id="rId106" display="https://www.junyiacademy.org/topics/k-m7a"/>
    <hyperlink ref="J153" r:id="rId107" display="https://www.junyiacademy.org/topics/k-m7a"/>
    <hyperlink ref="J154" r:id="rId108" display="https://www.junyiacademy.org/topics/k-m7a"/>
    <hyperlink ref="J155" r:id="rId109" display="https://www.junyiacademy.org/topics/k-m7a"/>
    <hyperlink ref="J156" r:id="rId110" display="https://www.junyiacademy.org/topics/k-m7a"/>
    <hyperlink ref="J157" r:id="rId111" display="https://www.junyiacademy.org/topics/k-m8a"/>
    <hyperlink ref="J158" r:id="rId112" display="https://www.junyiacademy.org/topics/k-m8a"/>
    <hyperlink ref="J159" r:id="rId113" display="https://www.junyiacademy.org/topics/k-m8a"/>
    <hyperlink ref="J160" r:id="rId114" display="https://www.junyiacademy.org/topics/k-m8a"/>
    <hyperlink ref="J161" r:id="rId115" display="https://www.junyiacademy.org/topics/k-m8a"/>
    <hyperlink ref="J162" r:id="rId116" display="https://www.learnmode.net/course/638732/content"/>
    <hyperlink ref="J163" r:id="rId117" display="https://www.learnmode.net/course/638732/content"/>
    <hyperlink ref="J164" r:id="rId118" display="https://www.learnmode.net/course/638732/content"/>
    <hyperlink ref="J165" r:id="rId119" display="https://www.learnmode.net/course/638732/content"/>
    <hyperlink ref="J166" r:id="rId120" display="https://digitalmaster.knsh.com.tw/ju/math/webgames/B5.html"/>
    <hyperlink ref="J167" r:id="rId121" display="https://digitalmaster.knsh.com.tw/ju/math/webgames/B5.html"/>
    <hyperlink ref="J168" r:id="rId122" display="https://digitalmaster.knsh.com.tw/ju/math/webgames/B5.html"/>
    <hyperlink ref="J169" r:id="rId123" display="https://digitalmaster.knsh.com.tw/all/video/j/math_page.html?l1=%E7%BF%92%E4%BD%9C%E8%A7%A3%E9%A1%8C&amp;l2=9%E4%B8%8B"/>
    <hyperlink ref="J170" r:id="rId124" display="https://digitalmaster.knsh.com.tw/all/video/j/math_page.html?l1=%E7%BF%92%E4%BD%9C%E8%A7%A3%E9%A1%8C&amp;l2=9%E4%B8%8B"/>
    <hyperlink ref="J171" r:id="rId125" display="https://digitalmaster.knsh.com.tw/ju/math/webgames/B6.html"/>
    <hyperlink ref="J195" r:id="rId126" display="https://digitalmaster.knsh.com.tw/all/video/j/cs_page.html?l1=8%E4%B8%8B&amp;l2=%E7%AC%AC3%E8%AA%B2%E3%80%80%E7%8A%AF%E7%BD%AA%E8%88%87%E5%88%91%E7%BD%B0"/>
    <hyperlink ref="J198" r:id="rId127" display="https://course.cyc.edu.tw/upfile/course110/sub1/14793292177358929.pdf"/>
    <hyperlink ref="J199" r:id="rId128" display="https://course.cyc.edu.tw/upfile/course110/sub1/14793292177358929.pdf"/>
    <hyperlink ref="J200" r:id="rId129" display="https://course.cyc.edu.tw/upfile/course110/sub1/14793292177358929.pdf"/>
    <hyperlink ref="J201" r:id="rId130" display="https://course.cyc.edu.tw/upfile/course110/sub1/14793292177358929.pdf"/>
    <hyperlink ref="J202" r:id="rId131" display="https://course.cyc.edu.tw/upfile/course110/sub1/14793292177358929.pdf"/>
    <hyperlink ref="J203" r:id="rId132" display="https://course.cyc.edu.tw/upfile/course110/sub1/14793292177358929.pdf"/>
    <hyperlink ref="J204" r:id="rId133" display="https://course.cyc.edu.tw/upfile/course110/sub1/14793292177358929.pdf"/>
    <hyperlink ref="J205" r:id="rId134" display="https://course.cyc.edu.tw/upfile/course110/sub1/14793292177358929.pdf"/>
    <hyperlink ref="J206" r:id="rId135" display="https://course.cyc.edu.tw/upfile/course110/sub1/14793292177358929.pdf"/>
    <hyperlink ref="J218" r:id="rId136" display="https://www.junyiacademy.org/topics/n-m7a"/>
    <hyperlink ref="J219" r:id="rId137" display="https://www.junyiacademy.org/topics/n-m7a"/>
    <hyperlink ref="J220" r:id="rId138" display="https://www.junyiacademy.org/topics/n-m7a"/>
    <hyperlink ref="J221" r:id="rId139" display="https://junyiacademy.org/n-m7b-c01"/>
    <hyperlink ref="J222" r:id="rId140" display="https://www.junyiacademy.org/topics/n-m7a"/>
    <hyperlink ref="J223" r:id="rId141" display="https://www.junyiacademy.org/topics/n-m7a"/>
    <hyperlink ref="J224" r:id="rId142" display="https://www.junyiacademy.org/topics/n-m7a"/>
    <hyperlink ref="J225" r:id="rId143" display="https://www.junyiacademy.org/topics/n-m7a"/>
    <hyperlink ref="J226" r:id="rId144" display="https://www.junyiacademy.org/topics/n-m7a"/>
    <hyperlink ref="J227" r:id="rId145" display="https://www.junyiacademy.org/topics/n-m8a"/>
    <hyperlink ref="J228" r:id="rId146" display="https://www.junyiacademy.org/topics/n-m8a"/>
    <hyperlink ref="J229" r:id="rId147" display="https://www.junyiacademy.org/topics/n-m8a"/>
    <hyperlink ref="J230" r:id="rId148" display="https://www.junyiacademy.org/topics/n-m8a"/>
    <hyperlink ref="J231" r:id="rId149" display="https://www.junyiacademy.org/topics/n-m8b-c01"/>
    <hyperlink ref="J232" r:id="rId150" display="https://www.junyiacademy.org/topics/n-m8a"/>
    <hyperlink ref="J233" r:id="rId151" display="https://www.junyiacademy.org/topics/n-m8b-c03"/>
    <hyperlink ref="J234" r:id="rId152" display="https://www.junyiacademy.org/topics/n-m8a"/>
    <hyperlink ref="J235" r:id="rId153" display="https://www.junyiacademy.org/n-m9a-c01"/>
    <hyperlink ref="J236" r:id="rId154" display="https://www.junyiacademy.org/topics/math-9"/>
    <hyperlink ref="J237" r:id="rId155" display="https://www.junyiacademy.org/videos/GRSPmQ04hB0?topic=course-compare%2Fmath-juni%2Fmath-9%2Fn-m9a%2Fn-m9a-c03%2Fn-m9a-c03-1"/>
    <hyperlink ref="J238" r:id="rId156" display="https://www.junyiacademy.org/exercise/n-m9bch3-2-4a?parent-topic-id=n-m9b-c02-1"/>
    <hyperlink ref="J239" r:id="rId157" display="https://www.junyiacademy.org/n-m9b-c03"/>
    <hyperlink ref="J240" r:id="rId158" display="https://www.junyiacademy.org/exercises/njbsb7cb?topic=junyi-science%2Fscience-juni%2Ftmp_js%2Fn-s7a%2Fn-s7a-ch1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59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6"/>
    <col collapsed="false" customWidth="true" hidden="false" outlineLevel="0" max="4" min="4" style="0" width="18"/>
    <col collapsed="false" customWidth="true" hidden="false" outlineLevel="0" max="5" min="5" style="0" width="10"/>
    <col collapsed="false" customWidth="true" hidden="false" outlineLevel="0" max="6" min="6" style="0" width="34"/>
    <col collapsed="false" customWidth="true" hidden="false" outlineLevel="0" max="7" min="7" style="0" width="60"/>
    <col collapsed="false" customWidth="true" hidden="false" outlineLevel="0" max="8" min="8" style="0" width="8"/>
    <col collapsed="false" customWidth="true" hidden="false" outlineLevel="0" max="9" min="9" style="0" width="14"/>
    <col collapsed="false" customWidth="true" hidden="false" outlineLevel="0" max="10" min="10" style="0" width="50"/>
    <col collapsed="false" customWidth="true" hidden="false" outlineLevel="0" max="11" min="11" style="0" width="24"/>
  </cols>
  <sheetData>
    <row r="1" customFormat="false" ht="15" hidden="false" customHeight="false" outlineLevel="0" collapsed="false">
      <c r="A1" s="5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5" t="s">
        <v>21</v>
      </c>
      <c r="H1" s="5" t="s">
        <v>22</v>
      </c>
      <c r="I1" s="5" t="s">
        <v>23</v>
      </c>
      <c r="J1" s="5" t="s">
        <v>24</v>
      </c>
      <c r="K1" s="5" t="s">
        <v>25</v>
      </c>
    </row>
    <row r="2" customFormat="false" ht="15" hidden="false" customHeight="false" outlineLevel="0" collapsed="false">
      <c r="A2" s="9" t="s">
        <v>262</v>
      </c>
      <c r="B2" s="9" t="s">
        <v>325</v>
      </c>
      <c r="C2" s="10" t="s">
        <v>326</v>
      </c>
      <c r="D2" s="9" t="s">
        <v>327</v>
      </c>
      <c r="E2" s="9" t="s">
        <v>30</v>
      </c>
      <c r="F2" s="10"/>
      <c r="G2" s="10"/>
      <c r="H2" s="10"/>
      <c r="I2" s="10"/>
      <c r="J2" s="10"/>
      <c r="K2" s="9" t="s">
        <v>145</v>
      </c>
    </row>
    <row r="3" customFormat="false" ht="15" hidden="false" customHeight="false" outlineLevel="0" collapsed="false">
      <c r="A3" s="9" t="s">
        <v>262</v>
      </c>
      <c r="B3" s="9" t="s">
        <v>325</v>
      </c>
      <c r="C3" s="10" t="s">
        <v>326</v>
      </c>
      <c r="D3" s="9" t="s">
        <v>328</v>
      </c>
      <c r="E3" s="9" t="s">
        <v>30</v>
      </c>
      <c r="F3" s="10"/>
      <c r="G3" s="10"/>
      <c r="H3" s="10"/>
      <c r="I3" s="10"/>
      <c r="J3" s="10"/>
      <c r="K3" s="9" t="s">
        <v>145</v>
      </c>
    </row>
    <row r="4" customFormat="false" ht="15" hidden="false" customHeight="false" outlineLevel="0" collapsed="false">
      <c r="A4" s="9" t="s">
        <v>262</v>
      </c>
      <c r="B4" s="9" t="s">
        <v>325</v>
      </c>
      <c r="C4" s="10" t="s">
        <v>329</v>
      </c>
      <c r="D4" s="9" t="s">
        <v>330</v>
      </c>
      <c r="E4" s="9" t="s">
        <v>30</v>
      </c>
      <c r="F4" s="10"/>
      <c r="G4" s="10"/>
      <c r="H4" s="10"/>
      <c r="I4" s="10"/>
      <c r="J4" s="10"/>
      <c r="K4" s="9" t="s">
        <v>145</v>
      </c>
    </row>
    <row r="5" customFormat="false" ht="15" hidden="false" customHeight="false" outlineLevel="0" collapsed="false">
      <c r="A5" s="9" t="s">
        <v>262</v>
      </c>
      <c r="B5" s="9" t="s">
        <v>325</v>
      </c>
      <c r="C5" s="10" t="s">
        <v>329</v>
      </c>
      <c r="D5" s="9" t="s">
        <v>331</v>
      </c>
      <c r="E5" s="9" t="s">
        <v>30</v>
      </c>
      <c r="F5" s="10"/>
      <c r="G5" s="10"/>
      <c r="H5" s="10"/>
      <c r="I5" s="10"/>
      <c r="J5" s="10"/>
      <c r="K5" s="9" t="s">
        <v>145</v>
      </c>
    </row>
    <row r="6" customFormat="false" ht="15" hidden="false" customHeight="false" outlineLevel="0" collapsed="false">
      <c r="A6" s="9" t="s">
        <v>262</v>
      </c>
      <c r="B6" s="9" t="s">
        <v>325</v>
      </c>
      <c r="C6" s="10" t="s">
        <v>332</v>
      </c>
      <c r="D6" s="9" t="s">
        <v>333</v>
      </c>
      <c r="E6" s="9" t="s">
        <v>30</v>
      </c>
      <c r="F6" s="10"/>
      <c r="G6" s="10"/>
      <c r="H6" s="10"/>
      <c r="I6" s="10"/>
      <c r="J6" s="10"/>
      <c r="K6" s="9" t="s">
        <v>145</v>
      </c>
    </row>
    <row r="7" customFormat="false" ht="15" hidden="false" customHeight="false" outlineLevel="0" collapsed="false">
      <c r="A7" s="9" t="s">
        <v>262</v>
      </c>
      <c r="B7" s="9" t="s">
        <v>325</v>
      </c>
      <c r="C7" s="10" t="s">
        <v>332</v>
      </c>
      <c r="D7" s="9" t="s">
        <v>334</v>
      </c>
      <c r="E7" s="9" t="s">
        <v>30</v>
      </c>
      <c r="F7" s="10"/>
      <c r="G7" s="10"/>
      <c r="H7" s="10"/>
      <c r="I7" s="10"/>
      <c r="J7" s="10"/>
      <c r="K7" s="9" t="s">
        <v>145</v>
      </c>
    </row>
    <row r="8" customFormat="false" ht="26.85" hidden="false" customHeight="false" outlineLevel="0" collapsed="false">
      <c r="A8" s="9" t="s">
        <v>262</v>
      </c>
      <c r="B8" s="9" t="s">
        <v>325</v>
      </c>
      <c r="C8" s="10"/>
      <c r="D8" s="9" t="s">
        <v>335</v>
      </c>
      <c r="E8" s="9" t="s">
        <v>30</v>
      </c>
      <c r="F8" s="10"/>
      <c r="G8" s="10"/>
      <c r="H8" s="10"/>
      <c r="I8" s="10"/>
      <c r="J8" s="10"/>
      <c r="K8" s="9" t="s">
        <v>145</v>
      </c>
    </row>
    <row r="9" customFormat="false" ht="26.85" hidden="false" customHeight="false" outlineLevel="0" collapsed="false">
      <c r="A9" s="9" t="s">
        <v>262</v>
      </c>
      <c r="B9" s="9" t="s">
        <v>325</v>
      </c>
      <c r="C9" s="10"/>
      <c r="D9" s="9" t="s">
        <v>336</v>
      </c>
      <c r="E9" s="9" t="s">
        <v>30</v>
      </c>
      <c r="F9" s="10"/>
      <c r="G9" s="10"/>
      <c r="H9" s="10"/>
      <c r="I9" s="10"/>
      <c r="J9" s="10"/>
      <c r="K9" s="9" t="s">
        <v>145</v>
      </c>
    </row>
    <row r="10" customFormat="false" ht="26.85" hidden="false" customHeight="false" outlineLevel="0" collapsed="false">
      <c r="A10" s="9" t="s">
        <v>262</v>
      </c>
      <c r="B10" s="9" t="s">
        <v>325</v>
      </c>
      <c r="C10" s="10"/>
      <c r="D10" s="9" t="s">
        <v>337</v>
      </c>
      <c r="E10" s="9" t="s">
        <v>30</v>
      </c>
      <c r="F10" s="10"/>
      <c r="G10" s="10"/>
      <c r="H10" s="10"/>
      <c r="I10" s="10"/>
      <c r="J10" s="10"/>
      <c r="K10" s="9" t="s">
        <v>145</v>
      </c>
    </row>
    <row r="11" customFormat="false" ht="26.85" hidden="false" customHeight="false" outlineLevel="0" collapsed="false">
      <c r="A11" s="9" t="s">
        <v>262</v>
      </c>
      <c r="B11" s="9" t="s">
        <v>325</v>
      </c>
      <c r="C11" s="10"/>
      <c r="D11" s="9" t="s">
        <v>338</v>
      </c>
      <c r="E11" s="9" t="s">
        <v>30</v>
      </c>
      <c r="F11" s="10"/>
      <c r="G11" s="10"/>
      <c r="H11" s="10"/>
      <c r="I11" s="10"/>
      <c r="J11" s="10"/>
      <c r="K11" s="9" t="s">
        <v>145</v>
      </c>
    </row>
    <row r="12" customFormat="false" ht="15" hidden="false" customHeight="false" outlineLevel="0" collapsed="false">
      <c r="A12" s="9" t="s">
        <v>262</v>
      </c>
      <c r="B12" s="9" t="s">
        <v>325</v>
      </c>
      <c r="C12" s="10" t="s">
        <v>326</v>
      </c>
      <c r="D12" s="9" t="s">
        <v>327</v>
      </c>
      <c r="E12" s="9" t="s">
        <v>132</v>
      </c>
      <c r="F12" s="10"/>
      <c r="G12" s="10"/>
      <c r="H12" s="10"/>
      <c r="I12" s="10"/>
      <c r="J12" s="10"/>
      <c r="K12" s="9" t="s">
        <v>145</v>
      </c>
    </row>
    <row r="13" customFormat="false" ht="15" hidden="false" customHeight="false" outlineLevel="0" collapsed="false">
      <c r="A13" s="9" t="s">
        <v>262</v>
      </c>
      <c r="B13" s="9" t="s">
        <v>325</v>
      </c>
      <c r="C13" s="10" t="s">
        <v>326</v>
      </c>
      <c r="D13" s="9" t="s">
        <v>328</v>
      </c>
      <c r="E13" s="9" t="s">
        <v>132</v>
      </c>
      <c r="F13" s="10"/>
      <c r="G13" s="10"/>
      <c r="H13" s="10"/>
      <c r="I13" s="10"/>
      <c r="J13" s="10"/>
      <c r="K13" s="9" t="s">
        <v>145</v>
      </c>
    </row>
    <row r="14" customFormat="false" ht="15" hidden="false" customHeight="false" outlineLevel="0" collapsed="false">
      <c r="A14" s="9" t="s">
        <v>262</v>
      </c>
      <c r="B14" s="9" t="s">
        <v>325</v>
      </c>
      <c r="C14" s="10" t="s">
        <v>329</v>
      </c>
      <c r="D14" s="9" t="s">
        <v>330</v>
      </c>
      <c r="E14" s="9" t="s">
        <v>132</v>
      </c>
      <c r="F14" s="10"/>
      <c r="G14" s="10"/>
      <c r="H14" s="10"/>
      <c r="I14" s="10"/>
      <c r="J14" s="10"/>
      <c r="K14" s="9" t="s">
        <v>145</v>
      </c>
    </row>
    <row r="15" customFormat="false" ht="15" hidden="false" customHeight="false" outlineLevel="0" collapsed="false">
      <c r="A15" s="9" t="s">
        <v>262</v>
      </c>
      <c r="B15" s="9" t="s">
        <v>325</v>
      </c>
      <c r="C15" s="10" t="s">
        <v>329</v>
      </c>
      <c r="D15" s="9" t="s">
        <v>331</v>
      </c>
      <c r="E15" s="9" t="s">
        <v>132</v>
      </c>
      <c r="F15" s="10"/>
      <c r="G15" s="10"/>
      <c r="H15" s="10"/>
      <c r="I15" s="10"/>
      <c r="J15" s="10"/>
      <c r="K15" s="9" t="s">
        <v>145</v>
      </c>
    </row>
    <row r="16" customFormat="false" ht="15" hidden="false" customHeight="false" outlineLevel="0" collapsed="false">
      <c r="A16" s="9" t="s">
        <v>262</v>
      </c>
      <c r="B16" s="9" t="s">
        <v>325</v>
      </c>
      <c r="C16" s="10" t="s">
        <v>332</v>
      </c>
      <c r="D16" s="9" t="s">
        <v>333</v>
      </c>
      <c r="E16" s="9" t="s">
        <v>132</v>
      </c>
      <c r="F16" s="10"/>
      <c r="G16" s="10"/>
      <c r="H16" s="10"/>
      <c r="I16" s="10"/>
      <c r="J16" s="10"/>
      <c r="K16" s="9" t="s">
        <v>145</v>
      </c>
    </row>
    <row r="17" customFormat="false" ht="15" hidden="false" customHeight="false" outlineLevel="0" collapsed="false">
      <c r="A17" s="9" t="s">
        <v>262</v>
      </c>
      <c r="B17" s="9" t="s">
        <v>325</v>
      </c>
      <c r="C17" s="10" t="s">
        <v>332</v>
      </c>
      <c r="D17" s="9" t="s">
        <v>334</v>
      </c>
      <c r="E17" s="9" t="s">
        <v>132</v>
      </c>
      <c r="F17" s="10"/>
      <c r="G17" s="10"/>
      <c r="H17" s="10"/>
      <c r="I17" s="10"/>
      <c r="J17" s="10"/>
      <c r="K17" s="9" t="s">
        <v>145</v>
      </c>
    </row>
    <row r="18" customFormat="false" ht="26.85" hidden="false" customHeight="false" outlineLevel="0" collapsed="false">
      <c r="A18" s="9" t="s">
        <v>262</v>
      </c>
      <c r="B18" s="9" t="s">
        <v>325</v>
      </c>
      <c r="C18" s="10"/>
      <c r="D18" s="9" t="s">
        <v>339</v>
      </c>
      <c r="E18" s="9" t="s">
        <v>132</v>
      </c>
      <c r="F18" s="10"/>
      <c r="G18" s="10"/>
      <c r="H18" s="10"/>
      <c r="I18" s="10"/>
      <c r="J18" s="10"/>
      <c r="K18" s="9" t="s">
        <v>145</v>
      </c>
    </row>
    <row r="19" customFormat="false" ht="26.85" hidden="false" customHeight="false" outlineLevel="0" collapsed="false">
      <c r="A19" s="9" t="s">
        <v>262</v>
      </c>
      <c r="B19" s="9" t="s">
        <v>325</v>
      </c>
      <c r="C19" s="10"/>
      <c r="D19" s="9" t="s">
        <v>340</v>
      </c>
      <c r="E19" s="9" t="s">
        <v>132</v>
      </c>
      <c r="F19" s="10"/>
      <c r="G19" s="10"/>
      <c r="H19" s="10"/>
      <c r="I19" s="10"/>
      <c r="J19" s="10"/>
      <c r="K19" s="9" t="s">
        <v>145</v>
      </c>
    </row>
    <row r="20" customFormat="false" ht="120.85" hidden="false" customHeight="false" outlineLevel="0" collapsed="false">
      <c r="A20" s="9" t="s">
        <v>262</v>
      </c>
      <c r="B20" s="9" t="s">
        <v>325</v>
      </c>
      <c r="C20" s="10" t="s">
        <v>326</v>
      </c>
      <c r="D20" s="9" t="s">
        <v>327</v>
      </c>
      <c r="E20" s="9" t="s">
        <v>146</v>
      </c>
      <c r="F20" s="10"/>
      <c r="G20" s="10"/>
      <c r="H20" s="10"/>
      <c r="I20" s="10"/>
      <c r="J20" s="10"/>
      <c r="K20" s="9" t="s">
        <v>341</v>
      </c>
    </row>
    <row r="21" customFormat="false" ht="39.55" hidden="false" customHeight="false" outlineLevel="0" collapsed="false">
      <c r="A21" s="9" t="s">
        <v>262</v>
      </c>
      <c r="B21" s="9" t="s">
        <v>325</v>
      </c>
      <c r="C21" s="10" t="s">
        <v>326</v>
      </c>
      <c r="D21" s="9" t="s">
        <v>328</v>
      </c>
      <c r="E21" s="9" t="s">
        <v>146</v>
      </c>
      <c r="F21" s="10"/>
      <c r="G21" s="10"/>
      <c r="H21" s="10"/>
      <c r="I21" s="10"/>
      <c r="J21" s="10"/>
      <c r="K21" s="9" t="s">
        <v>342</v>
      </c>
    </row>
    <row r="22" customFormat="false" ht="15" hidden="false" customHeight="false" outlineLevel="0" collapsed="false">
      <c r="A22" s="9" t="s">
        <v>262</v>
      </c>
      <c r="B22" s="9" t="s">
        <v>325</v>
      </c>
      <c r="C22" s="10" t="s">
        <v>329</v>
      </c>
      <c r="D22" s="9" t="s">
        <v>343</v>
      </c>
      <c r="E22" s="9" t="s">
        <v>146</v>
      </c>
      <c r="F22" s="10"/>
      <c r="G22" s="10"/>
      <c r="H22" s="10"/>
      <c r="I22" s="10"/>
      <c r="J22" s="10"/>
      <c r="K22" s="9" t="s">
        <v>145</v>
      </c>
    </row>
    <row r="23" customFormat="false" ht="15" hidden="false" customHeight="false" outlineLevel="0" collapsed="false">
      <c r="A23" s="9" t="s">
        <v>262</v>
      </c>
      <c r="B23" s="9" t="s">
        <v>325</v>
      </c>
      <c r="C23" s="10" t="s">
        <v>329</v>
      </c>
      <c r="D23" s="9" t="s">
        <v>344</v>
      </c>
      <c r="E23" s="9" t="s">
        <v>146</v>
      </c>
      <c r="F23" s="10"/>
      <c r="G23" s="10"/>
      <c r="H23" s="10"/>
      <c r="I23" s="10"/>
      <c r="J23" s="10"/>
      <c r="K23" s="9" t="s">
        <v>145</v>
      </c>
    </row>
    <row r="24" customFormat="false" ht="15" hidden="false" customHeight="false" outlineLevel="0" collapsed="false">
      <c r="A24" s="9" t="s">
        <v>262</v>
      </c>
      <c r="B24" s="9" t="s">
        <v>325</v>
      </c>
      <c r="C24" s="10" t="s">
        <v>329</v>
      </c>
      <c r="D24" s="9" t="s">
        <v>345</v>
      </c>
      <c r="E24" s="9" t="s">
        <v>146</v>
      </c>
      <c r="F24" s="10"/>
      <c r="G24" s="10"/>
      <c r="H24" s="10"/>
      <c r="I24" s="10"/>
      <c r="J24" s="10"/>
      <c r="K24" s="9" t="s">
        <v>145</v>
      </c>
    </row>
    <row r="25" customFormat="false" ht="15" hidden="false" customHeight="false" outlineLevel="0" collapsed="false">
      <c r="A25" s="9" t="s">
        <v>262</v>
      </c>
      <c r="B25" s="9" t="s">
        <v>325</v>
      </c>
      <c r="C25" s="10" t="s">
        <v>329</v>
      </c>
      <c r="D25" s="9" t="s">
        <v>346</v>
      </c>
      <c r="E25" s="9" t="s">
        <v>146</v>
      </c>
      <c r="F25" s="10"/>
      <c r="G25" s="10"/>
      <c r="H25" s="10"/>
      <c r="I25" s="10"/>
      <c r="J25" s="10"/>
      <c r="K25" s="9" t="s">
        <v>145</v>
      </c>
    </row>
    <row r="26" customFormat="false" ht="15" hidden="false" customHeight="false" outlineLevel="0" collapsed="false">
      <c r="A26" s="9" t="s">
        <v>262</v>
      </c>
      <c r="B26" s="9" t="s">
        <v>325</v>
      </c>
      <c r="C26" s="10" t="s">
        <v>332</v>
      </c>
      <c r="D26" s="9" t="s">
        <v>347</v>
      </c>
      <c r="E26" s="9" t="s">
        <v>146</v>
      </c>
      <c r="F26" s="10"/>
      <c r="G26" s="10"/>
      <c r="H26" s="10"/>
      <c r="I26" s="10"/>
      <c r="J26" s="10"/>
      <c r="K26" s="9" t="s">
        <v>145</v>
      </c>
    </row>
    <row r="27" customFormat="false" ht="15" hidden="false" customHeight="false" outlineLevel="0" collapsed="false">
      <c r="A27" s="9" t="s">
        <v>262</v>
      </c>
      <c r="B27" s="9" t="s">
        <v>325</v>
      </c>
      <c r="C27" s="10" t="s">
        <v>332</v>
      </c>
      <c r="D27" s="9" t="s">
        <v>348</v>
      </c>
      <c r="E27" s="9" t="s">
        <v>146</v>
      </c>
      <c r="F27" s="10"/>
      <c r="G27" s="10"/>
      <c r="H27" s="10"/>
      <c r="I27" s="10"/>
      <c r="J27" s="10"/>
      <c r="K27" s="9" t="s">
        <v>145</v>
      </c>
    </row>
    <row r="28" customFormat="false" ht="15" hidden="false" customHeight="false" outlineLevel="0" collapsed="false">
      <c r="A28" s="9" t="s">
        <v>262</v>
      </c>
      <c r="B28" s="9" t="s">
        <v>325</v>
      </c>
      <c r="C28" s="10" t="s">
        <v>332</v>
      </c>
      <c r="D28" s="9" t="s">
        <v>349</v>
      </c>
      <c r="E28" s="9" t="s">
        <v>146</v>
      </c>
      <c r="F28" s="10"/>
      <c r="G28" s="10"/>
      <c r="H28" s="10"/>
      <c r="I28" s="10"/>
      <c r="J28" s="10"/>
      <c r="K28" s="9" t="s">
        <v>145</v>
      </c>
    </row>
    <row r="29" customFormat="false" ht="52.2" hidden="false" customHeight="false" outlineLevel="0" collapsed="false">
      <c r="A29" s="9" t="s">
        <v>262</v>
      </c>
      <c r="B29" s="9" t="s">
        <v>325</v>
      </c>
      <c r="C29" s="10" t="s">
        <v>332</v>
      </c>
      <c r="D29" s="9" t="s">
        <v>350</v>
      </c>
      <c r="E29" s="9" t="s">
        <v>146</v>
      </c>
      <c r="F29" s="10"/>
      <c r="G29" s="10"/>
      <c r="H29" s="10"/>
      <c r="I29" s="10"/>
      <c r="J29" s="10"/>
      <c r="K29" s="9" t="s">
        <v>351</v>
      </c>
    </row>
    <row r="30" customFormat="false" ht="39.55" hidden="false" customHeight="false" outlineLevel="0" collapsed="false">
      <c r="A30" s="9" t="s">
        <v>262</v>
      </c>
      <c r="B30" s="9" t="s">
        <v>325</v>
      </c>
      <c r="C30" s="10"/>
      <c r="D30" s="9" t="s">
        <v>352</v>
      </c>
      <c r="E30" s="9" t="s">
        <v>155</v>
      </c>
      <c r="F30" s="10"/>
      <c r="G30" s="10"/>
      <c r="H30" s="10"/>
      <c r="I30" s="9" t="s">
        <v>149</v>
      </c>
      <c r="J30" s="10"/>
      <c r="K30" s="9" t="s">
        <v>353</v>
      </c>
    </row>
    <row r="31" customFormat="false" ht="15" hidden="false" customHeight="false" outlineLevel="0" collapsed="false">
      <c r="A31" s="9" t="s">
        <v>262</v>
      </c>
      <c r="B31" s="9" t="s">
        <v>325</v>
      </c>
      <c r="C31" s="10"/>
      <c r="D31" s="9" t="s">
        <v>354</v>
      </c>
      <c r="E31" s="9" t="s">
        <v>155</v>
      </c>
      <c r="F31" s="10"/>
      <c r="G31" s="10"/>
      <c r="H31" s="10"/>
      <c r="I31" s="9" t="s">
        <v>149</v>
      </c>
      <c r="J31" s="10"/>
      <c r="K31" s="9" t="s">
        <v>145</v>
      </c>
    </row>
    <row r="32" customFormat="false" ht="39.55" hidden="false" customHeight="false" outlineLevel="0" collapsed="false">
      <c r="A32" s="9" t="s">
        <v>262</v>
      </c>
      <c r="B32" s="9" t="s">
        <v>325</v>
      </c>
      <c r="C32" s="10"/>
      <c r="D32" s="9" t="s">
        <v>355</v>
      </c>
      <c r="E32" s="9" t="s">
        <v>155</v>
      </c>
      <c r="F32" s="10"/>
      <c r="G32" s="10"/>
      <c r="H32" s="10"/>
      <c r="I32" s="9" t="s">
        <v>149</v>
      </c>
      <c r="J32" s="10"/>
      <c r="K32" s="9" t="s">
        <v>356</v>
      </c>
    </row>
    <row r="33" customFormat="false" ht="15" hidden="false" customHeight="false" outlineLevel="0" collapsed="false">
      <c r="A33" s="9" t="s">
        <v>262</v>
      </c>
      <c r="B33" s="9" t="s">
        <v>325</v>
      </c>
      <c r="C33" s="10"/>
      <c r="D33" s="9" t="s">
        <v>357</v>
      </c>
      <c r="E33" s="9" t="s">
        <v>155</v>
      </c>
      <c r="F33" s="10"/>
      <c r="G33" s="10"/>
      <c r="H33" s="10"/>
      <c r="I33" s="9" t="s">
        <v>149</v>
      </c>
      <c r="J33" s="10"/>
      <c r="K33" s="9" t="s">
        <v>145</v>
      </c>
    </row>
    <row r="34" customFormat="false" ht="15" hidden="false" customHeight="false" outlineLevel="0" collapsed="false">
      <c r="A34" s="9" t="s">
        <v>262</v>
      </c>
      <c r="B34" s="9" t="s">
        <v>325</v>
      </c>
      <c r="C34" s="10"/>
      <c r="D34" s="9" t="s">
        <v>358</v>
      </c>
      <c r="E34" s="9" t="s">
        <v>155</v>
      </c>
      <c r="F34" s="10"/>
      <c r="G34" s="10"/>
      <c r="H34" s="10"/>
      <c r="I34" s="9" t="s">
        <v>149</v>
      </c>
      <c r="J34" s="10"/>
      <c r="K34" s="9" t="s">
        <v>145</v>
      </c>
    </row>
    <row r="35" customFormat="false" ht="15" hidden="false" customHeight="false" outlineLevel="0" collapsed="false">
      <c r="A35" s="9" t="s">
        <v>262</v>
      </c>
      <c r="B35" s="9" t="s">
        <v>325</v>
      </c>
      <c r="C35" s="10"/>
      <c r="D35" s="9" t="s">
        <v>359</v>
      </c>
      <c r="E35" s="9" t="s">
        <v>155</v>
      </c>
      <c r="F35" s="10"/>
      <c r="G35" s="10"/>
      <c r="H35" s="10"/>
      <c r="I35" s="9" t="s">
        <v>149</v>
      </c>
      <c r="J35" s="10"/>
      <c r="K35" s="9" t="s">
        <v>145</v>
      </c>
    </row>
    <row r="36" customFormat="false" ht="15" hidden="false" customHeight="false" outlineLevel="0" collapsed="false">
      <c r="A36" s="9" t="s">
        <v>262</v>
      </c>
      <c r="B36" s="9" t="s">
        <v>325</v>
      </c>
      <c r="C36" s="10"/>
      <c r="D36" s="9" t="s">
        <v>360</v>
      </c>
      <c r="E36" s="9" t="s">
        <v>361</v>
      </c>
      <c r="F36" s="10"/>
      <c r="G36" s="10"/>
      <c r="H36" s="10"/>
      <c r="I36" s="9" t="s">
        <v>149</v>
      </c>
      <c r="J36" s="10"/>
      <c r="K36" s="9" t="s">
        <v>145</v>
      </c>
    </row>
    <row r="37" customFormat="false" ht="15" hidden="false" customHeight="false" outlineLevel="0" collapsed="false">
      <c r="A37" s="9" t="s">
        <v>262</v>
      </c>
      <c r="B37" s="9" t="s">
        <v>325</v>
      </c>
      <c r="C37" s="10"/>
      <c r="D37" s="9" t="s">
        <v>362</v>
      </c>
      <c r="E37" s="9" t="s">
        <v>361</v>
      </c>
      <c r="F37" s="10"/>
      <c r="G37" s="10"/>
      <c r="H37" s="10"/>
      <c r="I37" s="9" t="s">
        <v>149</v>
      </c>
      <c r="J37" s="10"/>
      <c r="K37" s="9" t="s">
        <v>145</v>
      </c>
    </row>
    <row r="38" customFormat="false" ht="15" hidden="false" customHeight="false" outlineLevel="0" collapsed="false">
      <c r="A38" s="9" t="s">
        <v>262</v>
      </c>
      <c r="B38" s="9" t="s">
        <v>325</v>
      </c>
      <c r="C38" s="10"/>
      <c r="D38" s="9" t="s">
        <v>363</v>
      </c>
      <c r="E38" s="9" t="s">
        <v>361</v>
      </c>
      <c r="F38" s="10"/>
      <c r="G38" s="10"/>
      <c r="H38" s="10"/>
      <c r="I38" s="9" t="s">
        <v>149</v>
      </c>
      <c r="J38" s="10"/>
      <c r="K38" s="9" t="s">
        <v>145</v>
      </c>
    </row>
    <row r="39" customFormat="false" ht="15" hidden="false" customHeight="false" outlineLevel="0" collapsed="false">
      <c r="A39" s="9" t="s">
        <v>262</v>
      </c>
      <c r="B39" s="9" t="s">
        <v>325</v>
      </c>
      <c r="C39" s="10"/>
      <c r="D39" s="9" t="s">
        <v>364</v>
      </c>
      <c r="E39" s="9" t="s">
        <v>361</v>
      </c>
      <c r="F39" s="10"/>
      <c r="G39" s="10"/>
      <c r="H39" s="10"/>
      <c r="I39" s="9" t="s">
        <v>149</v>
      </c>
      <c r="J39" s="10"/>
      <c r="K39" s="9" t="s">
        <v>145</v>
      </c>
    </row>
    <row r="40" customFormat="false" ht="15" hidden="false" customHeight="false" outlineLevel="0" collapsed="false">
      <c r="A40" s="9" t="s">
        <v>262</v>
      </c>
      <c r="B40" s="9" t="s">
        <v>325</v>
      </c>
      <c r="C40" s="10"/>
      <c r="D40" s="9" t="s">
        <v>365</v>
      </c>
      <c r="E40" s="9" t="s">
        <v>361</v>
      </c>
      <c r="F40" s="10"/>
      <c r="G40" s="10"/>
      <c r="H40" s="10"/>
      <c r="I40" s="9" t="s">
        <v>149</v>
      </c>
      <c r="J40" s="10"/>
      <c r="K40" s="9" t="s">
        <v>145</v>
      </c>
    </row>
    <row r="41" customFormat="false" ht="15" hidden="false" customHeight="false" outlineLevel="0" collapsed="false">
      <c r="A41" s="9" t="s">
        <v>262</v>
      </c>
      <c r="B41" s="9" t="s">
        <v>325</v>
      </c>
      <c r="C41" s="10"/>
      <c r="D41" s="9" t="s">
        <v>366</v>
      </c>
      <c r="E41" s="9" t="s">
        <v>361</v>
      </c>
      <c r="F41" s="10"/>
      <c r="G41" s="10"/>
      <c r="H41" s="10"/>
      <c r="I41" s="9" t="s">
        <v>149</v>
      </c>
      <c r="J41" s="10"/>
      <c r="K41" s="9" t="s">
        <v>145</v>
      </c>
    </row>
    <row r="42" customFormat="false" ht="141" hidden="false" customHeight="false" outlineLevel="0" collapsed="false">
      <c r="A42" s="6" t="s">
        <v>262</v>
      </c>
      <c r="B42" s="6" t="s">
        <v>325</v>
      </c>
      <c r="C42" s="7" t="s">
        <v>326</v>
      </c>
      <c r="D42" s="6" t="s">
        <v>367</v>
      </c>
      <c r="E42" s="6" t="s">
        <v>368</v>
      </c>
      <c r="F42" s="6" t="s">
        <v>369</v>
      </c>
      <c r="G42" s="7"/>
      <c r="H42" s="7" t="s">
        <v>370</v>
      </c>
      <c r="I42" s="6" t="s">
        <v>158</v>
      </c>
      <c r="J42" s="8" t="s">
        <v>371</v>
      </c>
      <c r="K42" s="6" t="s">
        <v>372</v>
      </c>
    </row>
    <row r="43" customFormat="false" ht="141" hidden="false" customHeight="false" outlineLevel="0" collapsed="false">
      <c r="A43" s="6" t="s">
        <v>262</v>
      </c>
      <c r="B43" s="6" t="s">
        <v>325</v>
      </c>
      <c r="C43" s="7" t="s">
        <v>326</v>
      </c>
      <c r="D43" s="6" t="s">
        <v>367</v>
      </c>
      <c r="E43" s="6" t="s">
        <v>368</v>
      </c>
      <c r="F43" s="6" t="s">
        <v>373</v>
      </c>
      <c r="G43" s="7"/>
      <c r="H43" s="7" t="s">
        <v>370</v>
      </c>
      <c r="I43" s="6" t="s">
        <v>158</v>
      </c>
      <c r="J43" s="8" t="s">
        <v>371</v>
      </c>
      <c r="K43" s="6" t="s">
        <v>372</v>
      </c>
    </row>
    <row r="44" customFormat="false" ht="141" hidden="false" customHeight="false" outlineLevel="0" collapsed="false">
      <c r="A44" s="6" t="s">
        <v>262</v>
      </c>
      <c r="B44" s="6" t="s">
        <v>325</v>
      </c>
      <c r="C44" s="7" t="s">
        <v>326</v>
      </c>
      <c r="D44" s="6" t="s">
        <v>367</v>
      </c>
      <c r="E44" s="6" t="s">
        <v>368</v>
      </c>
      <c r="F44" s="6" t="s">
        <v>374</v>
      </c>
      <c r="G44" s="7"/>
      <c r="H44" s="7" t="s">
        <v>370</v>
      </c>
      <c r="I44" s="6" t="s">
        <v>158</v>
      </c>
      <c r="J44" s="8" t="s">
        <v>371</v>
      </c>
      <c r="K44" s="6" t="s">
        <v>372</v>
      </c>
    </row>
    <row r="45" customFormat="false" ht="141" hidden="false" customHeight="false" outlineLevel="0" collapsed="false">
      <c r="A45" s="6" t="s">
        <v>262</v>
      </c>
      <c r="B45" s="6" t="s">
        <v>325</v>
      </c>
      <c r="C45" s="7" t="s">
        <v>326</v>
      </c>
      <c r="D45" s="6" t="s">
        <v>367</v>
      </c>
      <c r="E45" s="6" t="s">
        <v>368</v>
      </c>
      <c r="F45" s="6" t="s">
        <v>375</v>
      </c>
      <c r="G45" s="7"/>
      <c r="H45" s="7" t="s">
        <v>370</v>
      </c>
      <c r="I45" s="6" t="s">
        <v>158</v>
      </c>
      <c r="J45" s="8" t="s">
        <v>371</v>
      </c>
      <c r="K45" s="6" t="s">
        <v>372</v>
      </c>
    </row>
    <row r="46" customFormat="false" ht="128.35" hidden="false" customHeight="false" outlineLevel="0" collapsed="false">
      <c r="A46" s="6" t="s">
        <v>262</v>
      </c>
      <c r="B46" s="6" t="s">
        <v>325</v>
      </c>
      <c r="C46" s="7" t="s">
        <v>332</v>
      </c>
      <c r="D46" s="6" t="s">
        <v>376</v>
      </c>
      <c r="E46" s="6" t="s">
        <v>368</v>
      </c>
      <c r="F46" s="6" t="s">
        <v>377</v>
      </c>
      <c r="G46" s="7" t="s">
        <v>378</v>
      </c>
      <c r="H46" s="7" t="s">
        <v>379</v>
      </c>
      <c r="I46" s="6" t="s">
        <v>158</v>
      </c>
      <c r="J46" s="8" t="s">
        <v>380</v>
      </c>
      <c r="K46" s="6" t="s">
        <v>381</v>
      </c>
    </row>
    <row r="47" customFormat="false" ht="128.35" hidden="false" customHeight="false" outlineLevel="0" collapsed="false">
      <c r="A47" s="6" t="s">
        <v>262</v>
      </c>
      <c r="B47" s="6" t="s">
        <v>325</v>
      </c>
      <c r="C47" s="7" t="s">
        <v>332</v>
      </c>
      <c r="D47" s="6" t="s">
        <v>376</v>
      </c>
      <c r="E47" s="6" t="s">
        <v>368</v>
      </c>
      <c r="F47" s="6" t="s">
        <v>382</v>
      </c>
      <c r="G47" s="7" t="s">
        <v>383</v>
      </c>
      <c r="H47" s="7" t="s">
        <v>379</v>
      </c>
      <c r="I47" s="6" t="s">
        <v>158</v>
      </c>
      <c r="J47" s="8" t="s">
        <v>380</v>
      </c>
      <c r="K47" s="6" t="s">
        <v>381</v>
      </c>
    </row>
    <row r="48" customFormat="false" ht="15" hidden="false" customHeight="false" outlineLevel="0" collapsed="false">
      <c r="A48" s="9" t="s">
        <v>262</v>
      </c>
      <c r="B48" s="9" t="s">
        <v>325</v>
      </c>
      <c r="C48" s="10"/>
      <c r="D48" s="9" t="s">
        <v>384</v>
      </c>
      <c r="E48" s="9" t="s">
        <v>368</v>
      </c>
      <c r="F48" s="10"/>
      <c r="G48" s="10"/>
      <c r="H48" s="10"/>
      <c r="I48" s="9" t="s">
        <v>149</v>
      </c>
      <c r="J48" s="10"/>
      <c r="K48" s="9" t="s">
        <v>145</v>
      </c>
    </row>
    <row r="49" customFormat="false" ht="15" hidden="false" customHeight="false" outlineLevel="0" collapsed="false">
      <c r="A49" s="9" t="s">
        <v>262</v>
      </c>
      <c r="B49" s="9" t="s">
        <v>325</v>
      </c>
      <c r="C49" s="10"/>
      <c r="D49" s="9" t="s">
        <v>385</v>
      </c>
      <c r="E49" s="9" t="s">
        <v>368</v>
      </c>
      <c r="F49" s="10"/>
      <c r="G49" s="10"/>
      <c r="H49" s="10"/>
      <c r="I49" s="9" t="s">
        <v>149</v>
      </c>
      <c r="J49" s="10"/>
      <c r="K49" s="9" t="s">
        <v>145</v>
      </c>
    </row>
    <row r="50" customFormat="false" ht="15" hidden="false" customHeight="false" outlineLevel="0" collapsed="false">
      <c r="A50" s="9" t="s">
        <v>262</v>
      </c>
      <c r="B50" s="9" t="s">
        <v>325</v>
      </c>
      <c r="C50" s="10"/>
      <c r="D50" s="9" t="s">
        <v>386</v>
      </c>
      <c r="E50" s="9" t="s">
        <v>368</v>
      </c>
      <c r="F50" s="10"/>
      <c r="G50" s="10"/>
      <c r="H50" s="10"/>
      <c r="I50" s="9" t="s">
        <v>149</v>
      </c>
      <c r="J50" s="10"/>
      <c r="K50" s="9" t="s">
        <v>145</v>
      </c>
    </row>
    <row r="51" customFormat="false" ht="15" hidden="false" customHeight="false" outlineLevel="0" collapsed="false">
      <c r="A51" s="9" t="s">
        <v>262</v>
      </c>
      <c r="B51" s="9" t="s">
        <v>325</v>
      </c>
      <c r="C51" s="10"/>
      <c r="D51" s="9" t="s">
        <v>387</v>
      </c>
      <c r="E51" s="9" t="s">
        <v>368</v>
      </c>
      <c r="F51" s="10"/>
      <c r="G51" s="10"/>
      <c r="H51" s="10"/>
      <c r="I51" s="9" t="s">
        <v>149</v>
      </c>
      <c r="J51" s="10"/>
      <c r="K51" s="9" t="s">
        <v>145</v>
      </c>
    </row>
    <row r="52" customFormat="false" ht="15" hidden="false" customHeight="false" outlineLevel="0" collapsed="false">
      <c r="A52" s="9" t="s">
        <v>262</v>
      </c>
      <c r="B52" s="9" t="s">
        <v>325</v>
      </c>
      <c r="C52" s="10"/>
      <c r="D52" s="9" t="s">
        <v>388</v>
      </c>
      <c r="E52" s="9" t="s">
        <v>368</v>
      </c>
      <c r="F52" s="10"/>
      <c r="G52" s="10"/>
      <c r="H52" s="10"/>
      <c r="I52" s="9" t="s">
        <v>149</v>
      </c>
      <c r="J52" s="10"/>
      <c r="K52" s="9" t="s">
        <v>145</v>
      </c>
    </row>
    <row r="53" customFormat="false" ht="15" hidden="false" customHeight="false" outlineLevel="0" collapsed="false">
      <c r="A53" s="9" t="s">
        <v>262</v>
      </c>
      <c r="B53" s="9" t="s">
        <v>325</v>
      </c>
      <c r="C53" s="10"/>
      <c r="D53" s="9" t="s">
        <v>389</v>
      </c>
      <c r="E53" s="9" t="s">
        <v>368</v>
      </c>
      <c r="F53" s="10"/>
      <c r="G53" s="10"/>
      <c r="H53" s="10"/>
      <c r="I53" s="9" t="s">
        <v>149</v>
      </c>
      <c r="J53" s="10"/>
      <c r="K53" s="9" t="s">
        <v>145</v>
      </c>
    </row>
    <row r="54" customFormat="false" ht="15" hidden="false" customHeight="false" outlineLevel="0" collapsed="false">
      <c r="A54" s="9" t="s">
        <v>262</v>
      </c>
      <c r="B54" s="9" t="s">
        <v>325</v>
      </c>
      <c r="C54" s="10"/>
      <c r="D54" s="9" t="s">
        <v>390</v>
      </c>
      <c r="E54" s="9" t="s">
        <v>166</v>
      </c>
      <c r="F54" s="10"/>
      <c r="G54" s="10"/>
      <c r="H54" s="10"/>
      <c r="I54" s="9" t="s">
        <v>149</v>
      </c>
      <c r="J54" s="10"/>
      <c r="K54" s="9" t="s">
        <v>145</v>
      </c>
    </row>
    <row r="55" customFormat="false" ht="15" hidden="false" customHeight="false" outlineLevel="0" collapsed="false">
      <c r="A55" s="9" t="s">
        <v>262</v>
      </c>
      <c r="B55" s="9" t="s">
        <v>325</v>
      </c>
      <c r="C55" s="10"/>
      <c r="D55" s="9" t="s">
        <v>391</v>
      </c>
      <c r="E55" s="9" t="s">
        <v>166</v>
      </c>
      <c r="F55" s="10"/>
      <c r="G55" s="10"/>
      <c r="H55" s="10"/>
      <c r="I55" s="9" t="s">
        <v>149</v>
      </c>
      <c r="J55" s="10"/>
      <c r="K55" s="9" t="s">
        <v>145</v>
      </c>
    </row>
    <row r="56" customFormat="false" ht="15" hidden="false" customHeight="false" outlineLevel="0" collapsed="false">
      <c r="A56" s="9" t="s">
        <v>262</v>
      </c>
      <c r="B56" s="9" t="s">
        <v>325</v>
      </c>
      <c r="C56" s="10"/>
      <c r="D56" s="9" t="s">
        <v>392</v>
      </c>
      <c r="E56" s="9" t="s">
        <v>166</v>
      </c>
      <c r="F56" s="10"/>
      <c r="G56" s="10"/>
      <c r="H56" s="10"/>
      <c r="I56" s="9" t="s">
        <v>149</v>
      </c>
      <c r="J56" s="10"/>
      <c r="K56" s="9" t="s">
        <v>145</v>
      </c>
    </row>
    <row r="57" customFormat="false" ht="15" hidden="false" customHeight="false" outlineLevel="0" collapsed="false">
      <c r="A57" s="9" t="s">
        <v>262</v>
      </c>
      <c r="B57" s="9" t="s">
        <v>325</v>
      </c>
      <c r="C57" s="10"/>
      <c r="D57" s="9" t="s">
        <v>393</v>
      </c>
      <c r="E57" s="9" t="s">
        <v>166</v>
      </c>
      <c r="F57" s="10"/>
      <c r="G57" s="10"/>
      <c r="H57" s="10"/>
      <c r="I57" s="9" t="s">
        <v>149</v>
      </c>
      <c r="J57" s="10"/>
      <c r="K57" s="9" t="s">
        <v>145</v>
      </c>
    </row>
    <row r="58" customFormat="false" ht="15" hidden="false" customHeight="false" outlineLevel="0" collapsed="false">
      <c r="A58" s="9" t="s">
        <v>262</v>
      </c>
      <c r="B58" s="9" t="s">
        <v>325</v>
      </c>
      <c r="C58" s="10"/>
      <c r="D58" s="9" t="s">
        <v>394</v>
      </c>
      <c r="E58" s="9" t="s">
        <v>166</v>
      </c>
      <c r="F58" s="10"/>
      <c r="G58" s="10"/>
      <c r="H58" s="10"/>
      <c r="I58" s="9" t="s">
        <v>149</v>
      </c>
      <c r="J58" s="10"/>
      <c r="K58" s="9" t="s">
        <v>145</v>
      </c>
    </row>
    <row r="59" customFormat="false" ht="15" hidden="false" customHeight="false" outlineLevel="0" collapsed="false">
      <c r="A59" s="9" t="s">
        <v>262</v>
      </c>
      <c r="B59" s="9" t="s">
        <v>325</v>
      </c>
      <c r="C59" s="10"/>
      <c r="D59" s="9" t="s">
        <v>395</v>
      </c>
      <c r="E59" s="9" t="s">
        <v>166</v>
      </c>
      <c r="F59" s="10"/>
      <c r="G59" s="10"/>
      <c r="H59" s="10"/>
      <c r="I59" s="9" t="s">
        <v>149</v>
      </c>
      <c r="J59" s="10"/>
      <c r="K59" s="9" t="s">
        <v>145</v>
      </c>
    </row>
    <row r="60" customFormat="false" ht="26.85" hidden="false" customHeight="false" outlineLevel="0" collapsed="false">
      <c r="A60" s="9" t="s">
        <v>262</v>
      </c>
      <c r="B60" s="9" t="s">
        <v>325</v>
      </c>
      <c r="C60" s="10" t="s">
        <v>326</v>
      </c>
      <c r="D60" s="9" t="s">
        <v>327</v>
      </c>
      <c r="E60" s="9" t="s">
        <v>256</v>
      </c>
      <c r="F60" s="10"/>
      <c r="G60" s="10"/>
      <c r="H60" s="10"/>
      <c r="I60" s="10"/>
      <c r="J60" s="10"/>
      <c r="K60" s="9" t="s">
        <v>396</v>
      </c>
    </row>
    <row r="61" customFormat="false" ht="26.85" hidden="false" customHeight="false" outlineLevel="0" collapsed="false">
      <c r="A61" s="9" t="s">
        <v>262</v>
      </c>
      <c r="B61" s="9" t="s">
        <v>325</v>
      </c>
      <c r="C61" s="10" t="s">
        <v>326</v>
      </c>
      <c r="D61" s="9" t="s">
        <v>328</v>
      </c>
      <c r="E61" s="9" t="s">
        <v>256</v>
      </c>
      <c r="F61" s="10"/>
      <c r="G61" s="10"/>
      <c r="H61" s="10"/>
      <c r="I61" s="10"/>
      <c r="J61" s="10"/>
      <c r="K61" s="9" t="s">
        <v>396</v>
      </c>
    </row>
    <row r="62" customFormat="false" ht="26.85" hidden="false" customHeight="false" outlineLevel="0" collapsed="false">
      <c r="A62" s="9" t="s">
        <v>262</v>
      </c>
      <c r="B62" s="9" t="s">
        <v>325</v>
      </c>
      <c r="C62" s="10" t="s">
        <v>329</v>
      </c>
      <c r="D62" s="9" t="s">
        <v>330</v>
      </c>
      <c r="E62" s="9" t="s">
        <v>256</v>
      </c>
      <c r="F62" s="10"/>
      <c r="G62" s="10"/>
      <c r="H62" s="10"/>
      <c r="I62" s="10"/>
      <c r="J62" s="10"/>
      <c r="K62" s="9" t="s">
        <v>396</v>
      </c>
    </row>
    <row r="63" customFormat="false" ht="26.85" hidden="false" customHeight="false" outlineLevel="0" collapsed="false">
      <c r="A63" s="9" t="s">
        <v>262</v>
      </c>
      <c r="B63" s="9" t="s">
        <v>325</v>
      </c>
      <c r="C63" s="10"/>
      <c r="D63" s="9" t="s">
        <v>397</v>
      </c>
      <c r="E63" s="9" t="s">
        <v>256</v>
      </c>
      <c r="F63" s="10"/>
      <c r="G63" s="10"/>
      <c r="H63" s="10"/>
      <c r="I63" s="10"/>
      <c r="J63" s="10"/>
      <c r="K63" s="9" t="s">
        <v>396</v>
      </c>
    </row>
    <row r="64" customFormat="false" ht="26.85" hidden="false" customHeight="false" outlineLevel="0" collapsed="false">
      <c r="A64" s="9" t="s">
        <v>262</v>
      </c>
      <c r="B64" s="9" t="s">
        <v>325</v>
      </c>
      <c r="C64" s="10"/>
      <c r="D64" s="9" t="s">
        <v>398</v>
      </c>
      <c r="E64" s="9" t="s">
        <v>256</v>
      </c>
      <c r="F64" s="10"/>
      <c r="G64" s="10"/>
      <c r="H64" s="10"/>
      <c r="I64" s="10"/>
      <c r="J64" s="10"/>
      <c r="K64" s="9" t="s">
        <v>396</v>
      </c>
    </row>
    <row r="65" customFormat="false" ht="26.85" hidden="false" customHeight="false" outlineLevel="0" collapsed="false">
      <c r="A65" s="9" t="s">
        <v>262</v>
      </c>
      <c r="B65" s="9" t="s">
        <v>325</v>
      </c>
      <c r="C65" s="10"/>
      <c r="D65" s="9" t="s">
        <v>399</v>
      </c>
      <c r="E65" s="9" t="s">
        <v>256</v>
      </c>
      <c r="F65" s="10"/>
      <c r="G65" s="10"/>
      <c r="H65" s="10"/>
      <c r="I65" s="10"/>
      <c r="J65" s="10"/>
      <c r="K65" s="9" t="s">
        <v>396</v>
      </c>
    </row>
    <row r="66" customFormat="false" ht="26.85" hidden="false" customHeight="false" outlineLevel="0" collapsed="false">
      <c r="A66" s="9" t="s">
        <v>262</v>
      </c>
      <c r="B66" s="9" t="s">
        <v>325</v>
      </c>
      <c r="C66" s="10" t="s">
        <v>326</v>
      </c>
      <c r="D66" s="9" t="s">
        <v>327</v>
      </c>
      <c r="E66" s="9" t="s">
        <v>257</v>
      </c>
      <c r="F66" s="10"/>
      <c r="G66" s="10"/>
      <c r="H66" s="10"/>
      <c r="I66" s="10"/>
      <c r="J66" s="10"/>
      <c r="K66" s="9" t="s">
        <v>396</v>
      </c>
    </row>
    <row r="67" customFormat="false" ht="26.85" hidden="false" customHeight="false" outlineLevel="0" collapsed="false">
      <c r="A67" s="9" t="s">
        <v>262</v>
      </c>
      <c r="B67" s="9" t="s">
        <v>325</v>
      </c>
      <c r="C67" s="10" t="s">
        <v>326</v>
      </c>
      <c r="D67" s="9" t="s">
        <v>328</v>
      </c>
      <c r="E67" s="9" t="s">
        <v>257</v>
      </c>
      <c r="F67" s="10"/>
      <c r="G67" s="10"/>
      <c r="H67" s="10"/>
      <c r="I67" s="10"/>
      <c r="J67" s="10"/>
      <c r="K67" s="9" t="s">
        <v>396</v>
      </c>
    </row>
    <row r="68" customFormat="false" ht="26.85" hidden="false" customHeight="false" outlineLevel="0" collapsed="false">
      <c r="A68" s="9" t="s">
        <v>262</v>
      </c>
      <c r="B68" s="9" t="s">
        <v>325</v>
      </c>
      <c r="C68" s="10" t="s">
        <v>329</v>
      </c>
      <c r="D68" s="9" t="s">
        <v>330</v>
      </c>
      <c r="E68" s="9" t="s">
        <v>257</v>
      </c>
      <c r="F68" s="10"/>
      <c r="G68" s="10"/>
      <c r="H68" s="10"/>
      <c r="I68" s="10"/>
      <c r="J68" s="10"/>
      <c r="K68" s="9" t="s">
        <v>396</v>
      </c>
    </row>
    <row r="69" customFormat="false" ht="39.55" hidden="false" customHeight="false" outlineLevel="0" collapsed="false">
      <c r="A69" s="9" t="s">
        <v>262</v>
      </c>
      <c r="B69" s="9" t="s">
        <v>325</v>
      </c>
      <c r="C69" s="10"/>
      <c r="D69" s="9" t="s">
        <v>400</v>
      </c>
      <c r="E69" s="9" t="s">
        <v>257</v>
      </c>
      <c r="F69" s="10"/>
      <c r="G69" s="10"/>
      <c r="H69" s="10"/>
      <c r="I69" s="10"/>
      <c r="J69" s="10"/>
      <c r="K69" s="9" t="s">
        <v>396</v>
      </c>
    </row>
    <row r="70" customFormat="false" ht="26.85" hidden="false" customHeight="false" outlineLevel="0" collapsed="false">
      <c r="A70" s="9" t="s">
        <v>262</v>
      </c>
      <c r="B70" s="9" t="s">
        <v>325</v>
      </c>
      <c r="C70" s="10"/>
      <c r="D70" s="9" t="s">
        <v>401</v>
      </c>
      <c r="E70" s="9" t="s">
        <v>257</v>
      </c>
      <c r="F70" s="10"/>
      <c r="G70" s="10"/>
      <c r="H70" s="10"/>
      <c r="I70" s="10"/>
      <c r="J70" s="10"/>
      <c r="K70" s="9" t="s">
        <v>396</v>
      </c>
    </row>
    <row r="71" customFormat="false" ht="26.85" hidden="false" customHeight="false" outlineLevel="0" collapsed="false">
      <c r="A71" s="9" t="s">
        <v>262</v>
      </c>
      <c r="B71" s="9" t="s">
        <v>325</v>
      </c>
      <c r="C71" s="10"/>
      <c r="D71" s="9" t="s">
        <v>402</v>
      </c>
      <c r="E71" s="9" t="s">
        <v>257</v>
      </c>
      <c r="F71" s="10"/>
      <c r="G71" s="10"/>
      <c r="H71" s="10"/>
      <c r="I71" s="10"/>
      <c r="J71" s="10"/>
      <c r="K71" s="9" t="s">
        <v>396</v>
      </c>
    </row>
    <row r="72" customFormat="false" ht="26.85" hidden="false" customHeight="false" outlineLevel="0" collapsed="false">
      <c r="A72" s="9" t="s">
        <v>262</v>
      </c>
      <c r="B72" s="9" t="s">
        <v>325</v>
      </c>
      <c r="C72" s="10" t="s">
        <v>326</v>
      </c>
      <c r="D72" s="9" t="s">
        <v>327</v>
      </c>
      <c r="E72" s="9" t="s">
        <v>403</v>
      </c>
      <c r="F72" s="10"/>
      <c r="G72" s="10"/>
      <c r="H72" s="10"/>
      <c r="I72" s="10"/>
      <c r="J72" s="10"/>
      <c r="K72" s="9" t="s">
        <v>396</v>
      </c>
    </row>
    <row r="73" customFormat="false" ht="26.85" hidden="false" customHeight="false" outlineLevel="0" collapsed="false">
      <c r="A73" s="9" t="s">
        <v>262</v>
      </c>
      <c r="B73" s="9" t="s">
        <v>325</v>
      </c>
      <c r="C73" s="10" t="s">
        <v>326</v>
      </c>
      <c r="D73" s="9" t="s">
        <v>328</v>
      </c>
      <c r="E73" s="9" t="s">
        <v>403</v>
      </c>
      <c r="F73" s="10"/>
      <c r="G73" s="10"/>
      <c r="H73" s="10"/>
      <c r="I73" s="10"/>
      <c r="J73" s="10"/>
      <c r="K73" s="9" t="s">
        <v>396</v>
      </c>
    </row>
    <row r="74" customFormat="false" ht="26.85" hidden="false" customHeight="false" outlineLevel="0" collapsed="false">
      <c r="A74" s="9" t="s">
        <v>262</v>
      </c>
      <c r="B74" s="9" t="s">
        <v>325</v>
      </c>
      <c r="C74" s="10" t="s">
        <v>329</v>
      </c>
      <c r="D74" s="9" t="s">
        <v>330</v>
      </c>
      <c r="E74" s="9" t="s">
        <v>403</v>
      </c>
      <c r="F74" s="10"/>
      <c r="G74" s="10"/>
      <c r="H74" s="10"/>
      <c r="I74" s="10"/>
      <c r="J74" s="10"/>
      <c r="K74" s="9" t="s">
        <v>396</v>
      </c>
    </row>
    <row r="75" customFormat="false" ht="39.55" hidden="false" customHeight="false" outlineLevel="0" collapsed="false">
      <c r="A75" s="9" t="s">
        <v>262</v>
      </c>
      <c r="B75" s="9" t="s">
        <v>325</v>
      </c>
      <c r="C75" s="10"/>
      <c r="D75" s="9" t="s">
        <v>404</v>
      </c>
      <c r="E75" s="9" t="s">
        <v>403</v>
      </c>
      <c r="F75" s="10"/>
      <c r="G75" s="10"/>
      <c r="H75" s="10"/>
      <c r="I75" s="10"/>
      <c r="J75" s="10"/>
      <c r="K75" s="9" t="s">
        <v>396</v>
      </c>
    </row>
    <row r="76" customFormat="false" ht="26.85" hidden="false" customHeight="false" outlineLevel="0" collapsed="false">
      <c r="A76" s="9" t="s">
        <v>262</v>
      </c>
      <c r="B76" s="9" t="s">
        <v>325</v>
      </c>
      <c r="C76" s="10"/>
      <c r="D76" s="9" t="s">
        <v>405</v>
      </c>
      <c r="E76" s="9" t="s">
        <v>403</v>
      </c>
      <c r="F76" s="10"/>
      <c r="G76" s="10"/>
      <c r="H76" s="10"/>
      <c r="I76" s="10"/>
      <c r="J76" s="10"/>
      <c r="K76" s="9" t="s">
        <v>396</v>
      </c>
    </row>
    <row r="77" customFormat="false" ht="26.85" hidden="false" customHeight="false" outlineLevel="0" collapsed="false">
      <c r="A77" s="9" t="s">
        <v>262</v>
      </c>
      <c r="B77" s="9" t="s">
        <v>325</v>
      </c>
      <c r="C77" s="10"/>
      <c r="D77" s="9" t="s">
        <v>406</v>
      </c>
      <c r="E77" s="9" t="s">
        <v>403</v>
      </c>
      <c r="F77" s="10"/>
      <c r="G77" s="10"/>
      <c r="H77" s="10"/>
      <c r="I77" s="10"/>
      <c r="J77" s="10"/>
      <c r="K77" s="9" t="s">
        <v>396</v>
      </c>
    </row>
    <row r="78" customFormat="false" ht="15" hidden="false" customHeight="false" outlineLevel="0" collapsed="false">
      <c r="A78" s="9" t="s">
        <v>407</v>
      </c>
      <c r="B78" s="9" t="s">
        <v>325</v>
      </c>
      <c r="C78" s="10" t="s">
        <v>326</v>
      </c>
      <c r="D78" s="9" t="s">
        <v>327</v>
      </c>
      <c r="E78" s="9" t="s">
        <v>30</v>
      </c>
      <c r="F78" s="10"/>
      <c r="G78" s="10"/>
      <c r="H78" s="10"/>
      <c r="I78" s="10"/>
      <c r="J78" s="10"/>
      <c r="K78" s="9" t="s">
        <v>145</v>
      </c>
    </row>
    <row r="79" customFormat="false" ht="15" hidden="false" customHeight="false" outlineLevel="0" collapsed="false">
      <c r="A79" s="9" t="s">
        <v>407</v>
      </c>
      <c r="B79" s="9" t="s">
        <v>325</v>
      </c>
      <c r="C79" s="10" t="s">
        <v>326</v>
      </c>
      <c r="D79" s="9" t="s">
        <v>328</v>
      </c>
      <c r="E79" s="9" t="s">
        <v>30</v>
      </c>
      <c r="F79" s="10"/>
      <c r="G79" s="10"/>
      <c r="H79" s="10"/>
      <c r="I79" s="10"/>
      <c r="J79" s="10"/>
      <c r="K79" s="9" t="s">
        <v>145</v>
      </c>
    </row>
    <row r="80" customFormat="false" ht="15" hidden="false" customHeight="false" outlineLevel="0" collapsed="false">
      <c r="A80" s="9" t="s">
        <v>407</v>
      </c>
      <c r="B80" s="9" t="s">
        <v>325</v>
      </c>
      <c r="C80" s="10" t="s">
        <v>329</v>
      </c>
      <c r="D80" s="9" t="s">
        <v>330</v>
      </c>
      <c r="E80" s="9" t="s">
        <v>30</v>
      </c>
      <c r="F80" s="10"/>
      <c r="G80" s="10"/>
      <c r="H80" s="10"/>
      <c r="I80" s="10"/>
      <c r="J80" s="10"/>
      <c r="K80" s="9" t="s">
        <v>145</v>
      </c>
    </row>
    <row r="81" customFormat="false" ht="15" hidden="false" customHeight="false" outlineLevel="0" collapsed="false">
      <c r="A81" s="9" t="s">
        <v>407</v>
      </c>
      <c r="B81" s="9" t="s">
        <v>325</v>
      </c>
      <c r="C81" s="10" t="s">
        <v>329</v>
      </c>
      <c r="D81" s="9" t="s">
        <v>331</v>
      </c>
      <c r="E81" s="9" t="s">
        <v>30</v>
      </c>
      <c r="F81" s="10"/>
      <c r="G81" s="10"/>
      <c r="H81" s="10"/>
      <c r="I81" s="10"/>
      <c r="J81" s="10"/>
      <c r="K81" s="9" t="s">
        <v>145</v>
      </c>
    </row>
    <row r="82" customFormat="false" ht="15" hidden="false" customHeight="false" outlineLevel="0" collapsed="false">
      <c r="A82" s="9" t="s">
        <v>407</v>
      </c>
      <c r="B82" s="9" t="s">
        <v>325</v>
      </c>
      <c r="C82" s="10" t="s">
        <v>332</v>
      </c>
      <c r="D82" s="9" t="s">
        <v>333</v>
      </c>
      <c r="E82" s="9" t="s">
        <v>30</v>
      </c>
      <c r="F82" s="10"/>
      <c r="G82" s="10"/>
      <c r="H82" s="10"/>
      <c r="I82" s="10"/>
      <c r="J82" s="10"/>
      <c r="K82" s="9" t="s">
        <v>145</v>
      </c>
    </row>
    <row r="83" customFormat="false" ht="15" hidden="false" customHeight="false" outlineLevel="0" collapsed="false">
      <c r="A83" s="9" t="s">
        <v>407</v>
      </c>
      <c r="B83" s="9" t="s">
        <v>325</v>
      </c>
      <c r="C83" s="10" t="s">
        <v>332</v>
      </c>
      <c r="D83" s="9" t="s">
        <v>334</v>
      </c>
      <c r="E83" s="9" t="s">
        <v>30</v>
      </c>
      <c r="F83" s="10"/>
      <c r="G83" s="10"/>
      <c r="H83" s="10"/>
      <c r="I83" s="10"/>
      <c r="J83" s="10"/>
      <c r="K83" s="9" t="s">
        <v>145</v>
      </c>
    </row>
    <row r="84" customFormat="false" ht="26.85" hidden="false" customHeight="false" outlineLevel="0" collapsed="false">
      <c r="A84" s="9" t="s">
        <v>407</v>
      </c>
      <c r="B84" s="9" t="s">
        <v>325</v>
      </c>
      <c r="C84" s="10"/>
      <c r="D84" s="9" t="s">
        <v>335</v>
      </c>
      <c r="E84" s="9" t="s">
        <v>30</v>
      </c>
      <c r="F84" s="10"/>
      <c r="G84" s="10"/>
      <c r="H84" s="10"/>
      <c r="I84" s="10"/>
      <c r="J84" s="10"/>
      <c r="K84" s="9" t="s">
        <v>145</v>
      </c>
    </row>
    <row r="85" customFormat="false" ht="26.85" hidden="false" customHeight="false" outlineLevel="0" collapsed="false">
      <c r="A85" s="9" t="s">
        <v>407</v>
      </c>
      <c r="B85" s="9" t="s">
        <v>325</v>
      </c>
      <c r="C85" s="10"/>
      <c r="D85" s="9" t="s">
        <v>336</v>
      </c>
      <c r="E85" s="9" t="s">
        <v>30</v>
      </c>
      <c r="F85" s="10"/>
      <c r="G85" s="10"/>
      <c r="H85" s="10"/>
      <c r="I85" s="10"/>
      <c r="J85" s="10"/>
      <c r="K85" s="9" t="s">
        <v>145</v>
      </c>
    </row>
    <row r="86" customFormat="false" ht="26.85" hidden="false" customHeight="false" outlineLevel="0" collapsed="false">
      <c r="A86" s="9" t="s">
        <v>407</v>
      </c>
      <c r="B86" s="9" t="s">
        <v>325</v>
      </c>
      <c r="C86" s="10"/>
      <c r="D86" s="9" t="s">
        <v>337</v>
      </c>
      <c r="E86" s="9" t="s">
        <v>30</v>
      </c>
      <c r="F86" s="10"/>
      <c r="G86" s="10"/>
      <c r="H86" s="10"/>
      <c r="I86" s="10"/>
      <c r="J86" s="10"/>
      <c r="K86" s="9" t="s">
        <v>145</v>
      </c>
    </row>
    <row r="87" customFormat="false" ht="26.85" hidden="false" customHeight="false" outlineLevel="0" collapsed="false">
      <c r="A87" s="9" t="s">
        <v>407</v>
      </c>
      <c r="B87" s="9" t="s">
        <v>325</v>
      </c>
      <c r="C87" s="10"/>
      <c r="D87" s="9" t="s">
        <v>338</v>
      </c>
      <c r="E87" s="9" t="s">
        <v>30</v>
      </c>
      <c r="F87" s="10"/>
      <c r="G87" s="10"/>
      <c r="H87" s="10"/>
      <c r="I87" s="10"/>
      <c r="J87" s="10"/>
      <c r="K87" s="9" t="s">
        <v>145</v>
      </c>
    </row>
    <row r="88" customFormat="false" ht="15" hidden="false" customHeight="false" outlineLevel="0" collapsed="false">
      <c r="A88" s="9" t="s">
        <v>407</v>
      </c>
      <c r="B88" s="9" t="s">
        <v>325</v>
      </c>
      <c r="C88" s="10" t="s">
        <v>326</v>
      </c>
      <c r="D88" s="9" t="s">
        <v>327</v>
      </c>
      <c r="E88" s="9" t="s">
        <v>132</v>
      </c>
      <c r="F88" s="10"/>
      <c r="G88" s="10"/>
      <c r="H88" s="10"/>
      <c r="I88" s="10"/>
      <c r="J88" s="10"/>
      <c r="K88" s="9" t="s">
        <v>145</v>
      </c>
    </row>
    <row r="89" customFormat="false" ht="15" hidden="false" customHeight="false" outlineLevel="0" collapsed="false">
      <c r="A89" s="9" t="s">
        <v>407</v>
      </c>
      <c r="B89" s="9" t="s">
        <v>325</v>
      </c>
      <c r="C89" s="10" t="s">
        <v>326</v>
      </c>
      <c r="D89" s="9" t="s">
        <v>328</v>
      </c>
      <c r="E89" s="9" t="s">
        <v>132</v>
      </c>
      <c r="F89" s="10"/>
      <c r="G89" s="10"/>
      <c r="H89" s="10"/>
      <c r="I89" s="10"/>
      <c r="J89" s="10"/>
      <c r="K89" s="9" t="s">
        <v>145</v>
      </c>
    </row>
    <row r="90" customFormat="false" ht="15" hidden="false" customHeight="false" outlineLevel="0" collapsed="false">
      <c r="A90" s="9" t="s">
        <v>407</v>
      </c>
      <c r="B90" s="9" t="s">
        <v>325</v>
      </c>
      <c r="C90" s="10" t="s">
        <v>329</v>
      </c>
      <c r="D90" s="9" t="s">
        <v>330</v>
      </c>
      <c r="E90" s="9" t="s">
        <v>132</v>
      </c>
      <c r="F90" s="10"/>
      <c r="G90" s="10"/>
      <c r="H90" s="10"/>
      <c r="I90" s="10"/>
      <c r="J90" s="10"/>
      <c r="K90" s="9" t="s">
        <v>145</v>
      </c>
    </row>
    <row r="91" customFormat="false" ht="15" hidden="false" customHeight="false" outlineLevel="0" collapsed="false">
      <c r="A91" s="9" t="s">
        <v>407</v>
      </c>
      <c r="B91" s="9" t="s">
        <v>325</v>
      </c>
      <c r="C91" s="10" t="s">
        <v>329</v>
      </c>
      <c r="D91" s="9" t="s">
        <v>331</v>
      </c>
      <c r="E91" s="9" t="s">
        <v>132</v>
      </c>
      <c r="F91" s="10"/>
      <c r="G91" s="10"/>
      <c r="H91" s="10"/>
      <c r="I91" s="10"/>
      <c r="J91" s="10"/>
      <c r="K91" s="9" t="s">
        <v>145</v>
      </c>
    </row>
    <row r="92" customFormat="false" ht="15" hidden="false" customHeight="false" outlineLevel="0" collapsed="false">
      <c r="A92" s="9" t="s">
        <v>407</v>
      </c>
      <c r="B92" s="9" t="s">
        <v>325</v>
      </c>
      <c r="C92" s="10" t="s">
        <v>332</v>
      </c>
      <c r="D92" s="9" t="s">
        <v>333</v>
      </c>
      <c r="E92" s="9" t="s">
        <v>132</v>
      </c>
      <c r="F92" s="10"/>
      <c r="G92" s="10"/>
      <c r="H92" s="10"/>
      <c r="I92" s="10"/>
      <c r="J92" s="10"/>
      <c r="K92" s="9" t="s">
        <v>145</v>
      </c>
    </row>
    <row r="93" customFormat="false" ht="15" hidden="false" customHeight="false" outlineLevel="0" collapsed="false">
      <c r="A93" s="9" t="s">
        <v>407</v>
      </c>
      <c r="B93" s="9" t="s">
        <v>325</v>
      </c>
      <c r="C93" s="10" t="s">
        <v>332</v>
      </c>
      <c r="D93" s="9" t="s">
        <v>334</v>
      </c>
      <c r="E93" s="9" t="s">
        <v>132</v>
      </c>
      <c r="F93" s="10"/>
      <c r="G93" s="10"/>
      <c r="H93" s="10"/>
      <c r="I93" s="10"/>
      <c r="J93" s="10"/>
      <c r="K93" s="9" t="s">
        <v>145</v>
      </c>
    </row>
    <row r="94" customFormat="false" ht="26.85" hidden="false" customHeight="false" outlineLevel="0" collapsed="false">
      <c r="A94" s="9" t="s">
        <v>407</v>
      </c>
      <c r="B94" s="9" t="s">
        <v>325</v>
      </c>
      <c r="C94" s="10"/>
      <c r="D94" s="9" t="s">
        <v>339</v>
      </c>
      <c r="E94" s="9" t="s">
        <v>132</v>
      </c>
      <c r="F94" s="10"/>
      <c r="G94" s="10"/>
      <c r="H94" s="10"/>
      <c r="I94" s="10"/>
      <c r="J94" s="10"/>
      <c r="K94" s="9" t="s">
        <v>145</v>
      </c>
    </row>
    <row r="95" customFormat="false" ht="26.85" hidden="false" customHeight="false" outlineLevel="0" collapsed="false">
      <c r="A95" s="9" t="s">
        <v>407</v>
      </c>
      <c r="B95" s="9" t="s">
        <v>325</v>
      </c>
      <c r="C95" s="10"/>
      <c r="D95" s="9" t="s">
        <v>340</v>
      </c>
      <c r="E95" s="9" t="s">
        <v>132</v>
      </c>
      <c r="F95" s="10"/>
      <c r="G95" s="10"/>
      <c r="H95" s="10"/>
      <c r="I95" s="10"/>
      <c r="J95" s="10"/>
      <c r="K95" s="9" t="s">
        <v>145</v>
      </c>
    </row>
    <row r="96" customFormat="false" ht="102.95" hidden="false" customHeight="false" outlineLevel="0" collapsed="false">
      <c r="A96" s="6" t="s">
        <v>407</v>
      </c>
      <c r="B96" s="6" t="s">
        <v>325</v>
      </c>
      <c r="C96" s="7" t="s">
        <v>326</v>
      </c>
      <c r="D96" s="6" t="s">
        <v>327</v>
      </c>
      <c r="E96" s="6" t="s">
        <v>146</v>
      </c>
      <c r="F96" s="6" t="s">
        <v>408</v>
      </c>
      <c r="G96" s="6" t="s">
        <v>409</v>
      </c>
      <c r="H96" s="6" t="s">
        <v>148</v>
      </c>
      <c r="I96" s="6" t="s">
        <v>410</v>
      </c>
      <c r="J96" s="8" t="s">
        <v>411</v>
      </c>
      <c r="K96" s="6" t="s">
        <v>412</v>
      </c>
    </row>
    <row r="97" customFormat="false" ht="102.95" hidden="false" customHeight="false" outlineLevel="0" collapsed="false">
      <c r="A97" s="6" t="s">
        <v>407</v>
      </c>
      <c r="B97" s="6" t="s">
        <v>325</v>
      </c>
      <c r="C97" s="7" t="s">
        <v>326</v>
      </c>
      <c r="D97" s="6" t="s">
        <v>327</v>
      </c>
      <c r="E97" s="6" t="s">
        <v>146</v>
      </c>
      <c r="F97" s="6" t="s">
        <v>413</v>
      </c>
      <c r="G97" s="6" t="s">
        <v>414</v>
      </c>
      <c r="H97" s="6" t="s">
        <v>148</v>
      </c>
      <c r="I97" s="6" t="s">
        <v>410</v>
      </c>
      <c r="J97" s="8" t="s">
        <v>411</v>
      </c>
      <c r="K97" s="6" t="s">
        <v>412</v>
      </c>
    </row>
    <row r="98" customFormat="false" ht="102.95" hidden="false" customHeight="false" outlineLevel="0" collapsed="false">
      <c r="A98" s="6" t="s">
        <v>407</v>
      </c>
      <c r="B98" s="6" t="s">
        <v>325</v>
      </c>
      <c r="C98" s="7" t="s">
        <v>326</v>
      </c>
      <c r="D98" s="6" t="s">
        <v>327</v>
      </c>
      <c r="E98" s="6" t="s">
        <v>146</v>
      </c>
      <c r="F98" s="6" t="s">
        <v>415</v>
      </c>
      <c r="G98" s="6" t="s">
        <v>416</v>
      </c>
      <c r="H98" s="6" t="s">
        <v>148</v>
      </c>
      <c r="I98" s="6" t="s">
        <v>410</v>
      </c>
      <c r="J98" s="8" t="s">
        <v>411</v>
      </c>
      <c r="K98" s="6" t="s">
        <v>412</v>
      </c>
    </row>
    <row r="99" customFormat="false" ht="77.6" hidden="false" customHeight="false" outlineLevel="0" collapsed="false">
      <c r="A99" s="6" t="s">
        <v>407</v>
      </c>
      <c r="B99" s="6" t="s">
        <v>325</v>
      </c>
      <c r="C99" s="7" t="s">
        <v>326</v>
      </c>
      <c r="D99" s="6" t="s">
        <v>328</v>
      </c>
      <c r="E99" s="6" t="s">
        <v>146</v>
      </c>
      <c r="F99" s="6" t="s">
        <v>417</v>
      </c>
      <c r="G99" s="7" t="s">
        <v>418</v>
      </c>
      <c r="H99" s="6" t="s">
        <v>148</v>
      </c>
      <c r="I99" s="6" t="s">
        <v>410</v>
      </c>
      <c r="J99" s="8" t="s">
        <v>419</v>
      </c>
      <c r="K99" s="6" t="s">
        <v>420</v>
      </c>
    </row>
    <row r="100" customFormat="false" ht="77.6" hidden="false" customHeight="false" outlineLevel="0" collapsed="false">
      <c r="A100" s="6" t="s">
        <v>407</v>
      </c>
      <c r="B100" s="6" t="s">
        <v>325</v>
      </c>
      <c r="C100" s="7" t="s">
        <v>326</v>
      </c>
      <c r="D100" s="6" t="s">
        <v>328</v>
      </c>
      <c r="E100" s="6" t="s">
        <v>146</v>
      </c>
      <c r="F100" s="6" t="s">
        <v>421</v>
      </c>
      <c r="G100" s="7" t="s">
        <v>422</v>
      </c>
      <c r="H100" s="6" t="s">
        <v>148</v>
      </c>
      <c r="I100" s="6" t="s">
        <v>410</v>
      </c>
      <c r="J100" s="8" t="s">
        <v>419</v>
      </c>
      <c r="K100" s="6" t="s">
        <v>420</v>
      </c>
    </row>
    <row r="101" customFormat="false" ht="77.6" hidden="false" customHeight="false" outlineLevel="0" collapsed="false">
      <c r="A101" s="6" t="s">
        <v>407</v>
      </c>
      <c r="B101" s="6" t="s">
        <v>325</v>
      </c>
      <c r="C101" s="7" t="s">
        <v>326</v>
      </c>
      <c r="D101" s="6" t="s">
        <v>328</v>
      </c>
      <c r="E101" s="6" t="s">
        <v>146</v>
      </c>
      <c r="F101" s="6" t="s">
        <v>423</v>
      </c>
      <c r="G101" s="7" t="s">
        <v>424</v>
      </c>
      <c r="H101" s="6" t="s">
        <v>148</v>
      </c>
      <c r="I101" s="6" t="s">
        <v>410</v>
      </c>
      <c r="J101" s="8" t="s">
        <v>419</v>
      </c>
      <c r="K101" s="6" t="s">
        <v>420</v>
      </c>
    </row>
    <row r="102" customFormat="false" ht="77.6" hidden="false" customHeight="false" outlineLevel="0" collapsed="false">
      <c r="A102" s="6" t="s">
        <v>407</v>
      </c>
      <c r="B102" s="6" t="s">
        <v>325</v>
      </c>
      <c r="C102" s="7" t="s">
        <v>326</v>
      </c>
      <c r="D102" s="6" t="s">
        <v>328</v>
      </c>
      <c r="E102" s="6" t="s">
        <v>146</v>
      </c>
      <c r="F102" s="6" t="s">
        <v>425</v>
      </c>
      <c r="G102" s="7" t="s">
        <v>426</v>
      </c>
      <c r="H102" s="6" t="s">
        <v>148</v>
      </c>
      <c r="I102" s="6" t="s">
        <v>410</v>
      </c>
      <c r="J102" s="8" t="s">
        <v>419</v>
      </c>
      <c r="K102" s="6" t="s">
        <v>420</v>
      </c>
    </row>
    <row r="103" customFormat="false" ht="77.6" hidden="false" customHeight="false" outlineLevel="0" collapsed="false">
      <c r="A103" s="6" t="s">
        <v>407</v>
      </c>
      <c r="B103" s="6" t="s">
        <v>325</v>
      </c>
      <c r="C103" s="7" t="s">
        <v>326</v>
      </c>
      <c r="D103" s="6" t="s">
        <v>328</v>
      </c>
      <c r="E103" s="6" t="s">
        <v>146</v>
      </c>
      <c r="F103" s="6" t="s">
        <v>427</v>
      </c>
      <c r="G103" s="7" t="s">
        <v>428</v>
      </c>
      <c r="H103" s="6" t="s">
        <v>148</v>
      </c>
      <c r="I103" s="6" t="s">
        <v>410</v>
      </c>
      <c r="J103" s="8" t="s">
        <v>419</v>
      </c>
      <c r="K103" s="6" t="s">
        <v>420</v>
      </c>
    </row>
    <row r="104" customFormat="false" ht="90.25" hidden="false" customHeight="false" outlineLevel="0" collapsed="false">
      <c r="A104" s="6" t="s">
        <v>407</v>
      </c>
      <c r="B104" s="6" t="s">
        <v>325</v>
      </c>
      <c r="C104" s="7" t="s">
        <v>329</v>
      </c>
      <c r="D104" s="6" t="s">
        <v>343</v>
      </c>
      <c r="E104" s="6" t="s">
        <v>146</v>
      </c>
      <c r="F104" s="6" t="s">
        <v>429</v>
      </c>
      <c r="G104" s="7" t="s">
        <v>430</v>
      </c>
      <c r="H104" s="6" t="s">
        <v>148</v>
      </c>
      <c r="I104" s="6" t="s">
        <v>410</v>
      </c>
      <c r="J104" s="8" t="s">
        <v>431</v>
      </c>
      <c r="K104" s="6" t="s">
        <v>432</v>
      </c>
    </row>
    <row r="105" customFormat="false" ht="90.25" hidden="false" customHeight="false" outlineLevel="0" collapsed="false">
      <c r="A105" s="6" t="s">
        <v>407</v>
      </c>
      <c r="B105" s="6" t="s">
        <v>325</v>
      </c>
      <c r="C105" s="7" t="s">
        <v>329</v>
      </c>
      <c r="D105" s="6" t="s">
        <v>343</v>
      </c>
      <c r="E105" s="6" t="s">
        <v>146</v>
      </c>
      <c r="F105" s="6" t="s">
        <v>433</v>
      </c>
      <c r="G105" s="7" t="s">
        <v>434</v>
      </c>
      <c r="H105" s="6" t="s">
        <v>148</v>
      </c>
      <c r="I105" s="6" t="s">
        <v>410</v>
      </c>
      <c r="J105" s="8" t="s">
        <v>431</v>
      </c>
      <c r="K105" s="6" t="s">
        <v>432</v>
      </c>
    </row>
    <row r="106" customFormat="false" ht="90.25" hidden="false" customHeight="false" outlineLevel="0" collapsed="false">
      <c r="A106" s="6" t="s">
        <v>407</v>
      </c>
      <c r="B106" s="6" t="s">
        <v>325</v>
      </c>
      <c r="C106" s="7" t="s">
        <v>329</v>
      </c>
      <c r="D106" s="6" t="s">
        <v>343</v>
      </c>
      <c r="E106" s="6" t="s">
        <v>146</v>
      </c>
      <c r="F106" s="6" t="s">
        <v>435</v>
      </c>
      <c r="G106" s="7" t="s">
        <v>436</v>
      </c>
      <c r="H106" s="6" t="s">
        <v>148</v>
      </c>
      <c r="I106" s="6" t="s">
        <v>410</v>
      </c>
      <c r="J106" s="8" t="s">
        <v>431</v>
      </c>
      <c r="K106" s="6" t="s">
        <v>432</v>
      </c>
    </row>
    <row r="107" customFormat="false" ht="90.25" hidden="false" customHeight="false" outlineLevel="0" collapsed="false">
      <c r="A107" s="6" t="s">
        <v>407</v>
      </c>
      <c r="B107" s="6" t="s">
        <v>325</v>
      </c>
      <c r="C107" s="7" t="s">
        <v>329</v>
      </c>
      <c r="D107" s="6" t="s">
        <v>344</v>
      </c>
      <c r="E107" s="6" t="s">
        <v>146</v>
      </c>
      <c r="F107" s="6" t="s">
        <v>437</v>
      </c>
      <c r="G107" s="6" t="s">
        <v>438</v>
      </c>
      <c r="H107" s="6" t="s">
        <v>148</v>
      </c>
      <c r="I107" s="6" t="s">
        <v>410</v>
      </c>
      <c r="J107" s="8" t="s">
        <v>439</v>
      </c>
      <c r="K107" s="6" t="s">
        <v>440</v>
      </c>
    </row>
    <row r="108" customFormat="false" ht="90.25" hidden="false" customHeight="false" outlineLevel="0" collapsed="false">
      <c r="A108" s="6" t="s">
        <v>407</v>
      </c>
      <c r="B108" s="6" t="s">
        <v>325</v>
      </c>
      <c r="C108" s="7" t="s">
        <v>329</v>
      </c>
      <c r="D108" s="6" t="s">
        <v>344</v>
      </c>
      <c r="E108" s="6" t="s">
        <v>146</v>
      </c>
      <c r="F108" s="6" t="s">
        <v>433</v>
      </c>
      <c r="G108" s="6" t="s">
        <v>441</v>
      </c>
      <c r="H108" s="6" t="s">
        <v>148</v>
      </c>
      <c r="I108" s="6" t="s">
        <v>410</v>
      </c>
      <c r="J108" s="8" t="s">
        <v>439</v>
      </c>
      <c r="K108" s="6" t="s">
        <v>440</v>
      </c>
    </row>
    <row r="109" customFormat="false" ht="90.25" hidden="false" customHeight="false" outlineLevel="0" collapsed="false">
      <c r="A109" s="6" t="s">
        <v>407</v>
      </c>
      <c r="B109" s="6" t="s">
        <v>325</v>
      </c>
      <c r="C109" s="7" t="s">
        <v>329</v>
      </c>
      <c r="D109" s="6" t="s">
        <v>344</v>
      </c>
      <c r="E109" s="6" t="s">
        <v>146</v>
      </c>
      <c r="F109" s="6" t="s">
        <v>435</v>
      </c>
      <c r="G109" s="6" t="s">
        <v>442</v>
      </c>
      <c r="H109" s="6" t="s">
        <v>148</v>
      </c>
      <c r="I109" s="6" t="s">
        <v>410</v>
      </c>
      <c r="J109" s="8" t="s">
        <v>439</v>
      </c>
      <c r="K109" s="6" t="s">
        <v>440</v>
      </c>
    </row>
    <row r="110" customFormat="false" ht="77.6" hidden="false" customHeight="false" outlineLevel="0" collapsed="false">
      <c r="A110" s="6" t="s">
        <v>407</v>
      </c>
      <c r="B110" s="6" t="s">
        <v>325</v>
      </c>
      <c r="C110" s="7" t="s">
        <v>329</v>
      </c>
      <c r="D110" s="6" t="s">
        <v>345</v>
      </c>
      <c r="E110" s="6" t="s">
        <v>146</v>
      </c>
      <c r="F110" s="6" t="s">
        <v>443</v>
      </c>
      <c r="G110" s="6" t="s">
        <v>444</v>
      </c>
      <c r="H110" s="6" t="s">
        <v>148</v>
      </c>
      <c r="I110" s="6" t="s">
        <v>410</v>
      </c>
      <c r="J110" s="8" t="s">
        <v>445</v>
      </c>
      <c r="K110" s="6" t="s">
        <v>446</v>
      </c>
    </row>
    <row r="111" customFormat="false" ht="77.6" hidden="false" customHeight="false" outlineLevel="0" collapsed="false">
      <c r="A111" s="6" t="s">
        <v>407</v>
      </c>
      <c r="B111" s="6" t="s">
        <v>325</v>
      </c>
      <c r="C111" s="7" t="s">
        <v>329</v>
      </c>
      <c r="D111" s="6" t="s">
        <v>345</v>
      </c>
      <c r="E111" s="6" t="s">
        <v>146</v>
      </c>
      <c r="F111" s="6" t="s">
        <v>447</v>
      </c>
      <c r="G111" s="6" t="s">
        <v>448</v>
      </c>
      <c r="H111" s="6" t="s">
        <v>148</v>
      </c>
      <c r="I111" s="6" t="s">
        <v>410</v>
      </c>
      <c r="J111" s="8" t="s">
        <v>445</v>
      </c>
      <c r="K111" s="6" t="s">
        <v>446</v>
      </c>
    </row>
    <row r="112" customFormat="false" ht="77.6" hidden="false" customHeight="false" outlineLevel="0" collapsed="false">
      <c r="A112" s="6" t="s">
        <v>407</v>
      </c>
      <c r="B112" s="6" t="s">
        <v>325</v>
      </c>
      <c r="C112" s="7" t="s">
        <v>329</v>
      </c>
      <c r="D112" s="6" t="s">
        <v>345</v>
      </c>
      <c r="E112" s="6" t="s">
        <v>146</v>
      </c>
      <c r="F112" s="6" t="s">
        <v>449</v>
      </c>
      <c r="G112" s="6" t="s">
        <v>450</v>
      </c>
      <c r="H112" s="6" t="s">
        <v>148</v>
      </c>
      <c r="I112" s="6" t="s">
        <v>410</v>
      </c>
      <c r="J112" s="8" t="s">
        <v>445</v>
      </c>
      <c r="K112" s="6" t="s">
        <v>446</v>
      </c>
    </row>
    <row r="113" customFormat="false" ht="77.6" hidden="false" customHeight="false" outlineLevel="0" collapsed="false">
      <c r="A113" s="6" t="s">
        <v>407</v>
      </c>
      <c r="B113" s="6" t="s">
        <v>325</v>
      </c>
      <c r="C113" s="7" t="s">
        <v>329</v>
      </c>
      <c r="D113" s="6" t="s">
        <v>345</v>
      </c>
      <c r="E113" s="6" t="s">
        <v>146</v>
      </c>
      <c r="F113" s="6" t="s">
        <v>451</v>
      </c>
      <c r="G113" s="6" t="s">
        <v>452</v>
      </c>
      <c r="H113" s="6" t="s">
        <v>148</v>
      </c>
      <c r="I113" s="6" t="s">
        <v>410</v>
      </c>
      <c r="J113" s="8" t="s">
        <v>445</v>
      </c>
      <c r="K113" s="6" t="s">
        <v>446</v>
      </c>
    </row>
    <row r="114" customFormat="false" ht="77.6" hidden="false" customHeight="false" outlineLevel="0" collapsed="false">
      <c r="A114" s="6" t="s">
        <v>407</v>
      </c>
      <c r="B114" s="6" t="s">
        <v>325</v>
      </c>
      <c r="C114" s="7" t="s">
        <v>329</v>
      </c>
      <c r="D114" s="6" t="s">
        <v>346</v>
      </c>
      <c r="E114" s="6" t="s">
        <v>146</v>
      </c>
      <c r="F114" s="6" t="s">
        <v>453</v>
      </c>
      <c r="G114" s="6" t="s">
        <v>454</v>
      </c>
      <c r="H114" s="6" t="s">
        <v>148</v>
      </c>
      <c r="I114" s="6" t="s">
        <v>410</v>
      </c>
      <c r="J114" s="8" t="s">
        <v>455</v>
      </c>
      <c r="K114" s="6" t="s">
        <v>456</v>
      </c>
    </row>
    <row r="115" customFormat="false" ht="77.6" hidden="false" customHeight="false" outlineLevel="0" collapsed="false">
      <c r="A115" s="6" t="s">
        <v>407</v>
      </c>
      <c r="B115" s="6" t="s">
        <v>325</v>
      </c>
      <c r="C115" s="7" t="s">
        <v>329</v>
      </c>
      <c r="D115" s="6" t="s">
        <v>346</v>
      </c>
      <c r="E115" s="6" t="s">
        <v>146</v>
      </c>
      <c r="F115" s="6" t="s">
        <v>457</v>
      </c>
      <c r="G115" s="6" t="s">
        <v>458</v>
      </c>
      <c r="H115" s="6" t="s">
        <v>148</v>
      </c>
      <c r="I115" s="6" t="s">
        <v>410</v>
      </c>
      <c r="J115" s="8" t="s">
        <v>455</v>
      </c>
      <c r="K115" s="6" t="s">
        <v>456</v>
      </c>
    </row>
    <row r="116" customFormat="false" ht="77.6" hidden="false" customHeight="false" outlineLevel="0" collapsed="false">
      <c r="A116" s="6" t="s">
        <v>407</v>
      </c>
      <c r="B116" s="6" t="s">
        <v>325</v>
      </c>
      <c r="C116" s="7" t="s">
        <v>329</v>
      </c>
      <c r="D116" s="6" t="s">
        <v>346</v>
      </c>
      <c r="E116" s="6" t="s">
        <v>146</v>
      </c>
      <c r="F116" s="6" t="s">
        <v>459</v>
      </c>
      <c r="G116" s="6" t="s">
        <v>452</v>
      </c>
      <c r="H116" s="6" t="s">
        <v>148</v>
      </c>
      <c r="I116" s="6" t="s">
        <v>410</v>
      </c>
      <c r="J116" s="8" t="s">
        <v>455</v>
      </c>
      <c r="K116" s="6" t="s">
        <v>456</v>
      </c>
    </row>
    <row r="117" customFormat="false" ht="64.9" hidden="false" customHeight="false" outlineLevel="0" collapsed="false">
      <c r="A117" s="6" t="s">
        <v>407</v>
      </c>
      <c r="B117" s="6" t="s">
        <v>325</v>
      </c>
      <c r="C117" s="7" t="s">
        <v>332</v>
      </c>
      <c r="D117" s="6" t="s">
        <v>347</v>
      </c>
      <c r="E117" s="6" t="s">
        <v>146</v>
      </c>
      <c r="F117" s="6" t="s">
        <v>460</v>
      </c>
      <c r="G117" s="6" t="s">
        <v>461</v>
      </c>
      <c r="H117" s="6" t="s">
        <v>148</v>
      </c>
      <c r="I117" s="6" t="s">
        <v>410</v>
      </c>
      <c r="J117" s="8" t="s">
        <v>462</v>
      </c>
      <c r="K117" s="6" t="s">
        <v>463</v>
      </c>
    </row>
    <row r="118" customFormat="false" ht="64.9" hidden="false" customHeight="false" outlineLevel="0" collapsed="false">
      <c r="A118" s="6" t="s">
        <v>407</v>
      </c>
      <c r="B118" s="6" t="s">
        <v>325</v>
      </c>
      <c r="C118" s="7" t="s">
        <v>332</v>
      </c>
      <c r="D118" s="6" t="s">
        <v>347</v>
      </c>
      <c r="E118" s="6" t="s">
        <v>146</v>
      </c>
      <c r="F118" s="6" t="s">
        <v>464</v>
      </c>
      <c r="G118" s="6" t="s">
        <v>465</v>
      </c>
      <c r="H118" s="6" t="s">
        <v>148</v>
      </c>
      <c r="I118" s="6" t="s">
        <v>410</v>
      </c>
      <c r="J118" s="8" t="s">
        <v>462</v>
      </c>
      <c r="K118" s="6" t="s">
        <v>463</v>
      </c>
    </row>
    <row r="119" customFormat="false" ht="64.9" hidden="false" customHeight="false" outlineLevel="0" collapsed="false">
      <c r="A119" s="6" t="s">
        <v>407</v>
      </c>
      <c r="B119" s="6" t="s">
        <v>325</v>
      </c>
      <c r="C119" s="7" t="s">
        <v>332</v>
      </c>
      <c r="D119" s="6" t="s">
        <v>347</v>
      </c>
      <c r="E119" s="6" t="s">
        <v>146</v>
      </c>
      <c r="F119" s="6" t="s">
        <v>466</v>
      </c>
      <c r="G119" s="6" t="s">
        <v>467</v>
      </c>
      <c r="H119" s="6" t="s">
        <v>148</v>
      </c>
      <c r="I119" s="6" t="s">
        <v>410</v>
      </c>
      <c r="J119" s="8" t="s">
        <v>462</v>
      </c>
      <c r="K119" s="6" t="s">
        <v>463</v>
      </c>
    </row>
    <row r="120" customFormat="false" ht="39.55" hidden="false" customHeight="false" outlineLevel="0" collapsed="false">
      <c r="A120" s="9" t="s">
        <v>407</v>
      </c>
      <c r="B120" s="9" t="s">
        <v>325</v>
      </c>
      <c r="C120" s="10" t="s">
        <v>332</v>
      </c>
      <c r="D120" s="9" t="s">
        <v>348</v>
      </c>
      <c r="E120" s="9" t="s">
        <v>146</v>
      </c>
      <c r="F120" s="10"/>
      <c r="G120" s="10"/>
      <c r="H120" s="10"/>
      <c r="I120" s="10"/>
      <c r="J120" s="10"/>
      <c r="K120" s="9" t="s">
        <v>468</v>
      </c>
    </row>
    <row r="121" customFormat="false" ht="114.15" hidden="false" customHeight="false" outlineLevel="0" collapsed="false">
      <c r="A121" s="6" t="s">
        <v>407</v>
      </c>
      <c r="B121" s="6" t="s">
        <v>325</v>
      </c>
      <c r="C121" s="7" t="s">
        <v>332</v>
      </c>
      <c r="D121" s="6" t="s">
        <v>349</v>
      </c>
      <c r="E121" s="6" t="s">
        <v>146</v>
      </c>
      <c r="F121" s="6" t="s">
        <v>460</v>
      </c>
      <c r="G121" s="6" t="s">
        <v>469</v>
      </c>
      <c r="H121" s="6" t="s">
        <v>148</v>
      </c>
      <c r="I121" s="6" t="s">
        <v>410</v>
      </c>
      <c r="J121" s="8" t="s">
        <v>470</v>
      </c>
      <c r="K121" s="6" t="s">
        <v>471</v>
      </c>
    </row>
    <row r="122" customFormat="false" ht="114.15" hidden="false" customHeight="false" outlineLevel="0" collapsed="false">
      <c r="A122" s="6" t="s">
        <v>407</v>
      </c>
      <c r="B122" s="6" t="s">
        <v>325</v>
      </c>
      <c r="C122" s="7" t="s">
        <v>332</v>
      </c>
      <c r="D122" s="6" t="s">
        <v>349</v>
      </c>
      <c r="E122" s="6" t="s">
        <v>146</v>
      </c>
      <c r="F122" s="6" t="s">
        <v>472</v>
      </c>
      <c r="G122" s="6" t="s">
        <v>473</v>
      </c>
      <c r="H122" s="6" t="s">
        <v>148</v>
      </c>
      <c r="I122" s="6" t="s">
        <v>410</v>
      </c>
      <c r="J122" s="8" t="s">
        <v>470</v>
      </c>
      <c r="K122" s="6" t="s">
        <v>471</v>
      </c>
    </row>
    <row r="123" customFormat="false" ht="114.15" hidden="false" customHeight="false" outlineLevel="0" collapsed="false">
      <c r="A123" s="6" t="s">
        <v>407</v>
      </c>
      <c r="B123" s="6" t="s">
        <v>325</v>
      </c>
      <c r="C123" s="7" t="s">
        <v>332</v>
      </c>
      <c r="D123" s="6" t="s">
        <v>349</v>
      </c>
      <c r="E123" s="6" t="s">
        <v>146</v>
      </c>
      <c r="F123" s="6" t="s">
        <v>466</v>
      </c>
      <c r="G123" s="6" t="s">
        <v>474</v>
      </c>
      <c r="H123" s="6" t="s">
        <v>148</v>
      </c>
      <c r="I123" s="6" t="s">
        <v>410</v>
      </c>
      <c r="J123" s="8" t="s">
        <v>470</v>
      </c>
      <c r="K123" s="6" t="s">
        <v>471</v>
      </c>
    </row>
    <row r="124" customFormat="false" ht="112.65" hidden="false" customHeight="false" outlineLevel="0" collapsed="false">
      <c r="A124" s="6" t="s">
        <v>407</v>
      </c>
      <c r="B124" s="6" t="s">
        <v>325</v>
      </c>
      <c r="C124" s="7" t="s">
        <v>332</v>
      </c>
      <c r="D124" s="6" t="s">
        <v>350</v>
      </c>
      <c r="E124" s="6" t="s">
        <v>146</v>
      </c>
      <c r="F124" s="6" t="s">
        <v>475</v>
      </c>
      <c r="G124" s="7" t="s">
        <v>476</v>
      </c>
      <c r="H124" s="6" t="s">
        <v>148</v>
      </c>
      <c r="I124" s="6" t="s">
        <v>410</v>
      </c>
      <c r="J124" s="8" t="s">
        <v>477</v>
      </c>
      <c r="K124" s="6" t="s">
        <v>478</v>
      </c>
    </row>
    <row r="125" customFormat="false" ht="112.65" hidden="false" customHeight="false" outlineLevel="0" collapsed="false">
      <c r="A125" s="6" t="s">
        <v>407</v>
      </c>
      <c r="B125" s="6" t="s">
        <v>325</v>
      </c>
      <c r="C125" s="7" t="s">
        <v>332</v>
      </c>
      <c r="D125" s="6" t="s">
        <v>350</v>
      </c>
      <c r="E125" s="6" t="s">
        <v>146</v>
      </c>
      <c r="F125" s="6" t="s">
        <v>479</v>
      </c>
      <c r="G125" s="6" t="s">
        <v>480</v>
      </c>
      <c r="H125" s="6" t="s">
        <v>148</v>
      </c>
      <c r="I125" s="6" t="s">
        <v>410</v>
      </c>
      <c r="J125" s="8" t="s">
        <v>477</v>
      </c>
      <c r="K125" s="6" t="s">
        <v>478</v>
      </c>
    </row>
    <row r="126" customFormat="false" ht="112.65" hidden="false" customHeight="false" outlineLevel="0" collapsed="false">
      <c r="A126" s="6" t="s">
        <v>407</v>
      </c>
      <c r="B126" s="6" t="s">
        <v>325</v>
      </c>
      <c r="C126" s="7" t="s">
        <v>332</v>
      </c>
      <c r="D126" s="6" t="s">
        <v>350</v>
      </c>
      <c r="E126" s="6" t="s">
        <v>146</v>
      </c>
      <c r="F126" s="6" t="s">
        <v>481</v>
      </c>
      <c r="G126" s="6" t="s">
        <v>482</v>
      </c>
      <c r="H126" s="6" t="s">
        <v>148</v>
      </c>
      <c r="I126" s="6" t="s">
        <v>410</v>
      </c>
      <c r="J126" s="8" t="s">
        <v>477</v>
      </c>
      <c r="K126" s="6" t="s">
        <v>478</v>
      </c>
    </row>
    <row r="127" customFormat="false" ht="15" hidden="false" customHeight="false" outlineLevel="0" collapsed="false">
      <c r="A127" s="9" t="s">
        <v>407</v>
      </c>
      <c r="B127" s="9" t="s">
        <v>325</v>
      </c>
      <c r="C127" s="10"/>
      <c r="D127" s="9" t="s">
        <v>352</v>
      </c>
      <c r="E127" s="9" t="s">
        <v>155</v>
      </c>
      <c r="F127" s="10"/>
      <c r="G127" s="10"/>
      <c r="H127" s="10"/>
      <c r="I127" s="9" t="s">
        <v>149</v>
      </c>
      <c r="J127" s="10"/>
      <c r="K127" s="9" t="s">
        <v>145</v>
      </c>
    </row>
    <row r="128" customFormat="false" ht="15" hidden="false" customHeight="false" outlineLevel="0" collapsed="false">
      <c r="A128" s="9" t="s">
        <v>407</v>
      </c>
      <c r="B128" s="9" t="s">
        <v>325</v>
      </c>
      <c r="C128" s="10"/>
      <c r="D128" s="9" t="s">
        <v>354</v>
      </c>
      <c r="E128" s="9" t="s">
        <v>155</v>
      </c>
      <c r="F128" s="10"/>
      <c r="G128" s="10"/>
      <c r="H128" s="10"/>
      <c r="I128" s="9" t="s">
        <v>149</v>
      </c>
      <c r="J128" s="10"/>
      <c r="K128" s="9" t="s">
        <v>145</v>
      </c>
    </row>
    <row r="129" customFormat="false" ht="15" hidden="false" customHeight="false" outlineLevel="0" collapsed="false">
      <c r="A129" s="9" t="s">
        <v>407</v>
      </c>
      <c r="B129" s="9" t="s">
        <v>325</v>
      </c>
      <c r="C129" s="10"/>
      <c r="D129" s="9" t="s">
        <v>355</v>
      </c>
      <c r="E129" s="9" t="s">
        <v>155</v>
      </c>
      <c r="F129" s="10"/>
      <c r="G129" s="10"/>
      <c r="H129" s="10"/>
      <c r="I129" s="9" t="s">
        <v>149</v>
      </c>
      <c r="J129" s="10"/>
      <c r="K129" s="9" t="s">
        <v>145</v>
      </c>
    </row>
    <row r="130" customFormat="false" ht="15" hidden="false" customHeight="false" outlineLevel="0" collapsed="false">
      <c r="A130" s="9" t="s">
        <v>407</v>
      </c>
      <c r="B130" s="9" t="s">
        <v>325</v>
      </c>
      <c r="C130" s="10"/>
      <c r="D130" s="9" t="s">
        <v>357</v>
      </c>
      <c r="E130" s="9" t="s">
        <v>155</v>
      </c>
      <c r="F130" s="10"/>
      <c r="G130" s="10"/>
      <c r="H130" s="10"/>
      <c r="I130" s="9" t="s">
        <v>149</v>
      </c>
      <c r="J130" s="10"/>
      <c r="K130" s="9" t="s">
        <v>145</v>
      </c>
    </row>
    <row r="131" customFormat="false" ht="15" hidden="false" customHeight="false" outlineLevel="0" collapsed="false">
      <c r="A131" s="9" t="s">
        <v>407</v>
      </c>
      <c r="B131" s="9" t="s">
        <v>325</v>
      </c>
      <c r="C131" s="10"/>
      <c r="D131" s="9" t="s">
        <v>358</v>
      </c>
      <c r="E131" s="9" t="s">
        <v>155</v>
      </c>
      <c r="F131" s="10"/>
      <c r="G131" s="10"/>
      <c r="H131" s="10"/>
      <c r="I131" s="9" t="s">
        <v>149</v>
      </c>
      <c r="J131" s="10"/>
      <c r="K131" s="9" t="s">
        <v>145</v>
      </c>
    </row>
    <row r="132" customFormat="false" ht="15" hidden="false" customHeight="false" outlineLevel="0" collapsed="false">
      <c r="A132" s="9" t="s">
        <v>407</v>
      </c>
      <c r="B132" s="9" t="s">
        <v>325</v>
      </c>
      <c r="C132" s="10"/>
      <c r="D132" s="9" t="s">
        <v>359</v>
      </c>
      <c r="E132" s="9" t="s">
        <v>155</v>
      </c>
      <c r="F132" s="10"/>
      <c r="G132" s="10"/>
      <c r="H132" s="10"/>
      <c r="I132" s="9" t="s">
        <v>149</v>
      </c>
      <c r="J132" s="10"/>
      <c r="K132" s="9" t="s">
        <v>145</v>
      </c>
    </row>
    <row r="133" customFormat="false" ht="15" hidden="false" customHeight="false" outlineLevel="0" collapsed="false">
      <c r="A133" s="9" t="s">
        <v>407</v>
      </c>
      <c r="B133" s="9" t="s">
        <v>325</v>
      </c>
      <c r="C133" s="10"/>
      <c r="D133" s="9" t="s">
        <v>360</v>
      </c>
      <c r="E133" s="9" t="s">
        <v>361</v>
      </c>
      <c r="F133" s="10"/>
      <c r="G133" s="10"/>
      <c r="H133" s="10"/>
      <c r="I133" s="9" t="s">
        <v>149</v>
      </c>
      <c r="J133" s="10"/>
      <c r="K133" s="9" t="s">
        <v>145</v>
      </c>
    </row>
    <row r="134" customFormat="false" ht="15" hidden="false" customHeight="false" outlineLevel="0" collapsed="false">
      <c r="A134" s="9" t="s">
        <v>407</v>
      </c>
      <c r="B134" s="9" t="s">
        <v>325</v>
      </c>
      <c r="C134" s="10"/>
      <c r="D134" s="9" t="s">
        <v>362</v>
      </c>
      <c r="E134" s="9" t="s">
        <v>361</v>
      </c>
      <c r="F134" s="10"/>
      <c r="G134" s="10"/>
      <c r="H134" s="10"/>
      <c r="I134" s="9" t="s">
        <v>149</v>
      </c>
      <c r="J134" s="10"/>
      <c r="K134" s="9" t="s">
        <v>145</v>
      </c>
    </row>
    <row r="135" customFormat="false" ht="15" hidden="false" customHeight="false" outlineLevel="0" collapsed="false">
      <c r="A135" s="9" t="s">
        <v>407</v>
      </c>
      <c r="B135" s="9" t="s">
        <v>325</v>
      </c>
      <c r="C135" s="10"/>
      <c r="D135" s="9" t="s">
        <v>363</v>
      </c>
      <c r="E135" s="9" t="s">
        <v>361</v>
      </c>
      <c r="F135" s="10"/>
      <c r="G135" s="10"/>
      <c r="H135" s="10"/>
      <c r="I135" s="9" t="s">
        <v>149</v>
      </c>
      <c r="J135" s="10"/>
      <c r="K135" s="9" t="s">
        <v>145</v>
      </c>
    </row>
    <row r="136" customFormat="false" ht="15" hidden="false" customHeight="false" outlineLevel="0" collapsed="false">
      <c r="A136" s="9" t="s">
        <v>407</v>
      </c>
      <c r="B136" s="9" t="s">
        <v>325</v>
      </c>
      <c r="C136" s="10"/>
      <c r="D136" s="9" t="s">
        <v>364</v>
      </c>
      <c r="E136" s="9" t="s">
        <v>361</v>
      </c>
      <c r="F136" s="10"/>
      <c r="G136" s="10"/>
      <c r="H136" s="10"/>
      <c r="I136" s="9" t="s">
        <v>149</v>
      </c>
      <c r="J136" s="10"/>
      <c r="K136" s="9" t="s">
        <v>145</v>
      </c>
    </row>
    <row r="137" customFormat="false" ht="15" hidden="false" customHeight="false" outlineLevel="0" collapsed="false">
      <c r="A137" s="9" t="s">
        <v>407</v>
      </c>
      <c r="B137" s="9" t="s">
        <v>325</v>
      </c>
      <c r="C137" s="10"/>
      <c r="D137" s="9" t="s">
        <v>365</v>
      </c>
      <c r="E137" s="9" t="s">
        <v>361</v>
      </c>
      <c r="F137" s="10"/>
      <c r="G137" s="10"/>
      <c r="H137" s="10"/>
      <c r="I137" s="9" t="s">
        <v>149</v>
      </c>
      <c r="J137" s="10"/>
      <c r="K137" s="9" t="s">
        <v>145</v>
      </c>
    </row>
    <row r="138" customFormat="false" ht="15" hidden="false" customHeight="false" outlineLevel="0" collapsed="false">
      <c r="A138" s="9" t="s">
        <v>407</v>
      </c>
      <c r="B138" s="9" t="s">
        <v>325</v>
      </c>
      <c r="C138" s="10"/>
      <c r="D138" s="9" t="s">
        <v>366</v>
      </c>
      <c r="E138" s="9" t="s">
        <v>361</v>
      </c>
      <c r="F138" s="10"/>
      <c r="G138" s="10"/>
      <c r="H138" s="10"/>
      <c r="I138" s="9" t="s">
        <v>149</v>
      </c>
      <c r="J138" s="10"/>
      <c r="K138" s="9" t="s">
        <v>145</v>
      </c>
    </row>
    <row r="139" customFormat="false" ht="15" hidden="false" customHeight="false" outlineLevel="0" collapsed="false">
      <c r="A139" s="9" t="s">
        <v>407</v>
      </c>
      <c r="B139" s="9" t="s">
        <v>325</v>
      </c>
      <c r="C139" s="10"/>
      <c r="D139" s="9" t="s">
        <v>483</v>
      </c>
      <c r="E139" s="9" t="s">
        <v>368</v>
      </c>
      <c r="F139" s="10"/>
      <c r="G139" s="10"/>
      <c r="H139" s="10"/>
      <c r="I139" s="9" t="s">
        <v>149</v>
      </c>
      <c r="J139" s="10"/>
      <c r="K139" s="9" t="s">
        <v>145</v>
      </c>
    </row>
    <row r="140" customFormat="false" ht="15" hidden="false" customHeight="false" outlineLevel="0" collapsed="false">
      <c r="A140" s="9" t="s">
        <v>407</v>
      </c>
      <c r="B140" s="9" t="s">
        <v>325</v>
      </c>
      <c r="C140" s="10"/>
      <c r="D140" s="9" t="s">
        <v>384</v>
      </c>
      <c r="E140" s="9" t="s">
        <v>368</v>
      </c>
      <c r="F140" s="10"/>
      <c r="G140" s="10"/>
      <c r="H140" s="10"/>
      <c r="I140" s="9" t="s">
        <v>149</v>
      </c>
      <c r="J140" s="10"/>
      <c r="K140" s="9" t="s">
        <v>145</v>
      </c>
    </row>
    <row r="141" customFormat="false" ht="15" hidden="false" customHeight="false" outlineLevel="0" collapsed="false">
      <c r="A141" s="9" t="s">
        <v>407</v>
      </c>
      <c r="B141" s="9" t="s">
        <v>325</v>
      </c>
      <c r="C141" s="10"/>
      <c r="D141" s="9" t="s">
        <v>385</v>
      </c>
      <c r="E141" s="9" t="s">
        <v>368</v>
      </c>
      <c r="F141" s="10"/>
      <c r="G141" s="10"/>
      <c r="H141" s="10"/>
      <c r="I141" s="9" t="s">
        <v>149</v>
      </c>
      <c r="J141" s="10"/>
      <c r="K141" s="9" t="s">
        <v>145</v>
      </c>
    </row>
    <row r="142" customFormat="false" ht="15" hidden="false" customHeight="false" outlineLevel="0" collapsed="false">
      <c r="A142" s="9" t="s">
        <v>407</v>
      </c>
      <c r="B142" s="9" t="s">
        <v>325</v>
      </c>
      <c r="C142" s="10"/>
      <c r="D142" s="9" t="s">
        <v>386</v>
      </c>
      <c r="E142" s="9" t="s">
        <v>368</v>
      </c>
      <c r="F142" s="10"/>
      <c r="G142" s="10"/>
      <c r="H142" s="10"/>
      <c r="I142" s="9" t="s">
        <v>149</v>
      </c>
      <c r="J142" s="10"/>
      <c r="K142" s="9" t="s">
        <v>145</v>
      </c>
    </row>
    <row r="143" customFormat="false" ht="15" hidden="false" customHeight="false" outlineLevel="0" collapsed="false">
      <c r="A143" s="9" t="s">
        <v>407</v>
      </c>
      <c r="B143" s="9" t="s">
        <v>325</v>
      </c>
      <c r="C143" s="10"/>
      <c r="D143" s="9" t="s">
        <v>387</v>
      </c>
      <c r="E143" s="9" t="s">
        <v>368</v>
      </c>
      <c r="F143" s="10"/>
      <c r="G143" s="10"/>
      <c r="H143" s="10"/>
      <c r="I143" s="9" t="s">
        <v>149</v>
      </c>
      <c r="J143" s="10"/>
      <c r="K143" s="9" t="s">
        <v>145</v>
      </c>
    </row>
    <row r="144" customFormat="false" ht="15" hidden="false" customHeight="false" outlineLevel="0" collapsed="false">
      <c r="A144" s="9" t="s">
        <v>407</v>
      </c>
      <c r="B144" s="9" t="s">
        <v>325</v>
      </c>
      <c r="C144" s="10"/>
      <c r="D144" s="9" t="s">
        <v>388</v>
      </c>
      <c r="E144" s="9" t="s">
        <v>368</v>
      </c>
      <c r="F144" s="10"/>
      <c r="G144" s="10"/>
      <c r="H144" s="10"/>
      <c r="I144" s="9" t="s">
        <v>149</v>
      </c>
      <c r="J144" s="10"/>
      <c r="K144" s="9" t="s">
        <v>145</v>
      </c>
    </row>
    <row r="145" customFormat="false" ht="15" hidden="false" customHeight="false" outlineLevel="0" collapsed="false">
      <c r="A145" s="9" t="s">
        <v>407</v>
      </c>
      <c r="B145" s="9" t="s">
        <v>325</v>
      </c>
      <c r="C145" s="10"/>
      <c r="D145" s="9" t="s">
        <v>389</v>
      </c>
      <c r="E145" s="9" t="s">
        <v>368</v>
      </c>
      <c r="F145" s="10"/>
      <c r="G145" s="10"/>
      <c r="H145" s="10"/>
      <c r="I145" s="9" t="s">
        <v>149</v>
      </c>
      <c r="J145" s="10"/>
      <c r="K145" s="9" t="s">
        <v>145</v>
      </c>
    </row>
    <row r="146" customFormat="false" ht="15" hidden="false" customHeight="false" outlineLevel="0" collapsed="false">
      <c r="A146" s="9" t="s">
        <v>407</v>
      </c>
      <c r="B146" s="9" t="s">
        <v>325</v>
      </c>
      <c r="C146" s="10"/>
      <c r="D146" s="9" t="s">
        <v>484</v>
      </c>
      <c r="E146" s="9" t="s">
        <v>368</v>
      </c>
      <c r="F146" s="10"/>
      <c r="G146" s="10"/>
      <c r="H146" s="10"/>
      <c r="I146" s="9" t="s">
        <v>149</v>
      </c>
      <c r="J146" s="10"/>
      <c r="K146" s="9" t="s">
        <v>145</v>
      </c>
    </row>
    <row r="147" customFormat="false" ht="15" hidden="false" customHeight="false" outlineLevel="0" collapsed="false">
      <c r="A147" s="9" t="s">
        <v>407</v>
      </c>
      <c r="B147" s="9" t="s">
        <v>325</v>
      </c>
      <c r="C147" s="10"/>
      <c r="D147" s="9" t="s">
        <v>390</v>
      </c>
      <c r="E147" s="9" t="s">
        <v>166</v>
      </c>
      <c r="F147" s="10"/>
      <c r="G147" s="10"/>
      <c r="H147" s="10"/>
      <c r="I147" s="9" t="s">
        <v>149</v>
      </c>
      <c r="J147" s="10"/>
      <c r="K147" s="9" t="s">
        <v>145</v>
      </c>
    </row>
    <row r="148" customFormat="false" ht="15" hidden="false" customHeight="false" outlineLevel="0" collapsed="false">
      <c r="A148" s="9" t="s">
        <v>407</v>
      </c>
      <c r="B148" s="9" t="s">
        <v>325</v>
      </c>
      <c r="C148" s="10"/>
      <c r="D148" s="9" t="s">
        <v>391</v>
      </c>
      <c r="E148" s="9" t="s">
        <v>166</v>
      </c>
      <c r="F148" s="10"/>
      <c r="G148" s="10"/>
      <c r="H148" s="10"/>
      <c r="I148" s="9" t="s">
        <v>149</v>
      </c>
      <c r="J148" s="10"/>
      <c r="K148" s="9" t="s">
        <v>145</v>
      </c>
    </row>
    <row r="149" customFormat="false" ht="15" hidden="false" customHeight="false" outlineLevel="0" collapsed="false">
      <c r="A149" s="9" t="s">
        <v>407</v>
      </c>
      <c r="B149" s="9" t="s">
        <v>325</v>
      </c>
      <c r="C149" s="10"/>
      <c r="D149" s="9" t="s">
        <v>392</v>
      </c>
      <c r="E149" s="9" t="s">
        <v>166</v>
      </c>
      <c r="F149" s="10"/>
      <c r="G149" s="10"/>
      <c r="H149" s="10"/>
      <c r="I149" s="9" t="s">
        <v>149</v>
      </c>
      <c r="J149" s="10"/>
      <c r="K149" s="9" t="s">
        <v>145</v>
      </c>
    </row>
    <row r="150" customFormat="false" ht="15" hidden="false" customHeight="false" outlineLevel="0" collapsed="false">
      <c r="A150" s="9" t="s">
        <v>407</v>
      </c>
      <c r="B150" s="9" t="s">
        <v>325</v>
      </c>
      <c r="C150" s="10"/>
      <c r="D150" s="9" t="s">
        <v>393</v>
      </c>
      <c r="E150" s="9" t="s">
        <v>166</v>
      </c>
      <c r="F150" s="10"/>
      <c r="G150" s="10"/>
      <c r="H150" s="10"/>
      <c r="I150" s="9" t="s">
        <v>149</v>
      </c>
      <c r="J150" s="10"/>
      <c r="K150" s="9" t="s">
        <v>145</v>
      </c>
    </row>
    <row r="151" customFormat="false" ht="15" hidden="false" customHeight="false" outlineLevel="0" collapsed="false">
      <c r="A151" s="9" t="s">
        <v>407</v>
      </c>
      <c r="B151" s="9" t="s">
        <v>325</v>
      </c>
      <c r="C151" s="10"/>
      <c r="D151" s="9" t="s">
        <v>394</v>
      </c>
      <c r="E151" s="9" t="s">
        <v>166</v>
      </c>
      <c r="F151" s="10"/>
      <c r="G151" s="10"/>
      <c r="H151" s="10"/>
      <c r="I151" s="9" t="s">
        <v>149</v>
      </c>
      <c r="J151" s="10"/>
      <c r="K151" s="9" t="s">
        <v>145</v>
      </c>
    </row>
    <row r="152" customFormat="false" ht="15" hidden="false" customHeight="false" outlineLevel="0" collapsed="false">
      <c r="A152" s="9" t="s">
        <v>407</v>
      </c>
      <c r="B152" s="9" t="s">
        <v>325</v>
      </c>
      <c r="C152" s="10"/>
      <c r="D152" s="9" t="s">
        <v>395</v>
      </c>
      <c r="E152" s="9" t="s">
        <v>166</v>
      </c>
      <c r="F152" s="10"/>
      <c r="G152" s="10"/>
      <c r="H152" s="10"/>
      <c r="I152" s="9" t="s">
        <v>149</v>
      </c>
      <c r="J152" s="10"/>
      <c r="K152" s="9" t="s">
        <v>145</v>
      </c>
    </row>
    <row r="153" customFormat="false" ht="26.85" hidden="false" customHeight="false" outlineLevel="0" collapsed="false">
      <c r="A153" s="9" t="s">
        <v>407</v>
      </c>
      <c r="B153" s="9" t="s">
        <v>325</v>
      </c>
      <c r="C153" s="10" t="s">
        <v>326</v>
      </c>
      <c r="D153" s="9" t="s">
        <v>327</v>
      </c>
      <c r="E153" s="9" t="s">
        <v>256</v>
      </c>
      <c r="F153" s="10"/>
      <c r="G153" s="10"/>
      <c r="H153" s="10"/>
      <c r="I153" s="10"/>
      <c r="J153" s="10"/>
      <c r="K153" s="9" t="s">
        <v>396</v>
      </c>
    </row>
    <row r="154" customFormat="false" ht="26.85" hidden="false" customHeight="false" outlineLevel="0" collapsed="false">
      <c r="A154" s="9" t="s">
        <v>407</v>
      </c>
      <c r="B154" s="9" t="s">
        <v>325</v>
      </c>
      <c r="C154" s="10" t="s">
        <v>326</v>
      </c>
      <c r="D154" s="9" t="s">
        <v>328</v>
      </c>
      <c r="E154" s="9" t="s">
        <v>256</v>
      </c>
      <c r="F154" s="10"/>
      <c r="G154" s="10"/>
      <c r="H154" s="10"/>
      <c r="I154" s="10"/>
      <c r="J154" s="10"/>
      <c r="K154" s="9" t="s">
        <v>396</v>
      </c>
    </row>
    <row r="155" customFormat="false" ht="26.85" hidden="false" customHeight="false" outlineLevel="0" collapsed="false">
      <c r="A155" s="9" t="s">
        <v>407</v>
      </c>
      <c r="B155" s="9" t="s">
        <v>325</v>
      </c>
      <c r="C155" s="10" t="s">
        <v>329</v>
      </c>
      <c r="D155" s="9" t="s">
        <v>330</v>
      </c>
      <c r="E155" s="9" t="s">
        <v>256</v>
      </c>
      <c r="F155" s="10"/>
      <c r="G155" s="10"/>
      <c r="H155" s="10"/>
      <c r="I155" s="10"/>
      <c r="J155" s="10"/>
      <c r="K155" s="9" t="s">
        <v>396</v>
      </c>
    </row>
    <row r="156" customFormat="false" ht="26.85" hidden="false" customHeight="false" outlineLevel="0" collapsed="false">
      <c r="A156" s="9" t="s">
        <v>407</v>
      </c>
      <c r="B156" s="9" t="s">
        <v>325</v>
      </c>
      <c r="C156" s="10"/>
      <c r="D156" s="9" t="s">
        <v>397</v>
      </c>
      <c r="E156" s="9" t="s">
        <v>256</v>
      </c>
      <c r="F156" s="10"/>
      <c r="G156" s="10"/>
      <c r="H156" s="10"/>
      <c r="I156" s="10"/>
      <c r="J156" s="10"/>
      <c r="K156" s="9" t="s">
        <v>396</v>
      </c>
    </row>
    <row r="157" customFormat="false" ht="26.85" hidden="false" customHeight="false" outlineLevel="0" collapsed="false">
      <c r="A157" s="9" t="s">
        <v>407</v>
      </c>
      <c r="B157" s="9" t="s">
        <v>325</v>
      </c>
      <c r="C157" s="10"/>
      <c r="D157" s="9" t="s">
        <v>398</v>
      </c>
      <c r="E157" s="9" t="s">
        <v>256</v>
      </c>
      <c r="F157" s="10"/>
      <c r="G157" s="10"/>
      <c r="H157" s="10"/>
      <c r="I157" s="10"/>
      <c r="J157" s="10"/>
      <c r="K157" s="9" t="s">
        <v>396</v>
      </c>
    </row>
    <row r="158" customFormat="false" ht="26.85" hidden="false" customHeight="false" outlineLevel="0" collapsed="false">
      <c r="A158" s="9" t="s">
        <v>407</v>
      </c>
      <c r="B158" s="9" t="s">
        <v>325</v>
      </c>
      <c r="C158" s="10"/>
      <c r="D158" s="9" t="s">
        <v>399</v>
      </c>
      <c r="E158" s="9" t="s">
        <v>256</v>
      </c>
      <c r="F158" s="10"/>
      <c r="G158" s="10"/>
      <c r="H158" s="10"/>
      <c r="I158" s="10"/>
      <c r="J158" s="10"/>
      <c r="K158" s="9" t="s">
        <v>396</v>
      </c>
    </row>
    <row r="159" customFormat="false" ht="26.85" hidden="false" customHeight="false" outlineLevel="0" collapsed="false">
      <c r="A159" s="9" t="s">
        <v>407</v>
      </c>
      <c r="B159" s="9" t="s">
        <v>325</v>
      </c>
      <c r="C159" s="10" t="s">
        <v>326</v>
      </c>
      <c r="D159" s="9" t="s">
        <v>327</v>
      </c>
      <c r="E159" s="9" t="s">
        <v>257</v>
      </c>
      <c r="F159" s="10"/>
      <c r="G159" s="10"/>
      <c r="H159" s="10"/>
      <c r="I159" s="10"/>
      <c r="J159" s="10"/>
      <c r="K159" s="9" t="s">
        <v>396</v>
      </c>
    </row>
    <row r="160" customFormat="false" ht="26.85" hidden="false" customHeight="false" outlineLevel="0" collapsed="false">
      <c r="A160" s="9" t="s">
        <v>407</v>
      </c>
      <c r="B160" s="9" t="s">
        <v>325</v>
      </c>
      <c r="C160" s="10" t="s">
        <v>326</v>
      </c>
      <c r="D160" s="9" t="s">
        <v>328</v>
      </c>
      <c r="E160" s="9" t="s">
        <v>257</v>
      </c>
      <c r="F160" s="10"/>
      <c r="G160" s="10"/>
      <c r="H160" s="10"/>
      <c r="I160" s="10"/>
      <c r="J160" s="10"/>
      <c r="K160" s="9" t="s">
        <v>396</v>
      </c>
    </row>
    <row r="161" customFormat="false" ht="26.85" hidden="false" customHeight="false" outlineLevel="0" collapsed="false">
      <c r="A161" s="9" t="s">
        <v>407</v>
      </c>
      <c r="B161" s="9" t="s">
        <v>325</v>
      </c>
      <c r="C161" s="10" t="s">
        <v>329</v>
      </c>
      <c r="D161" s="9" t="s">
        <v>330</v>
      </c>
      <c r="E161" s="9" t="s">
        <v>257</v>
      </c>
      <c r="F161" s="10"/>
      <c r="G161" s="10"/>
      <c r="H161" s="10"/>
      <c r="I161" s="10"/>
      <c r="J161" s="10"/>
      <c r="K161" s="9" t="s">
        <v>396</v>
      </c>
    </row>
    <row r="162" customFormat="false" ht="39.55" hidden="false" customHeight="false" outlineLevel="0" collapsed="false">
      <c r="A162" s="9" t="s">
        <v>407</v>
      </c>
      <c r="B162" s="9" t="s">
        <v>325</v>
      </c>
      <c r="C162" s="10"/>
      <c r="D162" s="9" t="s">
        <v>400</v>
      </c>
      <c r="E162" s="9" t="s">
        <v>257</v>
      </c>
      <c r="F162" s="10"/>
      <c r="G162" s="10"/>
      <c r="H162" s="10"/>
      <c r="I162" s="10"/>
      <c r="J162" s="10"/>
      <c r="K162" s="9" t="s">
        <v>396</v>
      </c>
    </row>
    <row r="163" customFormat="false" ht="26.85" hidden="false" customHeight="false" outlineLevel="0" collapsed="false">
      <c r="A163" s="9" t="s">
        <v>407</v>
      </c>
      <c r="B163" s="9" t="s">
        <v>325</v>
      </c>
      <c r="C163" s="10"/>
      <c r="D163" s="9" t="s">
        <v>401</v>
      </c>
      <c r="E163" s="9" t="s">
        <v>257</v>
      </c>
      <c r="F163" s="10"/>
      <c r="G163" s="10"/>
      <c r="H163" s="10"/>
      <c r="I163" s="10"/>
      <c r="J163" s="10"/>
      <c r="K163" s="9" t="s">
        <v>396</v>
      </c>
    </row>
    <row r="164" customFormat="false" ht="26.85" hidden="false" customHeight="false" outlineLevel="0" collapsed="false">
      <c r="A164" s="9" t="s">
        <v>407</v>
      </c>
      <c r="B164" s="9" t="s">
        <v>325</v>
      </c>
      <c r="C164" s="10"/>
      <c r="D164" s="9" t="s">
        <v>402</v>
      </c>
      <c r="E164" s="9" t="s">
        <v>257</v>
      </c>
      <c r="F164" s="10"/>
      <c r="G164" s="10"/>
      <c r="H164" s="10"/>
      <c r="I164" s="10"/>
      <c r="J164" s="10"/>
      <c r="K164" s="9" t="s">
        <v>396</v>
      </c>
    </row>
    <row r="165" customFormat="false" ht="26.85" hidden="false" customHeight="false" outlineLevel="0" collapsed="false">
      <c r="A165" s="9" t="s">
        <v>407</v>
      </c>
      <c r="B165" s="9" t="s">
        <v>325</v>
      </c>
      <c r="C165" s="10" t="s">
        <v>326</v>
      </c>
      <c r="D165" s="9" t="s">
        <v>327</v>
      </c>
      <c r="E165" s="9" t="s">
        <v>403</v>
      </c>
      <c r="F165" s="10"/>
      <c r="G165" s="10"/>
      <c r="H165" s="10"/>
      <c r="I165" s="10"/>
      <c r="J165" s="10"/>
      <c r="K165" s="9" t="s">
        <v>396</v>
      </c>
    </row>
    <row r="166" customFormat="false" ht="26.85" hidden="false" customHeight="false" outlineLevel="0" collapsed="false">
      <c r="A166" s="9" t="s">
        <v>407</v>
      </c>
      <c r="B166" s="9" t="s">
        <v>325</v>
      </c>
      <c r="C166" s="10" t="s">
        <v>326</v>
      </c>
      <c r="D166" s="9" t="s">
        <v>328</v>
      </c>
      <c r="E166" s="9" t="s">
        <v>403</v>
      </c>
      <c r="F166" s="10"/>
      <c r="G166" s="10"/>
      <c r="H166" s="10"/>
      <c r="I166" s="10"/>
      <c r="J166" s="10"/>
      <c r="K166" s="9" t="s">
        <v>396</v>
      </c>
    </row>
    <row r="167" customFormat="false" ht="26.85" hidden="false" customHeight="false" outlineLevel="0" collapsed="false">
      <c r="A167" s="9" t="s">
        <v>407</v>
      </c>
      <c r="B167" s="9" t="s">
        <v>325</v>
      </c>
      <c r="C167" s="10" t="s">
        <v>329</v>
      </c>
      <c r="D167" s="9" t="s">
        <v>330</v>
      </c>
      <c r="E167" s="9" t="s">
        <v>403</v>
      </c>
      <c r="F167" s="10"/>
      <c r="G167" s="10"/>
      <c r="H167" s="10"/>
      <c r="I167" s="10"/>
      <c r="J167" s="10"/>
      <c r="K167" s="9" t="s">
        <v>396</v>
      </c>
    </row>
    <row r="168" customFormat="false" ht="39.55" hidden="false" customHeight="false" outlineLevel="0" collapsed="false">
      <c r="A168" s="9" t="s">
        <v>407</v>
      </c>
      <c r="B168" s="9" t="s">
        <v>325</v>
      </c>
      <c r="C168" s="10"/>
      <c r="D168" s="9" t="s">
        <v>404</v>
      </c>
      <c r="E168" s="9" t="s">
        <v>403</v>
      </c>
      <c r="F168" s="10"/>
      <c r="G168" s="10"/>
      <c r="H168" s="10"/>
      <c r="I168" s="10"/>
      <c r="J168" s="10"/>
      <c r="K168" s="9" t="s">
        <v>396</v>
      </c>
    </row>
    <row r="169" customFormat="false" ht="26.85" hidden="false" customHeight="false" outlineLevel="0" collapsed="false">
      <c r="A169" s="9" t="s">
        <v>407</v>
      </c>
      <c r="B169" s="9" t="s">
        <v>325</v>
      </c>
      <c r="C169" s="10"/>
      <c r="D169" s="9" t="s">
        <v>405</v>
      </c>
      <c r="E169" s="9" t="s">
        <v>403</v>
      </c>
      <c r="F169" s="10"/>
      <c r="G169" s="10"/>
      <c r="H169" s="10"/>
      <c r="I169" s="10"/>
      <c r="J169" s="10"/>
      <c r="K169" s="9" t="s">
        <v>396</v>
      </c>
    </row>
    <row r="170" customFormat="false" ht="26.85" hidden="false" customHeight="false" outlineLevel="0" collapsed="false">
      <c r="A170" s="9" t="s">
        <v>407</v>
      </c>
      <c r="B170" s="9" t="s">
        <v>325</v>
      </c>
      <c r="C170" s="10"/>
      <c r="D170" s="9" t="s">
        <v>406</v>
      </c>
      <c r="E170" s="9" t="s">
        <v>403</v>
      </c>
      <c r="F170" s="10"/>
      <c r="G170" s="10"/>
      <c r="H170" s="10"/>
      <c r="I170" s="10"/>
      <c r="J170" s="10"/>
      <c r="K170" s="9" t="s">
        <v>396</v>
      </c>
    </row>
    <row r="171" customFormat="false" ht="15" hidden="false" customHeight="false" outlineLevel="0" collapsed="false">
      <c r="A171" s="9" t="s">
        <v>485</v>
      </c>
      <c r="B171" s="9" t="s">
        <v>325</v>
      </c>
      <c r="C171" s="10" t="s">
        <v>326</v>
      </c>
      <c r="D171" s="9" t="s">
        <v>327</v>
      </c>
      <c r="E171" s="9" t="s">
        <v>30</v>
      </c>
      <c r="F171" s="10"/>
      <c r="G171" s="10"/>
      <c r="H171" s="10"/>
      <c r="I171" s="10"/>
      <c r="J171" s="10"/>
      <c r="K171" s="9" t="s">
        <v>145</v>
      </c>
    </row>
    <row r="172" customFormat="false" ht="15" hidden="false" customHeight="false" outlineLevel="0" collapsed="false">
      <c r="A172" s="9" t="s">
        <v>485</v>
      </c>
      <c r="B172" s="9" t="s">
        <v>325</v>
      </c>
      <c r="C172" s="10" t="s">
        <v>326</v>
      </c>
      <c r="D172" s="9" t="s">
        <v>328</v>
      </c>
      <c r="E172" s="9" t="s">
        <v>30</v>
      </c>
      <c r="F172" s="10"/>
      <c r="G172" s="10"/>
      <c r="H172" s="10"/>
      <c r="I172" s="10"/>
      <c r="J172" s="10"/>
      <c r="K172" s="9" t="s">
        <v>145</v>
      </c>
    </row>
    <row r="173" customFormat="false" ht="15" hidden="false" customHeight="false" outlineLevel="0" collapsed="false">
      <c r="A173" s="9" t="s">
        <v>485</v>
      </c>
      <c r="B173" s="9" t="s">
        <v>325</v>
      </c>
      <c r="C173" s="10" t="s">
        <v>329</v>
      </c>
      <c r="D173" s="9" t="s">
        <v>330</v>
      </c>
      <c r="E173" s="9" t="s">
        <v>30</v>
      </c>
      <c r="F173" s="10"/>
      <c r="G173" s="10"/>
      <c r="H173" s="10"/>
      <c r="I173" s="10"/>
      <c r="J173" s="10"/>
      <c r="K173" s="9" t="s">
        <v>145</v>
      </c>
    </row>
    <row r="174" customFormat="false" ht="15" hidden="false" customHeight="false" outlineLevel="0" collapsed="false">
      <c r="A174" s="9" t="s">
        <v>485</v>
      </c>
      <c r="B174" s="9" t="s">
        <v>325</v>
      </c>
      <c r="C174" s="10" t="s">
        <v>329</v>
      </c>
      <c r="D174" s="9" t="s">
        <v>331</v>
      </c>
      <c r="E174" s="9" t="s">
        <v>30</v>
      </c>
      <c r="F174" s="10"/>
      <c r="G174" s="10"/>
      <c r="H174" s="10"/>
      <c r="I174" s="10"/>
      <c r="J174" s="10"/>
      <c r="K174" s="9" t="s">
        <v>145</v>
      </c>
    </row>
    <row r="175" customFormat="false" ht="15" hidden="false" customHeight="false" outlineLevel="0" collapsed="false">
      <c r="A175" s="9" t="s">
        <v>485</v>
      </c>
      <c r="B175" s="9" t="s">
        <v>325</v>
      </c>
      <c r="C175" s="10" t="s">
        <v>332</v>
      </c>
      <c r="D175" s="9" t="s">
        <v>333</v>
      </c>
      <c r="E175" s="9" t="s">
        <v>30</v>
      </c>
      <c r="F175" s="10"/>
      <c r="G175" s="10"/>
      <c r="H175" s="10"/>
      <c r="I175" s="10"/>
      <c r="J175" s="10"/>
      <c r="K175" s="9" t="s">
        <v>145</v>
      </c>
    </row>
    <row r="176" customFormat="false" ht="15" hidden="false" customHeight="false" outlineLevel="0" collapsed="false">
      <c r="A176" s="9" t="s">
        <v>485</v>
      </c>
      <c r="B176" s="9" t="s">
        <v>325</v>
      </c>
      <c r="C176" s="10" t="s">
        <v>332</v>
      </c>
      <c r="D176" s="9" t="s">
        <v>334</v>
      </c>
      <c r="E176" s="9" t="s">
        <v>30</v>
      </c>
      <c r="F176" s="10"/>
      <c r="G176" s="10"/>
      <c r="H176" s="10"/>
      <c r="I176" s="10"/>
      <c r="J176" s="10"/>
      <c r="K176" s="9" t="s">
        <v>145</v>
      </c>
    </row>
    <row r="177" customFormat="false" ht="26.85" hidden="false" customHeight="false" outlineLevel="0" collapsed="false">
      <c r="A177" s="9" t="s">
        <v>485</v>
      </c>
      <c r="B177" s="9" t="s">
        <v>325</v>
      </c>
      <c r="C177" s="10"/>
      <c r="D177" s="9" t="s">
        <v>335</v>
      </c>
      <c r="E177" s="9" t="s">
        <v>30</v>
      </c>
      <c r="F177" s="10"/>
      <c r="G177" s="10"/>
      <c r="H177" s="10"/>
      <c r="I177" s="10"/>
      <c r="J177" s="10"/>
      <c r="K177" s="9" t="s">
        <v>145</v>
      </c>
    </row>
    <row r="178" customFormat="false" ht="26.85" hidden="false" customHeight="false" outlineLevel="0" collapsed="false">
      <c r="A178" s="9" t="s">
        <v>485</v>
      </c>
      <c r="B178" s="9" t="s">
        <v>325</v>
      </c>
      <c r="C178" s="10"/>
      <c r="D178" s="9" t="s">
        <v>336</v>
      </c>
      <c r="E178" s="9" t="s">
        <v>30</v>
      </c>
      <c r="F178" s="10"/>
      <c r="G178" s="10"/>
      <c r="H178" s="10"/>
      <c r="I178" s="10"/>
      <c r="J178" s="10"/>
      <c r="K178" s="9" t="s">
        <v>145</v>
      </c>
    </row>
    <row r="179" customFormat="false" ht="26.85" hidden="false" customHeight="false" outlineLevel="0" collapsed="false">
      <c r="A179" s="9" t="s">
        <v>485</v>
      </c>
      <c r="B179" s="9" t="s">
        <v>325</v>
      </c>
      <c r="C179" s="10"/>
      <c r="D179" s="9" t="s">
        <v>337</v>
      </c>
      <c r="E179" s="9" t="s">
        <v>30</v>
      </c>
      <c r="F179" s="10"/>
      <c r="G179" s="10"/>
      <c r="H179" s="10"/>
      <c r="I179" s="10"/>
      <c r="J179" s="10"/>
      <c r="K179" s="9" t="s">
        <v>145</v>
      </c>
    </row>
    <row r="180" customFormat="false" ht="26.85" hidden="false" customHeight="false" outlineLevel="0" collapsed="false">
      <c r="A180" s="9" t="s">
        <v>485</v>
      </c>
      <c r="B180" s="9" t="s">
        <v>325</v>
      </c>
      <c r="C180" s="10"/>
      <c r="D180" s="9" t="s">
        <v>338</v>
      </c>
      <c r="E180" s="9" t="s">
        <v>30</v>
      </c>
      <c r="F180" s="10"/>
      <c r="G180" s="10"/>
      <c r="H180" s="10"/>
      <c r="I180" s="10"/>
      <c r="J180" s="10"/>
      <c r="K180" s="9" t="s">
        <v>145</v>
      </c>
    </row>
    <row r="181" customFormat="false" ht="52.2" hidden="false" customHeight="false" outlineLevel="0" collapsed="false">
      <c r="A181" s="9" t="s">
        <v>485</v>
      </c>
      <c r="B181" s="9" t="s">
        <v>325</v>
      </c>
      <c r="C181" s="10" t="s">
        <v>326</v>
      </c>
      <c r="D181" s="9" t="s">
        <v>327</v>
      </c>
      <c r="E181" s="9" t="s">
        <v>132</v>
      </c>
      <c r="F181" s="10"/>
      <c r="G181" s="10"/>
      <c r="H181" s="10"/>
      <c r="I181" s="10"/>
      <c r="J181" s="10"/>
      <c r="K181" s="9" t="s">
        <v>486</v>
      </c>
    </row>
    <row r="182" customFormat="false" ht="15" hidden="false" customHeight="false" outlineLevel="0" collapsed="false">
      <c r="A182" s="9" t="s">
        <v>485</v>
      </c>
      <c r="B182" s="9" t="s">
        <v>325</v>
      </c>
      <c r="C182" s="10" t="s">
        <v>326</v>
      </c>
      <c r="D182" s="9" t="s">
        <v>328</v>
      </c>
      <c r="E182" s="9" t="s">
        <v>132</v>
      </c>
      <c r="F182" s="10"/>
      <c r="G182" s="10"/>
      <c r="H182" s="10"/>
      <c r="I182" s="10"/>
      <c r="J182" s="10"/>
      <c r="K182" s="9" t="s">
        <v>145</v>
      </c>
    </row>
    <row r="183" customFormat="false" ht="15" hidden="false" customHeight="false" outlineLevel="0" collapsed="false">
      <c r="A183" s="9" t="s">
        <v>485</v>
      </c>
      <c r="B183" s="9" t="s">
        <v>325</v>
      </c>
      <c r="C183" s="10" t="s">
        <v>329</v>
      </c>
      <c r="D183" s="9" t="s">
        <v>330</v>
      </c>
      <c r="E183" s="9" t="s">
        <v>132</v>
      </c>
      <c r="F183" s="10"/>
      <c r="G183" s="10"/>
      <c r="H183" s="10"/>
      <c r="I183" s="10"/>
      <c r="J183" s="10"/>
      <c r="K183" s="9" t="s">
        <v>145</v>
      </c>
    </row>
    <row r="184" customFormat="false" ht="15" hidden="false" customHeight="false" outlineLevel="0" collapsed="false">
      <c r="A184" s="9" t="s">
        <v>485</v>
      </c>
      <c r="B184" s="9" t="s">
        <v>325</v>
      </c>
      <c r="C184" s="10" t="s">
        <v>329</v>
      </c>
      <c r="D184" s="9" t="s">
        <v>331</v>
      </c>
      <c r="E184" s="9" t="s">
        <v>132</v>
      </c>
      <c r="F184" s="10"/>
      <c r="G184" s="10"/>
      <c r="H184" s="10"/>
      <c r="I184" s="10"/>
      <c r="J184" s="10"/>
      <c r="K184" s="9" t="s">
        <v>145</v>
      </c>
    </row>
    <row r="185" customFormat="false" ht="15" hidden="false" customHeight="false" outlineLevel="0" collapsed="false">
      <c r="A185" s="9" t="s">
        <v>485</v>
      </c>
      <c r="B185" s="9" t="s">
        <v>325</v>
      </c>
      <c r="C185" s="10" t="s">
        <v>332</v>
      </c>
      <c r="D185" s="9" t="s">
        <v>333</v>
      </c>
      <c r="E185" s="9" t="s">
        <v>132</v>
      </c>
      <c r="F185" s="10"/>
      <c r="G185" s="10"/>
      <c r="H185" s="10"/>
      <c r="I185" s="10"/>
      <c r="J185" s="10"/>
      <c r="K185" s="9" t="s">
        <v>145</v>
      </c>
    </row>
    <row r="186" customFormat="false" ht="15" hidden="false" customHeight="false" outlineLevel="0" collapsed="false">
      <c r="A186" s="9" t="s">
        <v>485</v>
      </c>
      <c r="B186" s="9" t="s">
        <v>325</v>
      </c>
      <c r="C186" s="10" t="s">
        <v>332</v>
      </c>
      <c r="D186" s="9" t="s">
        <v>334</v>
      </c>
      <c r="E186" s="9" t="s">
        <v>132</v>
      </c>
      <c r="F186" s="10"/>
      <c r="G186" s="10"/>
      <c r="H186" s="10"/>
      <c r="I186" s="10"/>
      <c r="J186" s="10"/>
      <c r="K186" s="9" t="s">
        <v>145</v>
      </c>
    </row>
    <row r="187" customFormat="false" ht="26.85" hidden="false" customHeight="false" outlineLevel="0" collapsed="false">
      <c r="A187" s="9" t="s">
        <v>485</v>
      </c>
      <c r="B187" s="9" t="s">
        <v>325</v>
      </c>
      <c r="C187" s="10"/>
      <c r="D187" s="9" t="s">
        <v>339</v>
      </c>
      <c r="E187" s="9" t="s">
        <v>132</v>
      </c>
      <c r="F187" s="10"/>
      <c r="G187" s="10"/>
      <c r="H187" s="10"/>
      <c r="I187" s="10"/>
      <c r="J187" s="10"/>
      <c r="K187" s="9" t="s">
        <v>145</v>
      </c>
    </row>
    <row r="188" customFormat="false" ht="26.85" hidden="false" customHeight="false" outlineLevel="0" collapsed="false">
      <c r="A188" s="9" t="s">
        <v>485</v>
      </c>
      <c r="B188" s="9" t="s">
        <v>325</v>
      </c>
      <c r="C188" s="10"/>
      <c r="D188" s="9" t="s">
        <v>340</v>
      </c>
      <c r="E188" s="9" t="s">
        <v>132</v>
      </c>
      <c r="F188" s="10"/>
      <c r="G188" s="10"/>
      <c r="H188" s="10"/>
      <c r="I188" s="10"/>
      <c r="J188" s="10"/>
      <c r="K188" s="9" t="s">
        <v>145</v>
      </c>
    </row>
    <row r="189" customFormat="false" ht="115.65" hidden="false" customHeight="false" outlineLevel="0" collapsed="false">
      <c r="A189" s="6" t="s">
        <v>485</v>
      </c>
      <c r="B189" s="6" t="s">
        <v>325</v>
      </c>
      <c r="C189" s="7" t="s">
        <v>326</v>
      </c>
      <c r="D189" s="6" t="s">
        <v>327</v>
      </c>
      <c r="E189" s="6" t="s">
        <v>146</v>
      </c>
      <c r="F189" s="6" t="s">
        <v>487</v>
      </c>
      <c r="G189" s="7"/>
      <c r="H189" s="6" t="s">
        <v>148</v>
      </c>
      <c r="I189" s="6" t="s">
        <v>33</v>
      </c>
      <c r="J189" s="8" t="s">
        <v>488</v>
      </c>
      <c r="K189" s="6" t="s">
        <v>489</v>
      </c>
    </row>
    <row r="190" customFormat="false" ht="115.65" hidden="false" customHeight="false" outlineLevel="0" collapsed="false">
      <c r="A190" s="6" t="s">
        <v>485</v>
      </c>
      <c r="B190" s="6" t="s">
        <v>325</v>
      </c>
      <c r="C190" s="7" t="s">
        <v>326</v>
      </c>
      <c r="D190" s="6" t="s">
        <v>327</v>
      </c>
      <c r="E190" s="6" t="s">
        <v>146</v>
      </c>
      <c r="F190" s="6" t="s">
        <v>490</v>
      </c>
      <c r="G190" s="7"/>
      <c r="H190" s="6" t="s">
        <v>148</v>
      </c>
      <c r="I190" s="6" t="s">
        <v>33</v>
      </c>
      <c r="J190" s="8" t="s">
        <v>488</v>
      </c>
      <c r="K190" s="6" t="s">
        <v>489</v>
      </c>
    </row>
    <row r="191" customFormat="false" ht="115.65" hidden="false" customHeight="false" outlineLevel="0" collapsed="false">
      <c r="A191" s="6" t="s">
        <v>485</v>
      </c>
      <c r="B191" s="6" t="s">
        <v>325</v>
      </c>
      <c r="C191" s="7" t="s">
        <v>326</v>
      </c>
      <c r="D191" s="6" t="s">
        <v>327</v>
      </c>
      <c r="E191" s="6" t="s">
        <v>146</v>
      </c>
      <c r="F191" s="6" t="s">
        <v>491</v>
      </c>
      <c r="G191" s="7"/>
      <c r="H191" s="6" t="s">
        <v>148</v>
      </c>
      <c r="I191" s="6" t="s">
        <v>33</v>
      </c>
      <c r="J191" s="8" t="s">
        <v>488</v>
      </c>
      <c r="K191" s="6" t="s">
        <v>489</v>
      </c>
    </row>
    <row r="192" customFormat="false" ht="115.65" hidden="false" customHeight="false" outlineLevel="0" collapsed="false">
      <c r="A192" s="6" t="s">
        <v>485</v>
      </c>
      <c r="B192" s="6" t="s">
        <v>325</v>
      </c>
      <c r="C192" s="7" t="s">
        <v>326</v>
      </c>
      <c r="D192" s="6" t="s">
        <v>327</v>
      </c>
      <c r="E192" s="6" t="s">
        <v>146</v>
      </c>
      <c r="F192" s="6" t="s">
        <v>492</v>
      </c>
      <c r="G192" s="7"/>
      <c r="H192" s="6" t="s">
        <v>148</v>
      </c>
      <c r="I192" s="6" t="s">
        <v>33</v>
      </c>
      <c r="J192" s="8" t="s">
        <v>488</v>
      </c>
      <c r="K192" s="6" t="s">
        <v>489</v>
      </c>
    </row>
    <row r="193" customFormat="false" ht="115.65" hidden="false" customHeight="false" outlineLevel="0" collapsed="false">
      <c r="A193" s="6" t="s">
        <v>485</v>
      </c>
      <c r="B193" s="6" t="s">
        <v>325</v>
      </c>
      <c r="C193" s="7" t="s">
        <v>326</v>
      </c>
      <c r="D193" s="6" t="s">
        <v>327</v>
      </c>
      <c r="E193" s="6" t="s">
        <v>146</v>
      </c>
      <c r="F193" s="6" t="s">
        <v>493</v>
      </c>
      <c r="G193" s="7"/>
      <c r="H193" s="6" t="s">
        <v>148</v>
      </c>
      <c r="I193" s="6" t="s">
        <v>33</v>
      </c>
      <c r="J193" s="8" t="s">
        <v>488</v>
      </c>
      <c r="K193" s="6" t="s">
        <v>489</v>
      </c>
    </row>
    <row r="194" customFormat="false" ht="115.65" hidden="false" customHeight="false" outlineLevel="0" collapsed="false">
      <c r="A194" s="6" t="s">
        <v>485</v>
      </c>
      <c r="B194" s="6" t="s">
        <v>325</v>
      </c>
      <c r="C194" s="7" t="s">
        <v>326</v>
      </c>
      <c r="D194" s="6" t="s">
        <v>327</v>
      </c>
      <c r="E194" s="6" t="s">
        <v>146</v>
      </c>
      <c r="F194" s="6" t="s">
        <v>494</v>
      </c>
      <c r="G194" s="7"/>
      <c r="H194" s="6" t="s">
        <v>148</v>
      </c>
      <c r="I194" s="6" t="s">
        <v>33</v>
      </c>
      <c r="J194" s="8" t="s">
        <v>488</v>
      </c>
      <c r="K194" s="6" t="s">
        <v>489</v>
      </c>
    </row>
    <row r="195" customFormat="false" ht="115.65" hidden="false" customHeight="false" outlineLevel="0" collapsed="false">
      <c r="A195" s="6" t="s">
        <v>485</v>
      </c>
      <c r="B195" s="6" t="s">
        <v>325</v>
      </c>
      <c r="C195" s="7" t="s">
        <v>326</v>
      </c>
      <c r="D195" s="6" t="s">
        <v>327</v>
      </c>
      <c r="E195" s="6" t="s">
        <v>146</v>
      </c>
      <c r="F195" s="6" t="s">
        <v>495</v>
      </c>
      <c r="G195" s="7"/>
      <c r="H195" s="6" t="s">
        <v>148</v>
      </c>
      <c r="I195" s="6" t="s">
        <v>33</v>
      </c>
      <c r="J195" s="8" t="s">
        <v>488</v>
      </c>
      <c r="K195" s="6" t="s">
        <v>489</v>
      </c>
    </row>
    <row r="196" customFormat="false" ht="115.65" hidden="false" customHeight="false" outlineLevel="0" collapsed="false">
      <c r="A196" s="6" t="s">
        <v>485</v>
      </c>
      <c r="B196" s="6" t="s">
        <v>325</v>
      </c>
      <c r="C196" s="7" t="s">
        <v>326</v>
      </c>
      <c r="D196" s="6" t="s">
        <v>327</v>
      </c>
      <c r="E196" s="6" t="s">
        <v>146</v>
      </c>
      <c r="F196" s="6" t="s">
        <v>496</v>
      </c>
      <c r="G196" s="7"/>
      <c r="H196" s="6" t="s">
        <v>148</v>
      </c>
      <c r="I196" s="6" t="s">
        <v>33</v>
      </c>
      <c r="J196" s="8" t="s">
        <v>488</v>
      </c>
      <c r="K196" s="6" t="s">
        <v>489</v>
      </c>
    </row>
    <row r="197" customFormat="false" ht="115.65" hidden="false" customHeight="false" outlineLevel="0" collapsed="false">
      <c r="A197" s="6" t="s">
        <v>485</v>
      </c>
      <c r="B197" s="6" t="s">
        <v>325</v>
      </c>
      <c r="C197" s="7" t="s">
        <v>326</v>
      </c>
      <c r="D197" s="6" t="s">
        <v>327</v>
      </c>
      <c r="E197" s="6" t="s">
        <v>146</v>
      </c>
      <c r="F197" s="6" t="s">
        <v>497</v>
      </c>
      <c r="G197" s="7"/>
      <c r="H197" s="6" t="s">
        <v>148</v>
      </c>
      <c r="I197" s="6" t="s">
        <v>33</v>
      </c>
      <c r="J197" s="8" t="s">
        <v>488</v>
      </c>
      <c r="K197" s="6" t="s">
        <v>489</v>
      </c>
    </row>
    <row r="198" customFormat="false" ht="115.65" hidden="false" customHeight="false" outlineLevel="0" collapsed="false">
      <c r="A198" s="6" t="s">
        <v>485</v>
      </c>
      <c r="B198" s="6" t="s">
        <v>325</v>
      </c>
      <c r="C198" s="7" t="s">
        <v>326</v>
      </c>
      <c r="D198" s="6" t="s">
        <v>327</v>
      </c>
      <c r="E198" s="6" t="s">
        <v>146</v>
      </c>
      <c r="F198" s="6" t="s">
        <v>498</v>
      </c>
      <c r="G198" s="7"/>
      <c r="H198" s="6" t="s">
        <v>148</v>
      </c>
      <c r="I198" s="6" t="s">
        <v>33</v>
      </c>
      <c r="J198" s="8" t="s">
        <v>488</v>
      </c>
      <c r="K198" s="6" t="s">
        <v>489</v>
      </c>
    </row>
    <row r="199" customFormat="false" ht="115.65" hidden="false" customHeight="false" outlineLevel="0" collapsed="false">
      <c r="A199" s="6" t="s">
        <v>485</v>
      </c>
      <c r="B199" s="6" t="s">
        <v>325</v>
      </c>
      <c r="C199" s="7" t="s">
        <v>326</v>
      </c>
      <c r="D199" s="6" t="s">
        <v>327</v>
      </c>
      <c r="E199" s="6" t="s">
        <v>146</v>
      </c>
      <c r="F199" s="6" t="s">
        <v>499</v>
      </c>
      <c r="G199" s="7"/>
      <c r="H199" s="6" t="s">
        <v>148</v>
      </c>
      <c r="I199" s="6" t="s">
        <v>33</v>
      </c>
      <c r="J199" s="8" t="s">
        <v>488</v>
      </c>
      <c r="K199" s="6" t="s">
        <v>489</v>
      </c>
    </row>
    <row r="200" customFormat="false" ht="101.45" hidden="false" customHeight="false" outlineLevel="0" collapsed="false">
      <c r="A200" s="6" t="s">
        <v>485</v>
      </c>
      <c r="B200" s="6" t="s">
        <v>325</v>
      </c>
      <c r="C200" s="7" t="s">
        <v>326</v>
      </c>
      <c r="D200" s="6" t="s">
        <v>328</v>
      </c>
      <c r="E200" s="6" t="s">
        <v>146</v>
      </c>
      <c r="F200" s="6" t="s">
        <v>500</v>
      </c>
      <c r="G200" s="7"/>
      <c r="H200" s="7" t="s">
        <v>53</v>
      </c>
      <c r="I200" s="6" t="s">
        <v>158</v>
      </c>
      <c r="J200" s="8" t="s">
        <v>501</v>
      </c>
      <c r="K200" s="6" t="s">
        <v>502</v>
      </c>
    </row>
    <row r="201" customFormat="false" ht="101.45" hidden="false" customHeight="false" outlineLevel="0" collapsed="false">
      <c r="A201" s="6" t="s">
        <v>485</v>
      </c>
      <c r="B201" s="6" t="s">
        <v>325</v>
      </c>
      <c r="C201" s="7" t="s">
        <v>326</v>
      </c>
      <c r="D201" s="6" t="s">
        <v>328</v>
      </c>
      <c r="E201" s="6" t="s">
        <v>146</v>
      </c>
      <c r="F201" s="6" t="s">
        <v>503</v>
      </c>
      <c r="G201" s="7"/>
      <c r="H201" s="7" t="s">
        <v>53</v>
      </c>
      <c r="I201" s="6" t="s">
        <v>158</v>
      </c>
      <c r="J201" s="8" t="s">
        <v>501</v>
      </c>
      <c r="K201" s="6" t="s">
        <v>502</v>
      </c>
    </row>
    <row r="202" customFormat="false" ht="101.45" hidden="false" customHeight="false" outlineLevel="0" collapsed="false">
      <c r="A202" s="6" t="s">
        <v>485</v>
      </c>
      <c r="B202" s="6" t="s">
        <v>325</v>
      </c>
      <c r="C202" s="7" t="s">
        <v>326</v>
      </c>
      <c r="D202" s="6" t="s">
        <v>328</v>
      </c>
      <c r="E202" s="6" t="s">
        <v>146</v>
      </c>
      <c r="F202" s="6" t="s">
        <v>504</v>
      </c>
      <c r="G202" s="7"/>
      <c r="H202" s="7" t="s">
        <v>53</v>
      </c>
      <c r="I202" s="6" t="s">
        <v>158</v>
      </c>
      <c r="J202" s="8" t="s">
        <v>501</v>
      </c>
      <c r="K202" s="6" t="s">
        <v>502</v>
      </c>
    </row>
    <row r="203" customFormat="false" ht="101.45" hidden="false" customHeight="false" outlineLevel="0" collapsed="false">
      <c r="A203" s="6" t="s">
        <v>485</v>
      </c>
      <c r="B203" s="6" t="s">
        <v>325</v>
      </c>
      <c r="C203" s="7" t="s">
        <v>326</v>
      </c>
      <c r="D203" s="6" t="s">
        <v>328</v>
      </c>
      <c r="E203" s="6" t="s">
        <v>146</v>
      </c>
      <c r="F203" s="6" t="s">
        <v>505</v>
      </c>
      <c r="G203" s="7"/>
      <c r="H203" s="7" t="s">
        <v>53</v>
      </c>
      <c r="I203" s="6" t="s">
        <v>158</v>
      </c>
      <c r="J203" s="8" t="s">
        <v>501</v>
      </c>
      <c r="K203" s="6" t="s">
        <v>502</v>
      </c>
    </row>
    <row r="204" customFormat="false" ht="101.45" hidden="false" customHeight="false" outlineLevel="0" collapsed="false">
      <c r="A204" s="6" t="s">
        <v>485</v>
      </c>
      <c r="B204" s="6" t="s">
        <v>325</v>
      </c>
      <c r="C204" s="7" t="s">
        <v>326</v>
      </c>
      <c r="D204" s="6" t="s">
        <v>328</v>
      </c>
      <c r="E204" s="6" t="s">
        <v>146</v>
      </c>
      <c r="F204" s="6" t="s">
        <v>506</v>
      </c>
      <c r="G204" s="7"/>
      <c r="H204" s="7" t="s">
        <v>53</v>
      </c>
      <c r="I204" s="6" t="s">
        <v>158</v>
      </c>
      <c r="J204" s="8" t="s">
        <v>501</v>
      </c>
      <c r="K204" s="6" t="s">
        <v>502</v>
      </c>
    </row>
    <row r="205" customFormat="false" ht="101.45" hidden="false" customHeight="false" outlineLevel="0" collapsed="false">
      <c r="A205" s="6" t="s">
        <v>485</v>
      </c>
      <c r="B205" s="6" t="s">
        <v>325</v>
      </c>
      <c r="C205" s="7" t="s">
        <v>326</v>
      </c>
      <c r="D205" s="6" t="s">
        <v>328</v>
      </c>
      <c r="E205" s="6" t="s">
        <v>146</v>
      </c>
      <c r="F205" s="6" t="s">
        <v>507</v>
      </c>
      <c r="G205" s="7"/>
      <c r="H205" s="7" t="s">
        <v>53</v>
      </c>
      <c r="I205" s="6" t="s">
        <v>158</v>
      </c>
      <c r="J205" s="8" t="s">
        <v>501</v>
      </c>
      <c r="K205" s="6" t="s">
        <v>502</v>
      </c>
    </row>
    <row r="206" customFormat="false" ht="101.45" hidden="false" customHeight="false" outlineLevel="0" collapsed="false">
      <c r="A206" s="6" t="s">
        <v>485</v>
      </c>
      <c r="B206" s="6" t="s">
        <v>325</v>
      </c>
      <c r="C206" s="7" t="s">
        <v>326</v>
      </c>
      <c r="D206" s="6" t="s">
        <v>328</v>
      </c>
      <c r="E206" s="6" t="s">
        <v>146</v>
      </c>
      <c r="F206" s="6" t="s">
        <v>508</v>
      </c>
      <c r="G206" s="7"/>
      <c r="H206" s="7" t="s">
        <v>53</v>
      </c>
      <c r="I206" s="6" t="s">
        <v>158</v>
      </c>
      <c r="J206" s="8" t="s">
        <v>501</v>
      </c>
      <c r="K206" s="6" t="s">
        <v>502</v>
      </c>
    </row>
    <row r="207" customFormat="false" ht="101.45" hidden="false" customHeight="false" outlineLevel="0" collapsed="false">
      <c r="A207" s="6" t="s">
        <v>485</v>
      </c>
      <c r="B207" s="6" t="s">
        <v>325</v>
      </c>
      <c r="C207" s="7" t="s">
        <v>326</v>
      </c>
      <c r="D207" s="6" t="s">
        <v>328</v>
      </c>
      <c r="E207" s="6" t="s">
        <v>146</v>
      </c>
      <c r="F207" s="6" t="s">
        <v>509</v>
      </c>
      <c r="G207" s="7"/>
      <c r="H207" s="7" t="s">
        <v>53</v>
      </c>
      <c r="I207" s="6" t="s">
        <v>158</v>
      </c>
      <c r="J207" s="8" t="s">
        <v>501</v>
      </c>
      <c r="K207" s="6" t="s">
        <v>502</v>
      </c>
    </row>
    <row r="208" customFormat="false" ht="101.45" hidden="false" customHeight="false" outlineLevel="0" collapsed="false">
      <c r="A208" s="6" t="s">
        <v>485</v>
      </c>
      <c r="B208" s="6" t="s">
        <v>325</v>
      </c>
      <c r="C208" s="7" t="s">
        <v>326</v>
      </c>
      <c r="D208" s="6" t="s">
        <v>328</v>
      </c>
      <c r="E208" s="6" t="s">
        <v>146</v>
      </c>
      <c r="F208" s="6" t="s">
        <v>510</v>
      </c>
      <c r="G208" s="7"/>
      <c r="H208" s="7" t="s">
        <v>53</v>
      </c>
      <c r="I208" s="6" t="s">
        <v>158</v>
      </c>
      <c r="J208" s="8" t="s">
        <v>501</v>
      </c>
      <c r="K208" s="6" t="s">
        <v>502</v>
      </c>
    </row>
    <row r="209" customFormat="false" ht="101.45" hidden="false" customHeight="false" outlineLevel="0" collapsed="false">
      <c r="A209" s="6" t="s">
        <v>485</v>
      </c>
      <c r="B209" s="6" t="s">
        <v>325</v>
      </c>
      <c r="C209" s="7" t="s">
        <v>326</v>
      </c>
      <c r="D209" s="6" t="s">
        <v>328</v>
      </c>
      <c r="E209" s="6" t="s">
        <v>146</v>
      </c>
      <c r="F209" s="6" t="s">
        <v>511</v>
      </c>
      <c r="G209" s="7"/>
      <c r="H209" s="7" t="s">
        <v>53</v>
      </c>
      <c r="I209" s="6" t="s">
        <v>158</v>
      </c>
      <c r="J209" s="8" t="s">
        <v>501</v>
      </c>
      <c r="K209" s="6" t="s">
        <v>502</v>
      </c>
    </row>
    <row r="210" customFormat="false" ht="101.45" hidden="false" customHeight="false" outlineLevel="0" collapsed="false">
      <c r="A210" s="6" t="s">
        <v>485</v>
      </c>
      <c r="B210" s="6" t="s">
        <v>325</v>
      </c>
      <c r="C210" s="7" t="s">
        <v>326</v>
      </c>
      <c r="D210" s="6" t="s">
        <v>328</v>
      </c>
      <c r="E210" s="6" t="s">
        <v>146</v>
      </c>
      <c r="F210" s="6" t="s">
        <v>512</v>
      </c>
      <c r="G210" s="7"/>
      <c r="H210" s="7" t="s">
        <v>53</v>
      </c>
      <c r="I210" s="6" t="s">
        <v>158</v>
      </c>
      <c r="J210" s="8" t="s">
        <v>501</v>
      </c>
      <c r="K210" s="6" t="s">
        <v>502</v>
      </c>
    </row>
    <row r="211" customFormat="false" ht="101.45" hidden="false" customHeight="false" outlineLevel="0" collapsed="false">
      <c r="A211" s="6" t="s">
        <v>485</v>
      </c>
      <c r="B211" s="6" t="s">
        <v>325</v>
      </c>
      <c r="C211" s="7" t="s">
        <v>326</v>
      </c>
      <c r="D211" s="6" t="s">
        <v>328</v>
      </c>
      <c r="E211" s="6" t="s">
        <v>146</v>
      </c>
      <c r="F211" s="6" t="s">
        <v>513</v>
      </c>
      <c r="G211" s="7"/>
      <c r="H211" s="7" t="s">
        <v>53</v>
      </c>
      <c r="I211" s="6" t="s">
        <v>158</v>
      </c>
      <c r="J211" s="8" t="s">
        <v>501</v>
      </c>
      <c r="K211" s="6" t="s">
        <v>502</v>
      </c>
    </row>
    <row r="212" customFormat="false" ht="64.9" hidden="false" customHeight="false" outlineLevel="0" collapsed="false">
      <c r="A212" s="6" t="s">
        <v>485</v>
      </c>
      <c r="B212" s="6" t="s">
        <v>325</v>
      </c>
      <c r="C212" s="7" t="s">
        <v>329</v>
      </c>
      <c r="D212" s="6" t="s">
        <v>343</v>
      </c>
      <c r="E212" s="6" t="s">
        <v>146</v>
      </c>
      <c r="F212" s="6" t="s">
        <v>514</v>
      </c>
      <c r="G212" s="7"/>
      <c r="H212" s="6" t="s">
        <v>148</v>
      </c>
      <c r="I212" s="6" t="s">
        <v>33</v>
      </c>
      <c r="J212" s="8" t="s">
        <v>515</v>
      </c>
      <c r="K212" s="6" t="s">
        <v>516</v>
      </c>
    </row>
    <row r="213" customFormat="false" ht="64.9" hidden="false" customHeight="false" outlineLevel="0" collapsed="false">
      <c r="A213" s="6" t="s">
        <v>485</v>
      </c>
      <c r="B213" s="6" t="s">
        <v>325</v>
      </c>
      <c r="C213" s="7" t="s">
        <v>329</v>
      </c>
      <c r="D213" s="6" t="s">
        <v>343</v>
      </c>
      <c r="E213" s="6" t="s">
        <v>146</v>
      </c>
      <c r="F213" s="6" t="s">
        <v>517</v>
      </c>
      <c r="G213" s="7"/>
      <c r="H213" s="6" t="s">
        <v>148</v>
      </c>
      <c r="I213" s="6" t="s">
        <v>33</v>
      </c>
      <c r="J213" s="8" t="s">
        <v>515</v>
      </c>
      <c r="K213" s="6" t="s">
        <v>516</v>
      </c>
    </row>
    <row r="214" customFormat="false" ht="64.9" hidden="false" customHeight="false" outlineLevel="0" collapsed="false">
      <c r="A214" s="6" t="s">
        <v>485</v>
      </c>
      <c r="B214" s="6" t="s">
        <v>325</v>
      </c>
      <c r="C214" s="7" t="s">
        <v>329</v>
      </c>
      <c r="D214" s="6" t="s">
        <v>343</v>
      </c>
      <c r="E214" s="6" t="s">
        <v>146</v>
      </c>
      <c r="F214" s="6" t="s">
        <v>518</v>
      </c>
      <c r="G214" s="7"/>
      <c r="H214" s="6" t="s">
        <v>148</v>
      </c>
      <c r="I214" s="6" t="s">
        <v>33</v>
      </c>
      <c r="J214" s="8" t="s">
        <v>515</v>
      </c>
      <c r="K214" s="6" t="s">
        <v>516</v>
      </c>
    </row>
    <row r="215" customFormat="false" ht="64.9" hidden="false" customHeight="false" outlineLevel="0" collapsed="false">
      <c r="A215" s="6" t="s">
        <v>485</v>
      </c>
      <c r="B215" s="6" t="s">
        <v>325</v>
      </c>
      <c r="C215" s="7" t="s">
        <v>329</v>
      </c>
      <c r="D215" s="6" t="s">
        <v>343</v>
      </c>
      <c r="E215" s="6" t="s">
        <v>146</v>
      </c>
      <c r="F215" s="6" t="s">
        <v>519</v>
      </c>
      <c r="G215" s="7"/>
      <c r="H215" s="6" t="s">
        <v>148</v>
      </c>
      <c r="I215" s="6" t="s">
        <v>33</v>
      </c>
      <c r="J215" s="8" t="s">
        <v>515</v>
      </c>
      <c r="K215" s="6" t="s">
        <v>516</v>
      </c>
    </row>
    <row r="216" customFormat="false" ht="64.9" hidden="false" customHeight="false" outlineLevel="0" collapsed="false">
      <c r="A216" s="6" t="s">
        <v>485</v>
      </c>
      <c r="B216" s="6" t="s">
        <v>325</v>
      </c>
      <c r="C216" s="7" t="s">
        <v>329</v>
      </c>
      <c r="D216" s="6" t="s">
        <v>343</v>
      </c>
      <c r="E216" s="6" t="s">
        <v>146</v>
      </c>
      <c r="F216" s="6" t="s">
        <v>520</v>
      </c>
      <c r="G216" s="7"/>
      <c r="H216" s="6" t="s">
        <v>148</v>
      </c>
      <c r="I216" s="6" t="s">
        <v>33</v>
      </c>
      <c r="J216" s="8" t="s">
        <v>515</v>
      </c>
      <c r="K216" s="6" t="s">
        <v>516</v>
      </c>
    </row>
    <row r="217" customFormat="false" ht="64.9" hidden="false" customHeight="false" outlineLevel="0" collapsed="false">
      <c r="A217" s="6" t="s">
        <v>485</v>
      </c>
      <c r="B217" s="6" t="s">
        <v>325</v>
      </c>
      <c r="C217" s="7" t="s">
        <v>329</v>
      </c>
      <c r="D217" s="6" t="s">
        <v>343</v>
      </c>
      <c r="E217" s="6" t="s">
        <v>146</v>
      </c>
      <c r="F217" s="6" t="s">
        <v>521</v>
      </c>
      <c r="G217" s="7"/>
      <c r="H217" s="6" t="s">
        <v>148</v>
      </c>
      <c r="I217" s="6" t="s">
        <v>33</v>
      </c>
      <c r="J217" s="8" t="s">
        <v>515</v>
      </c>
      <c r="K217" s="6" t="s">
        <v>516</v>
      </c>
    </row>
    <row r="218" customFormat="false" ht="64.9" hidden="false" customHeight="false" outlineLevel="0" collapsed="false">
      <c r="A218" s="6" t="s">
        <v>485</v>
      </c>
      <c r="B218" s="6" t="s">
        <v>325</v>
      </c>
      <c r="C218" s="7" t="s">
        <v>329</v>
      </c>
      <c r="D218" s="6" t="s">
        <v>343</v>
      </c>
      <c r="E218" s="6" t="s">
        <v>146</v>
      </c>
      <c r="F218" s="6" t="s">
        <v>522</v>
      </c>
      <c r="G218" s="7"/>
      <c r="H218" s="6" t="s">
        <v>148</v>
      </c>
      <c r="I218" s="6" t="s">
        <v>33</v>
      </c>
      <c r="J218" s="8" t="s">
        <v>515</v>
      </c>
      <c r="K218" s="6" t="s">
        <v>516</v>
      </c>
    </row>
    <row r="219" customFormat="false" ht="64.9" hidden="false" customHeight="false" outlineLevel="0" collapsed="false">
      <c r="A219" s="6" t="s">
        <v>485</v>
      </c>
      <c r="B219" s="6" t="s">
        <v>325</v>
      </c>
      <c r="C219" s="7" t="s">
        <v>329</v>
      </c>
      <c r="D219" s="6" t="s">
        <v>343</v>
      </c>
      <c r="E219" s="6" t="s">
        <v>146</v>
      </c>
      <c r="F219" s="6" t="s">
        <v>523</v>
      </c>
      <c r="G219" s="7"/>
      <c r="H219" s="6" t="s">
        <v>148</v>
      </c>
      <c r="I219" s="6" t="s">
        <v>33</v>
      </c>
      <c r="J219" s="8" t="s">
        <v>515</v>
      </c>
      <c r="K219" s="6" t="s">
        <v>516</v>
      </c>
    </row>
    <row r="220" customFormat="false" ht="64.9" hidden="false" customHeight="false" outlineLevel="0" collapsed="false">
      <c r="A220" s="6" t="s">
        <v>485</v>
      </c>
      <c r="B220" s="6" t="s">
        <v>325</v>
      </c>
      <c r="C220" s="7" t="s">
        <v>329</v>
      </c>
      <c r="D220" s="6" t="s">
        <v>343</v>
      </c>
      <c r="E220" s="6" t="s">
        <v>146</v>
      </c>
      <c r="F220" s="6" t="s">
        <v>524</v>
      </c>
      <c r="G220" s="7"/>
      <c r="H220" s="6" t="s">
        <v>148</v>
      </c>
      <c r="I220" s="6" t="s">
        <v>33</v>
      </c>
      <c r="J220" s="8" t="s">
        <v>515</v>
      </c>
      <c r="K220" s="6" t="s">
        <v>516</v>
      </c>
    </row>
    <row r="221" customFormat="false" ht="64.9" hidden="false" customHeight="false" outlineLevel="0" collapsed="false">
      <c r="A221" s="6" t="s">
        <v>485</v>
      </c>
      <c r="B221" s="6" t="s">
        <v>325</v>
      </c>
      <c r="C221" s="7" t="s">
        <v>329</v>
      </c>
      <c r="D221" s="6" t="s">
        <v>343</v>
      </c>
      <c r="E221" s="6" t="s">
        <v>146</v>
      </c>
      <c r="F221" s="6" t="s">
        <v>525</v>
      </c>
      <c r="G221" s="7"/>
      <c r="H221" s="6" t="s">
        <v>148</v>
      </c>
      <c r="I221" s="6" t="s">
        <v>33</v>
      </c>
      <c r="J221" s="8" t="s">
        <v>515</v>
      </c>
      <c r="K221" s="6" t="s">
        <v>516</v>
      </c>
    </row>
    <row r="222" customFormat="false" ht="77.6" hidden="false" customHeight="false" outlineLevel="0" collapsed="false">
      <c r="A222" s="6" t="s">
        <v>485</v>
      </c>
      <c r="B222" s="6" t="s">
        <v>325</v>
      </c>
      <c r="C222" s="7" t="s">
        <v>329</v>
      </c>
      <c r="D222" s="6" t="s">
        <v>344</v>
      </c>
      <c r="E222" s="6" t="s">
        <v>146</v>
      </c>
      <c r="F222" s="6" t="s">
        <v>514</v>
      </c>
      <c r="G222" s="7"/>
      <c r="H222" s="6" t="s">
        <v>148</v>
      </c>
      <c r="I222" s="6" t="s">
        <v>33</v>
      </c>
      <c r="J222" s="8" t="s">
        <v>526</v>
      </c>
      <c r="K222" s="6" t="s">
        <v>527</v>
      </c>
    </row>
    <row r="223" customFormat="false" ht="77.6" hidden="false" customHeight="false" outlineLevel="0" collapsed="false">
      <c r="A223" s="6" t="s">
        <v>485</v>
      </c>
      <c r="B223" s="6" t="s">
        <v>325</v>
      </c>
      <c r="C223" s="7" t="s">
        <v>329</v>
      </c>
      <c r="D223" s="6" t="s">
        <v>344</v>
      </c>
      <c r="E223" s="6" t="s">
        <v>146</v>
      </c>
      <c r="F223" s="6" t="s">
        <v>528</v>
      </c>
      <c r="G223" s="7"/>
      <c r="H223" s="6" t="s">
        <v>148</v>
      </c>
      <c r="I223" s="6" t="s">
        <v>33</v>
      </c>
      <c r="J223" s="8" t="s">
        <v>526</v>
      </c>
      <c r="K223" s="6" t="s">
        <v>527</v>
      </c>
    </row>
    <row r="224" customFormat="false" ht="77.6" hidden="false" customHeight="false" outlineLevel="0" collapsed="false">
      <c r="A224" s="6" t="s">
        <v>485</v>
      </c>
      <c r="B224" s="6" t="s">
        <v>325</v>
      </c>
      <c r="C224" s="7" t="s">
        <v>329</v>
      </c>
      <c r="D224" s="6" t="s">
        <v>344</v>
      </c>
      <c r="E224" s="6" t="s">
        <v>146</v>
      </c>
      <c r="F224" s="6" t="s">
        <v>529</v>
      </c>
      <c r="G224" s="7"/>
      <c r="H224" s="6" t="s">
        <v>148</v>
      </c>
      <c r="I224" s="6" t="s">
        <v>33</v>
      </c>
      <c r="J224" s="8" t="s">
        <v>526</v>
      </c>
      <c r="K224" s="6" t="s">
        <v>527</v>
      </c>
    </row>
    <row r="225" customFormat="false" ht="77.6" hidden="false" customHeight="false" outlineLevel="0" collapsed="false">
      <c r="A225" s="6" t="s">
        <v>485</v>
      </c>
      <c r="B225" s="6" t="s">
        <v>325</v>
      </c>
      <c r="C225" s="7" t="s">
        <v>329</v>
      </c>
      <c r="D225" s="6" t="s">
        <v>344</v>
      </c>
      <c r="E225" s="6" t="s">
        <v>146</v>
      </c>
      <c r="F225" s="6" t="s">
        <v>530</v>
      </c>
      <c r="G225" s="7"/>
      <c r="H225" s="6" t="s">
        <v>148</v>
      </c>
      <c r="I225" s="6" t="s">
        <v>33</v>
      </c>
      <c r="J225" s="8" t="s">
        <v>526</v>
      </c>
      <c r="K225" s="6" t="s">
        <v>527</v>
      </c>
    </row>
    <row r="226" customFormat="false" ht="77.6" hidden="false" customHeight="false" outlineLevel="0" collapsed="false">
      <c r="A226" s="6" t="s">
        <v>485</v>
      </c>
      <c r="B226" s="6" t="s">
        <v>325</v>
      </c>
      <c r="C226" s="7" t="s">
        <v>329</v>
      </c>
      <c r="D226" s="6" t="s">
        <v>344</v>
      </c>
      <c r="E226" s="6" t="s">
        <v>146</v>
      </c>
      <c r="F226" s="6" t="s">
        <v>531</v>
      </c>
      <c r="G226" s="7"/>
      <c r="H226" s="6" t="s">
        <v>148</v>
      </c>
      <c r="I226" s="6" t="s">
        <v>33</v>
      </c>
      <c r="J226" s="8" t="s">
        <v>526</v>
      </c>
      <c r="K226" s="6" t="s">
        <v>527</v>
      </c>
    </row>
    <row r="227" customFormat="false" ht="77.6" hidden="false" customHeight="false" outlineLevel="0" collapsed="false">
      <c r="A227" s="6" t="s">
        <v>485</v>
      </c>
      <c r="B227" s="6" t="s">
        <v>325</v>
      </c>
      <c r="C227" s="7" t="s">
        <v>329</v>
      </c>
      <c r="D227" s="6" t="s">
        <v>344</v>
      </c>
      <c r="E227" s="6" t="s">
        <v>146</v>
      </c>
      <c r="F227" s="6" t="s">
        <v>532</v>
      </c>
      <c r="G227" s="7"/>
      <c r="H227" s="6" t="s">
        <v>148</v>
      </c>
      <c r="I227" s="6" t="s">
        <v>33</v>
      </c>
      <c r="J227" s="8" t="s">
        <v>526</v>
      </c>
      <c r="K227" s="6" t="s">
        <v>527</v>
      </c>
    </row>
    <row r="228" customFormat="false" ht="77.6" hidden="false" customHeight="false" outlineLevel="0" collapsed="false">
      <c r="A228" s="6" t="s">
        <v>485</v>
      </c>
      <c r="B228" s="6" t="s">
        <v>325</v>
      </c>
      <c r="C228" s="7" t="s">
        <v>329</v>
      </c>
      <c r="D228" s="6" t="s">
        <v>344</v>
      </c>
      <c r="E228" s="6" t="s">
        <v>146</v>
      </c>
      <c r="F228" s="6" t="s">
        <v>533</v>
      </c>
      <c r="G228" s="7"/>
      <c r="H228" s="6" t="s">
        <v>148</v>
      </c>
      <c r="I228" s="6" t="s">
        <v>33</v>
      </c>
      <c r="J228" s="8" t="s">
        <v>526</v>
      </c>
      <c r="K228" s="6" t="s">
        <v>527</v>
      </c>
    </row>
    <row r="229" customFormat="false" ht="52.2" hidden="false" customHeight="false" outlineLevel="0" collapsed="false">
      <c r="A229" s="6" t="s">
        <v>485</v>
      </c>
      <c r="B229" s="6" t="s">
        <v>325</v>
      </c>
      <c r="C229" s="7" t="s">
        <v>329</v>
      </c>
      <c r="D229" s="6" t="s">
        <v>345</v>
      </c>
      <c r="E229" s="6" t="s">
        <v>146</v>
      </c>
      <c r="F229" s="6" t="s">
        <v>534</v>
      </c>
      <c r="G229" s="7"/>
      <c r="H229" s="6" t="s">
        <v>148</v>
      </c>
      <c r="I229" s="6" t="s">
        <v>33</v>
      </c>
      <c r="J229" s="8" t="s">
        <v>535</v>
      </c>
      <c r="K229" s="6" t="s">
        <v>536</v>
      </c>
    </row>
    <row r="230" customFormat="false" ht="52.2" hidden="false" customHeight="false" outlineLevel="0" collapsed="false">
      <c r="A230" s="6" t="s">
        <v>485</v>
      </c>
      <c r="B230" s="6" t="s">
        <v>325</v>
      </c>
      <c r="C230" s="7" t="s">
        <v>329</v>
      </c>
      <c r="D230" s="6" t="s">
        <v>345</v>
      </c>
      <c r="E230" s="6" t="s">
        <v>146</v>
      </c>
      <c r="F230" s="6" t="s">
        <v>537</v>
      </c>
      <c r="G230" s="7"/>
      <c r="H230" s="6" t="s">
        <v>148</v>
      </c>
      <c r="I230" s="6" t="s">
        <v>33</v>
      </c>
      <c r="J230" s="8" t="s">
        <v>535</v>
      </c>
      <c r="K230" s="6" t="s">
        <v>536</v>
      </c>
    </row>
    <row r="231" customFormat="false" ht="52.2" hidden="false" customHeight="false" outlineLevel="0" collapsed="false">
      <c r="A231" s="6" t="s">
        <v>485</v>
      </c>
      <c r="B231" s="6" t="s">
        <v>325</v>
      </c>
      <c r="C231" s="7" t="s">
        <v>329</v>
      </c>
      <c r="D231" s="6" t="s">
        <v>345</v>
      </c>
      <c r="E231" s="6" t="s">
        <v>146</v>
      </c>
      <c r="F231" s="6" t="s">
        <v>538</v>
      </c>
      <c r="G231" s="7"/>
      <c r="H231" s="6" t="s">
        <v>148</v>
      </c>
      <c r="I231" s="6" t="s">
        <v>33</v>
      </c>
      <c r="J231" s="8" t="s">
        <v>535</v>
      </c>
      <c r="K231" s="6" t="s">
        <v>536</v>
      </c>
    </row>
    <row r="232" customFormat="false" ht="52.2" hidden="false" customHeight="false" outlineLevel="0" collapsed="false">
      <c r="A232" s="6" t="s">
        <v>485</v>
      </c>
      <c r="B232" s="6" t="s">
        <v>325</v>
      </c>
      <c r="C232" s="7" t="s">
        <v>329</v>
      </c>
      <c r="D232" s="6" t="s">
        <v>345</v>
      </c>
      <c r="E232" s="6" t="s">
        <v>146</v>
      </c>
      <c r="F232" s="6" t="s">
        <v>539</v>
      </c>
      <c r="G232" s="7"/>
      <c r="H232" s="6" t="s">
        <v>148</v>
      </c>
      <c r="I232" s="6" t="s">
        <v>33</v>
      </c>
      <c r="J232" s="8" t="s">
        <v>535</v>
      </c>
      <c r="K232" s="6" t="s">
        <v>536</v>
      </c>
    </row>
    <row r="233" customFormat="false" ht="52.2" hidden="false" customHeight="false" outlineLevel="0" collapsed="false">
      <c r="A233" s="6" t="s">
        <v>485</v>
      </c>
      <c r="B233" s="6" t="s">
        <v>325</v>
      </c>
      <c r="C233" s="7" t="s">
        <v>329</v>
      </c>
      <c r="D233" s="6" t="s">
        <v>345</v>
      </c>
      <c r="E233" s="6" t="s">
        <v>146</v>
      </c>
      <c r="F233" s="6" t="s">
        <v>540</v>
      </c>
      <c r="G233" s="7"/>
      <c r="H233" s="6" t="s">
        <v>148</v>
      </c>
      <c r="I233" s="6" t="s">
        <v>33</v>
      </c>
      <c r="J233" s="8" t="s">
        <v>535</v>
      </c>
      <c r="K233" s="6" t="s">
        <v>536</v>
      </c>
    </row>
    <row r="234" customFormat="false" ht="52.2" hidden="false" customHeight="false" outlineLevel="0" collapsed="false">
      <c r="A234" s="6" t="s">
        <v>485</v>
      </c>
      <c r="B234" s="6" t="s">
        <v>325</v>
      </c>
      <c r="C234" s="7" t="s">
        <v>329</v>
      </c>
      <c r="D234" s="6" t="s">
        <v>345</v>
      </c>
      <c r="E234" s="6" t="s">
        <v>146</v>
      </c>
      <c r="F234" s="6" t="s">
        <v>541</v>
      </c>
      <c r="G234" s="7"/>
      <c r="H234" s="6" t="s">
        <v>148</v>
      </c>
      <c r="I234" s="6" t="s">
        <v>33</v>
      </c>
      <c r="J234" s="8" t="s">
        <v>535</v>
      </c>
      <c r="K234" s="6" t="s">
        <v>536</v>
      </c>
    </row>
    <row r="235" customFormat="false" ht="52.2" hidden="false" customHeight="false" outlineLevel="0" collapsed="false">
      <c r="A235" s="6" t="s">
        <v>485</v>
      </c>
      <c r="B235" s="6" t="s">
        <v>325</v>
      </c>
      <c r="C235" s="7" t="s">
        <v>329</v>
      </c>
      <c r="D235" s="6" t="s">
        <v>345</v>
      </c>
      <c r="E235" s="6" t="s">
        <v>146</v>
      </c>
      <c r="F235" s="6" t="s">
        <v>542</v>
      </c>
      <c r="G235" s="7"/>
      <c r="H235" s="6" t="s">
        <v>148</v>
      </c>
      <c r="I235" s="6" t="s">
        <v>33</v>
      </c>
      <c r="J235" s="8" t="s">
        <v>535</v>
      </c>
      <c r="K235" s="6" t="s">
        <v>536</v>
      </c>
    </row>
    <row r="236" customFormat="false" ht="52.2" hidden="false" customHeight="false" outlineLevel="0" collapsed="false">
      <c r="A236" s="6" t="s">
        <v>485</v>
      </c>
      <c r="B236" s="6" t="s">
        <v>325</v>
      </c>
      <c r="C236" s="7" t="s">
        <v>329</v>
      </c>
      <c r="D236" s="6" t="s">
        <v>345</v>
      </c>
      <c r="E236" s="6" t="s">
        <v>146</v>
      </c>
      <c r="F236" s="6" t="s">
        <v>543</v>
      </c>
      <c r="G236" s="7"/>
      <c r="H236" s="6" t="s">
        <v>148</v>
      </c>
      <c r="I236" s="6" t="s">
        <v>33</v>
      </c>
      <c r="J236" s="8" t="s">
        <v>535</v>
      </c>
      <c r="K236" s="6" t="s">
        <v>536</v>
      </c>
    </row>
    <row r="237" customFormat="false" ht="52.2" hidden="false" customHeight="false" outlineLevel="0" collapsed="false">
      <c r="A237" s="6" t="s">
        <v>485</v>
      </c>
      <c r="B237" s="6" t="s">
        <v>325</v>
      </c>
      <c r="C237" s="7" t="s">
        <v>329</v>
      </c>
      <c r="D237" s="6" t="s">
        <v>345</v>
      </c>
      <c r="E237" s="6" t="s">
        <v>146</v>
      </c>
      <c r="F237" s="6" t="s">
        <v>544</v>
      </c>
      <c r="G237" s="7"/>
      <c r="H237" s="6" t="s">
        <v>148</v>
      </c>
      <c r="I237" s="6" t="s">
        <v>33</v>
      </c>
      <c r="J237" s="8" t="s">
        <v>535</v>
      </c>
      <c r="K237" s="6" t="s">
        <v>536</v>
      </c>
    </row>
    <row r="238" customFormat="false" ht="52.2" hidden="false" customHeight="false" outlineLevel="0" collapsed="false">
      <c r="A238" s="6" t="s">
        <v>485</v>
      </c>
      <c r="B238" s="6" t="s">
        <v>325</v>
      </c>
      <c r="C238" s="7" t="s">
        <v>329</v>
      </c>
      <c r="D238" s="6" t="s">
        <v>345</v>
      </c>
      <c r="E238" s="6" t="s">
        <v>146</v>
      </c>
      <c r="F238" s="6" t="s">
        <v>545</v>
      </c>
      <c r="G238" s="7"/>
      <c r="H238" s="6" t="s">
        <v>148</v>
      </c>
      <c r="I238" s="6" t="s">
        <v>33</v>
      </c>
      <c r="J238" s="8" t="s">
        <v>535</v>
      </c>
      <c r="K238" s="6" t="s">
        <v>536</v>
      </c>
    </row>
    <row r="239" customFormat="false" ht="52.2" hidden="false" customHeight="false" outlineLevel="0" collapsed="false">
      <c r="A239" s="6" t="s">
        <v>485</v>
      </c>
      <c r="B239" s="6" t="s">
        <v>325</v>
      </c>
      <c r="C239" s="7" t="s">
        <v>329</v>
      </c>
      <c r="D239" s="6" t="s">
        <v>346</v>
      </c>
      <c r="E239" s="6" t="s">
        <v>146</v>
      </c>
      <c r="F239" s="6" t="s">
        <v>534</v>
      </c>
      <c r="G239" s="7"/>
      <c r="H239" s="6" t="s">
        <v>148</v>
      </c>
      <c r="I239" s="6" t="s">
        <v>33</v>
      </c>
      <c r="J239" s="8" t="s">
        <v>546</v>
      </c>
      <c r="K239" s="6" t="s">
        <v>536</v>
      </c>
    </row>
    <row r="240" customFormat="false" ht="52.2" hidden="false" customHeight="false" outlineLevel="0" collapsed="false">
      <c r="A240" s="6" t="s">
        <v>485</v>
      </c>
      <c r="B240" s="6" t="s">
        <v>325</v>
      </c>
      <c r="C240" s="7" t="s">
        <v>329</v>
      </c>
      <c r="D240" s="6" t="s">
        <v>346</v>
      </c>
      <c r="E240" s="6" t="s">
        <v>146</v>
      </c>
      <c r="F240" s="6" t="s">
        <v>547</v>
      </c>
      <c r="G240" s="7"/>
      <c r="H240" s="6" t="s">
        <v>148</v>
      </c>
      <c r="I240" s="6" t="s">
        <v>33</v>
      </c>
      <c r="J240" s="8" t="s">
        <v>546</v>
      </c>
      <c r="K240" s="6" t="s">
        <v>536</v>
      </c>
    </row>
    <row r="241" customFormat="false" ht="52.2" hidden="false" customHeight="false" outlineLevel="0" collapsed="false">
      <c r="A241" s="6" t="s">
        <v>485</v>
      </c>
      <c r="B241" s="6" t="s">
        <v>325</v>
      </c>
      <c r="C241" s="7" t="s">
        <v>329</v>
      </c>
      <c r="D241" s="6" t="s">
        <v>346</v>
      </c>
      <c r="E241" s="6" t="s">
        <v>146</v>
      </c>
      <c r="F241" s="6" t="s">
        <v>548</v>
      </c>
      <c r="G241" s="7"/>
      <c r="H241" s="6" t="s">
        <v>148</v>
      </c>
      <c r="I241" s="6" t="s">
        <v>33</v>
      </c>
      <c r="J241" s="8" t="s">
        <v>546</v>
      </c>
      <c r="K241" s="6" t="s">
        <v>536</v>
      </c>
    </row>
    <row r="242" customFormat="false" ht="52.2" hidden="false" customHeight="false" outlineLevel="0" collapsed="false">
      <c r="A242" s="6" t="s">
        <v>485</v>
      </c>
      <c r="B242" s="6" t="s">
        <v>325</v>
      </c>
      <c r="C242" s="7" t="s">
        <v>329</v>
      </c>
      <c r="D242" s="6" t="s">
        <v>346</v>
      </c>
      <c r="E242" s="6" t="s">
        <v>146</v>
      </c>
      <c r="F242" s="6" t="s">
        <v>549</v>
      </c>
      <c r="G242" s="7"/>
      <c r="H242" s="6" t="s">
        <v>148</v>
      </c>
      <c r="I242" s="6" t="s">
        <v>33</v>
      </c>
      <c r="J242" s="8" t="s">
        <v>550</v>
      </c>
      <c r="K242" s="6" t="s">
        <v>551</v>
      </c>
    </row>
    <row r="243" customFormat="false" ht="52.2" hidden="false" customHeight="false" outlineLevel="0" collapsed="false">
      <c r="A243" s="6" t="s">
        <v>485</v>
      </c>
      <c r="B243" s="6" t="s">
        <v>325</v>
      </c>
      <c r="C243" s="7" t="s">
        <v>329</v>
      </c>
      <c r="D243" s="6" t="s">
        <v>346</v>
      </c>
      <c r="E243" s="6" t="s">
        <v>146</v>
      </c>
      <c r="F243" s="6" t="s">
        <v>552</v>
      </c>
      <c r="G243" s="7"/>
      <c r="H243" s="6" t="s">
        <v>148</v>
      </c>
      <c r="I243" s="6" t="s">
        <v>33</v>
      </c>
      <c r="J243" s="8" t="s">
        <v>550</v>
      </c>
      <c r="K243" s="6" t="s">
        <v>551</v>
      </c>
    </row>
    <row r="244" customFormat="false" ht="52.2" hidden="false" customHeight="false" outlineLevel="0" collapsed="false">
      <c r="A244" s="6" t="s">
        <v>485</v>
      </c>
      <c r="B244" s="6" t="s">
        <v>325</v>
      </c>
      <c r="C244" s="7" t="s">
        <v>329</v>
      </c>
      <c r="D244" s="6" t="s">
        <v>346</v>
      </c>
      <c r="E244" s="6" t="s">
        <v>146</v>
      </c>
      <c r="F244" s="6" t="s">
        <v>553</v>
      </c>
      <c r="G244" s="7"/>
      <c r="H244" s="6" t="s">
        <v>148</v>
      </c>
      <c r="I244" s="6" t="s">
        <v>33</v>
      </c>
      <c r="J244" s="8" t="s">
        <v>550</v>
      </c>
      <c r="K244" s="6" t="s">
        <v>551</v>
      </c>
    </row>
    <row r="245" customFormat="false" ht="52.2" hidden="false" customHeight="false" outlineLevel="0" collapsed="false">
      <c r="A245" s="6" t="s">
        <v>485</v>
      </c>
      <c r="B245" s="6" t="s">
        <v>325</v>
      </c>
      <c r="C245" s="7" t="s">
        <v>329</v>
      </c>
      <c r="D245" s="6" t="s">
        <v>346</v>
      </c>
      <c r="E245" s="6" t="s">
        <v>146</v>
      </c>
      <c r="F245" s="6" t="s">
        <v>554</v>
      </c>
      <c r="G245" s="7"/>
      <c r="H245" s="6" t="s">
        <v>148</v>
      </c>
      <c r="I245" s="6" t="s">
        <v>33</v>
      </c>
      <c r="J245" s="8" t="s">
        <v>550</v>
      </c>
      <c r="K245" s="6" t="s">
        <v>551</v>
      </c>
    </row>
    <row r="246" customFormat="false" ht="52.2" hidden="false" customHeight="false" outlineLevel="0" collapsed="false">
      <c r="A246" s="6" t="s">
        <v>485</v>
      </c>
      <c r="B246" s="6" t="s">
        <v>325</v>
      </c>
      <c r="C246" s="7" t="s">
        <v>329</v>
      </c>
      <c r="D246" s="6" t="s">
        <v>346</v>
      </c>
      <c r="E246" s="6" t="s">
        <v>146</v>
      </c>
      <c r="F246" s="6" t="s">
        <v>555</v>
      </c>
      <c r="G246" s="7"/>
      <c r="H246" s="6" t="s">
        <v>148</v>
      </c>
      <c r="I246" s="6" t="s">
        <v>33</v>
      </c>
      <c r="J246" s="8" t="s">
        <v>550</v>
      </c>
      <c r="K246" s="6" t="s">
        <v>551</v>
      </c>
    </row>
    <row r="247" customFormat="false" ht="77.6" hidden="false" customHeight="false" outlineLevel="0" collapsed="false">
      <c r="A247" s="6" t="s">
        <v>485</v>
      </c>
      <c r="B247" s="6" t="s">
        <v>325</v>
      </c>
      <c r="C247" s="7" t="s">
        <v>332</v>
      </c>
      <c r="D247" s="6" t="s">
        <v>347</v>
      </c>
      <c r="E247" s="6" t="s">
        <v>146</v>
      </c>
      <c r="F247" s="6" t="s">
        <v>556</v>
      </c>
      <c r="G247" s="7"/>
      <c r="H247" s="6" t="s">
        <v>148</v>
      </c>
      <c r="I247" s="6" t="s">
        <v>33</v>
      </c>
      <c r="J247" s="8" t="s">
        <v>557</v>
      </c>
      <c r="K247" s="6" t="s">
        <v>558</v>
      </c>
    </row>
    <row r="248" customFormat="false" ht="77.6" hidden="false" customHeight="false" outlineLevel="0" collapsed="false">
      <c r="A248" s="6" t="s">
        <v>485</v>
      </c>
      <c r="B248" s="6" t="s">
        <v>325</v>
      </c>
      <c r="C248" s="7" t="s">
        <v>332</v>
      </c>
      <c r="D248" s="6" t="s">
        <v>347</v>
      </c>
      <c r="E248" s="6" t="s">
        <v>146</v>
      </c>
      <c r="F248" s="6" t="s">
        <v>559</v>
      </c>
      <c r="G248" s="7"/>
      <c r="H248" s="6" t="s">
        <v>148</v>
      </c>
      <c r="I248" s="6" t="s">
        <v>33</v>
      </c>
      <c r="J248" s="8" t="s">
        <v>557</v>
      </c>
      <c r="K248" s="6" t="s">
        <v>558</v>
      </c>
    </row>
    <row r="249" customFormat="false" ht="77.6" hidden="false" customHeight="false" outlineLevel="0" collapsed="false">
      <c r="A249" s="6" t="s">
        <v>485</v>
      </c>
      <c r="B249" s="6" t="s">
        <v>325</v>
      </c>
      <c r="C249" s="7" t="s">
        <v>332</v>
      </c>
      <c r="D249" s="6" t="s">
        <v>347</v>
      </c>
      <c r="E249" s="6" t="s">
        <v>146</v>
      </c>
      <c r="F249" s="6" t="s">
        <v>560</v>
      </c>
      <c r="G249" s="7"/>
      <c r="H249" s="6" t="s">
        <v>148</v>
      </c>
      <c r="I249" s="6" t="s">
        <v>33</v>
      </c>
      <c r="J249" s="8" t="s">
        <v>557</v>
      </c>
      <c r="K249" s="6" t="s">
        <v>558</v>
      </c>
    </row>
    <row r="250" customFormat="false" ht="77.6" hidden="false" customHeight="false" outlineLevel="0" collapsed="false">
      <c r="A250" s="6" t="s">
        <v>485</v>
      </c>
      <c r="B250" s="6" t="s">
        <v>325</v>
      </c>
      <c r="C250" s="7" t="s">
        <v>332</v>
      </c>
      <c r="D250" s="6" t="s">
        <v>347</v>
      </c>
      <c r="E250" s="6" t="s">
        <v>146</v>
      </c>
      <c r="F250" s="6" t="s">
        <v>561</v>
      </c>
      <c r="G250" s="7"/>
      <c r="H250" s="6" t="s">
        <v>148</v>
      </c>
      <c r="I250" s="6" t="s">
        <v>33</v>
      </c>
      <c r="J250" s="8" t="s">
        <v>557</v>
      </c>
      <c r="K250" s="6" t="s">
        <v>558</v>
      </c>
    </row>
    <row r="251" customFormat="false" ht="77.6" hidden="false" customHeight="false" outlineLevel="0" collapsed="false">
      <c r="A251" s="6" t="s">
        <v>485</v>
      </c>
      <c r="B251" s="6" t="s">
        <v>325</v>
      </c>
      <c r="C251" s="7" t="s">
        <v>332</v>
      </c>
      <c r="D251" s="6" t="s">
        <v>347</v>
      </c>
      <c r="E251" s="6" t="s">
        <v>146</v>
      </c>
      <c r="F251" s="6" t="s">
        <v>562</v>
      </c>
      <c r="G251" s="7"/>
      <c r="H251" s="6" t="s">
        <v>148</v>
      </c>
      <c r="I251" s="6" t="s">
        <v>33</v>
      </c>
      <c r="J251" s="8" t="s">
        <v>557</v>
      </c>
      <c r="K251" s="6" t="s">
        <v>558</v>
      </c>
    </row>
    <row r="252" customFormat="false" ht="77.6" hidden="false" customHeight="false" outlineLevel="0" collapsed="false">
      <c r="A252" s="6" t="s">
        <v>485</v>
      </c>
      <c r="B252" s="6" t="s">
        <v>325</v>
      </c>
      <c r="C252" s="7" t="s">
        <v>332</v>
      </c>
      <c r="D252" s="6" t="s">
        <v>347</v>
      </c>
      <c r="E252" s="6" t="s">
        <v>146</v>
      </c>
      <c r="F252" s="6" t="s">
        <v>563</v>
      </c>
      <c r="G252" s="7"/>
      <c r="H252" s="6" t="s">
        <v>148</v>
      </c>
      <c r="I252" s="6" t="s">
        <v>33</v>
      </c>
      <c r="J252" s="8" t="s">
        <v>557</v>
      </c>
      <c r="K252" s="6" t="s">
        <v>558</v>
      </c>
    </row>
    <row r="253" customFormat="false" ht="52.2" hidden="false" customHeight="false" outlineLevel="0" collapsed="false">
      <c r="A253" s="6" t="s">
        <v>485</v>
      </c>
      <c r="B253" s="6" t="s">
        <v>325</v>
      </c>
      <c r="C253" s="7" t="s">
        <v>332</v>
      </c>
      <c r="D253" s="6" t="s">
        <v>348</v>
      </c>
      <c r="E253" s="6" t="s">
        <v>146</v>
      </c>
      <c r="F253" s="6" t="s">
        <v>564</v>
      </c>
      <c r="G253" s="7"/>
      <c r="H253" s="6" t="s">
        <v>148</v>
      </c>
      <c r="I253" s="6" t="s">
        <v>33</v>
      </c>
      <c r="J253" s="8" t="s">
        <v>565</v>
      </c>
      <c r="K253" s="6" t="s">
        <v>536</v>
      </c>
    </row>
    <row r="254" customFormat="false" ht="52.2" hidden="false" customHeight="false" outlineLevel="0" collapsed="false">
      <c r="A254" s="6" t="s">
        <v>485</v>
      </c>
      <c r="B254" s="6" t="s">
        <v>325</v>
      </c>
      <c r="C254" s="7" t="s">
        <v>332</v>
      </c>
      <c r="D254" s="6" t="s">
        <v>348</v>
      </c>
      <c r="E254" s="6" t="s">
        <v>146</v>
      </c>
      <c r="F254" s="6" t="s">
        <v>566</v>
      </c>
      <c r="G254" s="7"/>
      <c r="H254" s="6" t="s">
        <v>148</v>
      </c>
      <c r="I254" s="6" t="s">
        <v>33</v>
      </c>
      <c r="J254" s="8" t="s">
        <v>565</v>
      </c>
      <c r="K254" s="6" t="s">
        <v>536</v>
      </c>
    </row>
    <row r="255" customFormat="false" ht="52.2" hidden="false" customHeight="false" outlineLevel="0" collapsed="false">
      <c r="A255" s="6" t="s">
        <v>485</v>
      </c>
      <c r="B255" s="6" t="s">
        <v>325</v>
      </c>
      <c r="C255" s="7" t="s">
        <v>332</v>
      </c>
      <c r="D255" s="6" t="s">
        <v>348</v>
      </c>
      <c r="E255" s="6" t="s">
        <v>146</v>
      </c>
      <c r="F255" s="6" t="s">
        <v>567</v>
      </c>
      <c r="G255" s="7"/>
      <c r="H255" s="6" t="s">
        <v>148</v>
      </c>
      <c r="I255" s="6" t="s">
        <v>33</v>
      </c>
      <c r="J255" s="8" t="s">
        <v>565</v>
      </c>
      <c r="K255" s="6" t="s">
        <v>536</v>
      </c>
    </row>
    <row r="256" customFormat="false" ht="52.2" hidden="false" customHeight="false" outlineLevel="0" collapsed="false">
      <c r="A256" s="6" t="s">
        <v>485</v>
      </c>
      <c r="B256" s="6" t="s">
        <v>325</v>
      </c>
      <c r="C256" s="7" t="s">
        <v>332</v>
      </c>
      <c r="D256" s="6" t="s">
        <v>348</v>
      </c>
      <c r="E256" s="6" t="s">
        <v>146</v>
      </c>
      <c r="F256" s="6" t="s">
        <v>568</v>
      </c>
      <c r="G256" s="7"/>
      <c r="H256" s="6" t="s">
        <v>148</v>
      </c>
      <c r="I256" s="6" t="s">
        <v>33</v>
      </c>
      <c r="J256" s="8" t="s">
        <v>565</v>
      </c>
      <c r="K256" s="6" t="s">
        <v>536</v>
      </c>
    </row>
    <row r="257" customFormat="false" ht="52.2" hidden="false" customHeight="false" outlineLevel="0" collapsed="false">
      <c r="A257" s="6" t="s">
        <v>485</v>
      </c>
      <c r="B257" s="6" t="s">
        <v>325</v>
      </c>
      <c r="C257" s="7" t="s">
        <v>332</v>
      </c>
      <c r="D257" s="6" t="s">
        <v>348</v>
      </c>
      <c r="E257" s="6" t="s">
        <v>146</v>
      </c>
      <c r="F257" s="6" t="s">
        <v>569</v>
      </c>
      <c r="G257" s="7"/>
      <c r="H257" s="6" t="s">
        <v>148</v>
      </c>
      <c r="I257" s="6" t="s">
        <v>33</v>
      </c>
      <c r="J257" s="8" t="s">
        <v>565</v>
      </c>
      <c r="K257" s="6" t="s">
        <v>536</v>
      </c>
    </row>
    <row r="258" customFormat="false" ht="52.2" hidden="false" customHeight="false" outlineLevel="0" collapsed="false">
      <c r="A258" s="6" t="s">
        <v>485</v>
      </c>
      <c r="B258" s="6" t="s">
        <v>325</v>
      </c>
      <c r="C258" s="7" t="s">
        <v>332</v>
      </c>
      <c r="D258" s="6" t="s">
        <v>349</v>
      </c>
      <c r="E258" s="6" t="s">
        <v>146</v>
      </c>
      <c r="F258" s="6" t="s">
        <v>556</v>
      </c>
      <c r="G258" s="7"/>
      <c r="H258" s="6" t="s">
        <v>148</v>
      </c>
      <c r="I258" s="6" t="s">
        <v>33</v>
      </c>
      <c r="J258" s="8" t="s">
        <v>570</v>
      </c>
      <c r="K258" s="6" t="s">
        <v>536</v>
      </c>
    </row>
    <row r="259" customFormat="false" ht="52.2" hidden="false" customHeight="false" outlineLevel="0" collapsed="false">
      <c r="A259" s="6" t="s">
        <v>485</v>
      </c>
      <c r="B259" s="6" t="s">
        <v>325</v>
      </c>
      <c r="C259" s="7" t="s">
        <v>332</v>
      </c>
      <c r="D259" s="6" t="s">
        <v>349</v>
      </c>
      <c r="E259" s="6" t="s">
        <v>146</v>
      </c>
      <c r="F259" s="6" t="s">
        <v>559</v>
      </c>
      <c r="G259" s="7"/>
      <c r="H259" s="6" t="s">
        <v>148</v>
      </c>
      <c r="I259" s="6" t="s">
        <v>33</v>
      </c>
      <c r="J259" s="8" t="s">
        <v>570</v>
      </c>
      <c r="K259" s="6" t="s">
        <v>536</v>
      </c>
    </row>
    <row r="260" customFormat="false" ht="52.2" hidden="false" customHeight="false" outlineLevel="0" collapsed="false">
      <c r="A260" s="6" t="s">
        <v>485</v>
      </c>
      <c r="B260" s="6" t="s">
        <v>325</v>
      </c>
      <c r="C260" s="7" t="s">
        <v>332</v>
      </c>
      <c r="D260" s="6" t="s">
        <v>349</v>
      </c>
      <c r="E260" s="6" t="s">
        <v>146</v>
      </c>
      <c r="F260" s="6" t="s">
        <v>560</v>
      </c>
      <c r="G260" s="7"/>
      <c r="H260" s="6" t="s">
        <v>148</v>
      </c>
      <c r="I260" s="6" t="s">
        <v>33</v>
      </c>
      <c r="J260" s="8" t="s">
        <v>570</v>
      </c>
      <c r="K260" s="6" t="s">
        <v>536</v>
      </c>
    </row>
    <row r="261" customFormat="false" ht="52.2" hidden="false" customHeight="false" outlineLevel="0" collapsed="false">
      <c r="A261" s="6" t="s">
        <v>485</v>
      </c>
      <c r="B261" s="6" t="s">
        <v>325</v>
      </c>
      <c r="C261" s="7" t="s">
        <v>332</v>
      </c>
      <c r="D261" s="6" t="s">
        <v>349</v>
      </c>
      <c r="E261" s="6" t="s">
        <v>146</v>
      </c>
      <c r="F261" s="6" t="s">
        <v>561</v>
      </c>
      <c r="G261" s="7"/>
      <c r="H261" s="6" t="s">
        <v>148</v>
      </c>
      <c r="I261" s="6" t="s">
        <v>33</v>
      </c>
      <c r="J261" s="8" t="s">
        <v>570</v>
      </c>
      <c r="K261" s="6" t="s">
        <v>536</v>
      </c>
    </row>
    <row r="262" customFormat="false" ht="52.2" hidden="false" customHeight="false" outlineLevel="0" collapsed="false">
      <c r="A262" s="6" t="s">
        <v>485</v>
      </c>
      <c r="B262" s="6" t="s">
        <v>325</v>
      </c>
      <c r="C262" s="7" t="s">
        <v>332</v>
      </c>
      <c r="D262" s="6" t="s">
        <v>349</v>
      </c>
      <c r="E262" s="6" t="s">
        <v>146</v>
      </c>
      <c r="F262" s="6" t="s">
        <v>562</v>
      </c>
      <c r="G262" s="7"/>
      <c r="H262" s="6" t="s">
        <v>148</v>
      </c>
      <c r="I262" s="6" t="s">
        <v>33</v>
      </c>
      <c r="J262" s="8" t="s">
        <v>570</v>
      </c>
      <c r="K262" s="6" t="s">
        <v>536</v>
      </c>
    </row>
    <row r="263" customFormat="false" ht="52.2" hidden="false" customHeight="false" outlineLevel="0" collapsed="false">
      <c r="A263" s="6" t="s">
        <v>485</v>
      </c>
      <c r="B263" s="6" t="s">
        <v>325</v>
      </c>
      <c r="C263" s="7" t="s">
        <v>332</v>
      </c>
      <c r="D263" s="6" t="s">
        <v>349</v>
      </c>
      <c r="E263" s="6" t="s">
        <v>146</v>
      </c>
      <c r="F263" s="6" t="s">
        <v>563</v>
      </c>
      <c r="G263" s="7"/>
      <c r="H263" s="6" t="s">
        <v>148</v>
      </c>
      <c r="I263" s="6" t="s">
        <v>33</v>
      </c>
      <c r="J263" s="8" t="s">
        <v>570</v>
      </c>
      <c r="K263" s="6" t="s">
        <v>536</v>
      </c>
    </row>
    <row r="264" customFormat="false" ht="52.2" hidden="false" customHeight="false" outlineLevel="0" collapsed="false">
      <c r="A264" s="6" t="s">
        <v>485</v>
      </c>
      <c r="B264" s="6" t="s">
        <v>325</v>
      </c>
      <c r="C264" s="7" t="s">
        <v>332</v>
      </c>
      <c r="D264" s="6" t="s">
        <v>350</v>
      </c>
      <c r="E264" s="6" t="s">
        <v>146</v>
      </c>
      <c r="F264" s="6" t="s">
        <v>564</v>
      </c>
      <c r="G264" s="7"/>
      <c r="H264" s="6" t="s">
        <v>148</v>
      </c>
      <c r="I264" s="6" t="s">
        <v>33</v>
      </c>
      <c r="J264" s="8" t="s">
        <v>571</v>
      </c>
      <c r="K264" s="6" t="s">
        <v>536</v>
      </c>
    </row>
    <row r="265" customFormat="false" ht="52.2" hidden="false" customHeight="false" outlineLevel="0" collapsed="false">
      <c r="A265" s="6" t="s">
        <v>485</v>
      </c>
      <c r="B265" s="6" t="s">
        <v>325</v>
      </c>
      <c r="C265" s="7" t="s">
        <v>332</v>
      </c>
      <c r="D265" s="6" t="s">
        <v>350</v>
      </c>
      <c r="E265" s="6" t="s">
        <v>146</v>
      </c>
      <c r="F265" s="6" t="s">
        <v>572</v>
      </c>
      <c r="G265" s="7"/>
      <c r="H265" s="6" t="s">
        <v>148</v>
      </c>
      <c r="I265" s="6" t="s">
        <v>33</v>
      </c>
      <c r="J265" s="8" t="s">
        <v>571</v>
      </c>
      <c r="K265" s="6" t="s">
        <v>536</v>
      </c>
    </row>
    <row r="266" customFormat="false" ht="52.2" hidden="false" customHeight="false" outlineLevel="0" collapsed="false">
      <c r="A266" s="6" t="s">
        <v>485</v>
      </c>
      <c r="B266" s="6" t="s">
        <v>325</v>
      </c>
      <c r="C266" s="7" t="s">
        <v>332</v>
      </c>
      <c r="D266" s="6" t="s">
        <v>350</v>
      </c>
      <c r="E266" s="6" t="s">
        <v>146</v>
      </c>
      <c r="F266" s="6" t="s">
        <v>573</v>
      </c>
      <c r="G266" s="7"/>
      <c r="H266" s="6" t="s">
        <v>148</v>
      </c>
      <c r="I266" s="6" t="s">
        <v>33</v>
      </c>
      <c r="J266" s="8" t="s">
        <v>571</v>
      </c>
      <c r="K266" s="6" t="s">
        <v>536</v>
      </c>
    </row>
    <row r="267" customFormat="false" ht="52.2" hidden="false" customHeight="false" outlineLevel="0" collapsed="false">
      <c r="A267" s="6" t="s">
        <v>485</v>
      </c>
      <c r="B267" s="6" t="s">
        <v>325</v>
      </c>
      <c r="C267" s="7" t="s">
        <v>332</v>
      </c>
      <c r="D267" s="6" t="s">
        <v>350</v>
      </c>
      <c r="E267" s="6" t="s">
        <v>146</v>
      </c>
      <c r="F267" s="6" t="s">
        <v>574</v>
      </c>
      <c r="G267" s="7"/>
      <c r="H267" s="6" t="s">
        <v>148</v>
      </c>
      <c r="I267" s="6" t="s">
        <v>33</v>
      </c>
      <c r="J267" s="8" t="s">
        <v>571</v>
      </c>
      <c r="K267" s="6" t="s">
        <v>536</v>
      </c>
    </row>
    <row r="268" customFormat="false" ht="52.2" hidden="false" customHeight="false" outlineLevel="0" collapsed="false">
      <c r="A268" s="6" t="s">
        <v>485</v>
      </c>
      <c r="B268" s="6" t="s">
        <v>325</v>
      </c>
      <c r="C268" s="7" t="s">
        <v>332</v>
      </c>
      <c r="D268" s="6" t="s">
        <v>350</v>
      </c>
      <c r="E268" s="6" t="s">
        <v>146</v>
      </c>
      <c r="F268" s="6" t="s">
        <v>575</v>
      </c>
      <c r="G268" s="7"/>
      <c r="H268" s="6" t="s">
        <v>148</v>
      </c>
      <c r="I268" s="6" t="s">
        <v>33</v>
      </c>
      <c r="J268" s="8" t="s">
        <v>571</v>
      </c>
      <c r="K268" s="6" t="s">
        <v>536</v>
      </c>
    </row>
    <row r="269" customFormat="false" ht="52.2" hidden="false" customHeight="false" outlineLevel="0" collapsed="false">
      <c r="A269" s="6" t="s">
        <v>485</v>
      </c>
      <c r="B269" s="6" t="s">
        <v>325</v>
      </c>
      <c r="C269" s="7" t="s">
        <v>332</v>
      </c>
      <c r="D269" s="6" t="s">
        <v>350</v>
      </c>
      <c r="E269" s="6" t="s">
        <v>146</v>
      </c>
      <c r="F269" s="6" t="s">
        <v>576</v>
      </c>
      <c r="G269" s="7"/>
      <c r="H269" s="6" t="s">
        <v>148</v>
      </c>
      <c r="I269" s="6" t="s">
        <v>33</v>
      </c>
      <c r="J269" s="8" t="s">
        <v>571</v>
      </c>
      <c r="K269" s="6" t="s">
        <v>536</v>
      </c>
    </row>
    <row r="270" customFormat="false" ht="52.2" hidden="false" customHeight="false" outlineLevel="0" collapsed="false">
      <c r="A270" s="6" t="s">
        <v>485</v>
      </c>
      <c r="B270" s="6" t="s">
        <v>325</v>
      </c>
      <c r="C270" s="7" t="s">
        <v>332</v>
      </c>
      <c r="D270" s="6" t="s">
        <v>350</v>
      </c>
      <c r="E270" s="6" t="s">
        <v>146</v>
      </c>
      <c r="F270" s="6" t="s">
        <v>577</v>
      </c>
      <c r="G270" s="7"/>
      <c r="H270" s="6" t="s">
        <v>148</v>
      </c>
      <c r="I270" s="6" t="s">
        <v>33</v>
      </c>
      <c r="J270" s="8" t="s">
        <v>571</v>
      </c>
      <c r="K270" s="6" t="s">
        <v>536</v>
      </c>
    </row>
    <row r="271" customFormat="false" ht="147.75" hidden="false" customHeight="false" outlineLevel="0" collapsed="false">
      <c r="A271" s="6" t="s">
        <v>485</v>
      </c>
      <c r="B271" s="6" t="s">
        <v>325</v>
      </c>
      <c r="C271" s="7" t="s">
        <v>326</v>
      </c>
      <c r="D271" s="6" t="s">
        <v>578</v>
      </c>
      <c r="E271" s="6" t="s">
        <v>155</v>
      </c>
      <c r="F271" s="6" t="s">
        <v>579</v>
      </c>
      <c r="G271" s="7" t="s">
        <v>580</v>
      </c>
      <c r="H271" s="7"/>
      <c r="I271" s="6" t="s">
        <v>33</v>
      </c>
      <c r="J271" s="8" t="s">
        <v>581</v>
      </c>
      <c r="K271" s="6" t="s">
        <v>582</v>
      </c>
    </row>
    <row r="272" customFormat="false" ht="147.75" hidden="false" customHeight="false" outlineLevel="0" collapsed="false">
      <c r="A272" s="6" t="s">
        <v>485</v>
      </c>
      <c r="B272" s="6" t="s">
        <v>325</v>
      </c>
      <c r="C272" s="7" t="s">
        <v>326</v>
      </c>
      <c r="D272" s="6" t="s">
        <v>578</v>
      </c>
      <c r="E272" s="6" t="s">
        <v>155</v>
      </c>
      <c r="F272" s="6" t="s">
        <v>583</v>
      </c>
      <c r="G272" s="7" t="s">
        <v>584</v>
      </c>
      <c r="H272" s="7"/>
      <c r="I272" s="6" t="s">
        <v>33</v>
      </c>
      <c r="J272" s="8" t="s">
        <v>581</v>
      </c>
      <c r="K272" s="6" t="s">
        <v>582</v>
      </c>
    </row>
    <row r="273" customFormat="false" ht="147.75" hidden="false" customHeight="false" outlineLevel="0" collapsed="false">
      <c r="A273" s="6" t="s">
        <v>485</v>
      </c>
      <c r="B273" s="6" t="s">
        <v>325</v>
      </c>
      <c r="C273" s="7" t="s">
        <v>326</v>
      </c>
      <c r="D273" s="6" t="s">
        <v>578</v>
      </c>
      <c r="E273" s="6" t="s">
        <v>155</v>
      </c>
      <c r="F273" s="6" t="s">
        <v>585</v>
      </c>
      <c r="G273" s="7" t="s">
        <v>586</v>
      </c>
      <c r="H273" s="7"/>
      <c r="I273" s="6" t="s">
        <v>33</v>
      </c>
      <c r="J273" s="8" t="s">
        <v>581</v>
      </c>
      <c r="K273" s="6" t="s">
        <v>582</v>
      </c>
    </row>
    <row r="274" customFormat="false" ht="160.4" hidden="false" customHeight="false" outlineLevel="0" collapsed="false">
      <c r="A274" s="6" t="s">
        <v>485</v>
      </c>
      <c r="B274" s="6" t="s">
        <v>325</v>
      </c>
      <c r="C274" s="7" t="s">
        <v>332</v>
      </c>
      <c r="D274" s="6" t="s">
        <v>587</v>
      </c>
      <c r="E274" s="6" t="s">
        <v>155</v>
      </c>
      <c r="F274" s="6" t="s">
        <v>588</v>
      </c>
      <c r="G274" s="7" t="s">
        <v>589</v>
      </c>
      <c r="H274" s="7"/>
      <c r="I274" s="6" t="s">
        <v>33</v>
      </c>
      <c r="J274" s="8" t="s">
        <v>590</v>
      </c>
      <c r="K274" s="6" t="s">
        <v>591</v>
      </c>
    </row>
    <row r="275" customFormat="false" ht="160.4" hidden="false" customHeight="false" outlineLevel="0" collapsed="false">
      <c r="A275" s="6" t="s">
        <v>485</v>
      </c>
      <c r="B275" s="6" t="s">
        <v>325</v>
      </c>
      <c r="C275" s="7" t="s">
        <v>332</v>
      </c>
      <c r="D275" s="6" t="s">
        <v>587</v>
      </c>
      <c r="E275" s="6" t="s">
        <v>155</v>
      </c>
      <c r="F275" s="6" t="s">
        <v>592</v>
      </c>
      <c r="G275" s="7" t="s">
        <v>593</v>
      </c>
      <c r="H275" s="7"/>
      <c r="I275" s="6" t="s">
        <v>33</v>
      </c>
      <c r="J275" s="8" t="s">
        <v>590</v>
      </c>
      <c r="K275" s="6" t="s">
        <v>591</v>
      </c>
    </row>
    <row r="276" customFormat="false" ht="160.4" hidden="false" customHeight="false" outlineLevel="0" collapsed="false">
      <c r="A276" s="6" t="s">
        <v>485</v>
      </c>
      <c r="B276" s="6" t="s">
        <v>325</v>
      </c>
      <c r="C276" s="7" t="s">
        <v>332</v>
      </c>
      <c r="D276" s="6" t="s">
        <v>587</v>
      </c>
      <c r="E276" s="6" t="s">
        <v>155</v>
      </c>
      <c r="F276" s="6" t="s">
        <v>594</v>
      </c>
      <c r="G276" s="7" t="s">
        <v>595</v>
      </c>
      <c r="H276" s="7"/>
      <c r="I276" s="6" t="s">
        <v>33</v>
      </c>
      <c r="J276" s="8" t="s">
        <v>590</v>
      </c>
      <c r="K276" s="6" t="s">
        <v>591</v>
      </c>
    </row>
    <row r="277" customFormat="false" ht="15" hidden="false" customHeight="false" outlineLevel="0" collapsed="false">
      <c r="A277" s="9" t="s">
        <v>485</v>
      </c>
      <c r="B277" s="9" t="s">
        <v>325</v>
      </c>
      <c r="C277" s="10"/>
      <c r="D277" s="9" t="s">
        <v>354</v>
      </c>
      <c r="E277" s="9" t="s">
        <v>155</v>
      </c>
      <c r="F277" s="10"/>
      <c r="G277" s="10"/>
      <c r="H277" s="10"/>
      <c r="I277" s="9" t="s">
        <v>149</v>
      </c>
      <c r="J277" s="10"/>
      <c r="K277" s="9" t="s">
        <v>145</v>
      </c>
    </row>
    <row r="278" customFormat="false" ht="39.55" hidden="false" customHeight="false" outlineLevel="0" collapsed="false">
      <c r="A278" s="9" t="s">
        <v>485</v>
      </c>
      <c r="B278" s="9" t="s">
        <v>325</v>
      </c>
      <c r="C278" s="10"/>
      <c r="D278" s="9" t="s">
        <v>596</v>
      </c>
      <c r="E278" s="9" t="s">
        <v>155</v>
      </c>
      <c r="F278" s="10"/>
      <c r="G278" s="10"/>
      <c r="H278" s="10"/>
      <c r="I278" s="9" t="s">
        <v>33</v>
      </c>
      <c r="J278" s="11" t="s">
        <v>597</v>
      </c>
      <c r="K278" s="9" t="s">
        <v>598</v>
      </c>
    </row>
    <row r="279" customFormat="false" ht="77.6" hidden="false" customHeight="false" outlineLevel="0" collapsed="false">
      <c r="A279" s="6" t="s">
        <v>485</v>
      </c>
      <c r="B279" s="6" t="s">
        <v>325</v>
      </c>
      <c r="C279" s="7"/>
      <c r="D279" s="6" t="s">
        <v>599</v>
      </c>
      <c r="E279" s="6" t="s">
        <v>155</v>
      </c>
      <c r="F279" s="6" t="s">
        <v>600</v>
      </c>
      <c r="G279" s="6" t="s">
        <v>601</v>
      </c>
      <c r="H279" s="7"/>
      <c r="I279" s="6" t="s">
        <v>33</v>
      </c>
      <c r="J279" s="8" t="s">
        <v>602</v>
      </c>
      <c r="K279" s="6" t="s">
        <v>603</v>
      </c>
    </row>
    <row r="280" customFormat="false" ht="77.6" hidden="false" customHeight="false" outlineLevel="0" collapsed="false">
      <c r="A280" s="6" t="s">
        <v>485</v>
      </c>
      <c r="B280" s="6" t="s">
        <v>325</v>
      </c>
      <c r="C280" s="7"/>
      <c r="D280" s="6" t="s">
        <v>599</v>
      </c>
      <c r="E280" s="6" t="s">
        <v>155</v>
      </c>
      <c r="F280" s="6" t="s">
        <v>604</v>
      </c>
      <c r="G280" s="6" t="s">
        <v>605</v>
      </c>
      <c r="H280" s="7"/>
      <c r="I280" s="6" t="s">
        <v>33</v>
      </c>
      <c r="J280" s="8" t="s">
        <v>602</v>
      </c>
      <c r="K280" s="6" t="s">
        <v>603</v>
      </c>
    </row>
    <row r="281" customFormat="false" ht="77.6" hidden="false" customHeight="false" outlineLevel="0" collapsed="false">
      <c r="A281" s="6" t="s">
        <v>485</v>
      </c>
      <c r="B281" s="6" t="s">
        <v>325</v>
      </c>
      <c r="C281" s="7"/>
      <c r="D281" s="6" t="s">
        <v>599</v>
      </c>
      <c r="E281" s="6" t="s">
        <v>155</v>
      </c>
      <c r="F281" s="6" t="s">
        <v>606</v>
      </c>
      <c r="G281" s="6" t="s">
        <v>607</v>
      </c>
      <c r="H281" s="7"/>
      <c r="I281" s="6" t="s">
        <v>33</v>
      </c>
      <c r="J281" s="8" t="s">
        <v>602</v>
      </c>
      <c r="K281" s="6" t="s">
        <v>603</v>
      </c>
    </row>
    <row r="282" customFormat="false" ht="77.6" hidden="false" customHeight="false" outlineLevel="0" collapsed="false">
      <c r="A282" s="6" t="s">
        <v>485</v>
      </c>
      <c r="B282" s="6" t="s">
        <v>325</v>
      </c>
      <c r="C282" s="7"/>
      <c r="D282" s="6" t="s">
        <v>608</v>
      </c>
      <c r="E282" s="6" t="s">
        <v>155</v>
      </c>
      <c r="F282" s="6" t="s">
        <v>609</v>
      </c>
      <c r="G282" s="6" t="s">
        <v>610</v>
      </c>
      <c r="H282" s="7"/>
      <c r="I282" s="6" t="s">
        <v>33</v>
      </c>
      <c r="J282" s="8" t="s">
        <v>611</v>
      </c>
      <c r="K282" s="6" t="s">
        <v>612</v>
      </c>
    </row>
    <row r="283" customFormat="false" ht="77.6" hidden="false" customHeight="false" outlineLevel="0" collapsed="false">
      <c r="A283" s="6" t="s">
        <v>485</v>
      </c>
      <c r="B283" s="6" t="s">
        <v>325</v>
      </c>
      <c r="C283" s="7"/>
      <c r="D283" s="6" t="s">
        <v>608</v>
      </c>
      <c r="E283" s="6" t="s">
        <v>155</v>
      </c>
      <c r="F283" s="6" t="s">
        <v>613</v>
      </c>
      <c r="G283" s="6" t="s">
        <v>614</v>
      </c>
      <c r="H283" s="7"/>
      <c r="I283" s="6" t="s">
        <v>33</v>
      </c>
      <c r="J283" s="8" t="s">
        <v>611</v>
      </c>
      <c r="K283" s="6" t="s">
        <v>612</v>
      </c>
    </row>
    <row r="284" customFormat="false" ht="115.65" hidden="false" customHeight="false" outlineLevel="0" collapsed="false">
      <c r="A284" s="6" t="s">
        <v>485</v>
      </c>
      <c r="B284" s="6" t="s">
        <v>325</v>
      </c>
      <c r="C284" s="7"/>
      <c r="D284" s="6" t="s">
        <v>608</v>
      </c>
      <c r="E284" s="6" t="s">
        <v>155</v>
      </c>
      <c r="F284" s="6" t="s">
        <v>615</v>
      </c>
      <c r="G284" s="6" t="s">
        <v>616</v>
      </c>
      <c r="H284" s="7"/>
      <c r="I284" s="6" t="s">
        <v>33</v>
      </c>
      <c r="J284" s="8" t="s">
        <v>611</v>
      </c>
      <c r="K284" s="6" t="s">
        <v>617</v>
      </c>
    </row>
    <row r="285" customFormat="false" ht="77.6" hidden="false" customHeight="false" outlineLevel="0" collapsed="false">
      <c r="A285" s="6" t="s">
        <v>485</v>
      </c>
      <c r="B285" s="6" t="s">
        <v>325</v>
      </c>
      <c r="C285" s="7"/>
      <c r="D285" s="6" t="s">
        <v>608</v>
      </c>
      <c r="E285" s="6" t="s">
        <v>155</v>
      </c>
      <c r="F285" s="6" t="s">
        <v>618</v>
      </c>
      <c r="G285" s="7" t="s">
        <v>619</v>
      </c>
      <c r="H285" s="7"/>
      <c r="I285" s="6" t="s">
        <v>33</v>
      </c>
      <c r="J285" s="8" t="s">
        <v>611</v>
      </c>
      <c r="K285" s="6" t="s">
        <v>612</v>
      </c>
    </row>
    <row r="286" customFormat="false" ht="102.95" hidden="false" customHeight="false" outlineLevel="0" collapsed="false">
      <c r="A286" s="6" t="s">
        <v>485</v>
      </c>
      <c r="B286" s="6" t="s">
        <v>325</v>
      </c>
      <c r="C286" s="7" t="s">
        <v>329</v>
      </c>
      <c r="D286" s="6" t="s">
        <v>362</v>
      </c>
      <c r="E286" s="6" t="s">
        <v>361</v>
      </c>
      <c r="F286" s="6" t="s">
        <v>620</v>
      </c>
      <c r="G286" s="7"/>
      <c r="H286" s="7" t="s">
        <v>186</v>
      </c>
      <c r="I286" s="6" t="s">
        <v>158</v>
      </c>
      <c r="J286" s="8" t="s">
        <v>621</v>
      </c>
      <c r="K286" s="6" t="s">
        <v>622</v>
      </c>
    </row>
    <row r="287" customFormat="false" ht="102.95" hidden="false" customHeight="false" outlineLevel="0" collapsed="false">
      <c r="A287" s="6" t="s">
        <v>485</v>
      </c>
      <c r="B287" s="6" t="s">
        <v>325</v>
      </c>
      <c r="C287" s="7" t="s">
        <v>329</v>
      </c>
      <c r="D287" s="6" t="s">
        <v>362</v>
      </c>
      <c r="E287" s="6" t="s">
        <v>361</v>
      </c>
      <c r="F287" s="6" t="s">
        <v>623</v>
      </c>
      <c r="G287" s="7"/>
      <c r="H287" s="7" t="s">
        <v>186</v>
      </c>
      <c r="I287" s="6" t="s">
        <v>158</v>
      </c>
      <c r="J287" s="8" t="s">
        <v>621</v>
      </c>
      <c r="K287" s="6" t="s">
        <v>622</v>
      </c>
    </row>
    <row r="288" customFormat="false" ht="102.95" hidden="false" customHeight="false" outlineLevel="0" collapsed="false">
      <c r="A288" s="6" t="s">
        <v>485</v>
      </c>
      <c r="B288" s="6" t="s">
        <v>325</v>
      </c>
      <c r="C288" s="7" t="s">
        <v>329</v>
      </c>
      <c r="D288" s="6" t="s">
        <v>362</v>
      </c>
      <c r="E288" s="6" t="s">
        <v>361</v>
      </c>
      <c r="F288" s="6" t="s">
        <v>624</v>
      </c>
      <c r="G288" s="7"/>
      <c r="H288" s="7" t="s">
        <v>186</v>
      </c>
      <c r="I288" s="6" t="s">
        <v>158</v>
      </c>
      <c r="J288" s="8" t="s">
        <v>621</v>
      </c>
      <c r="K288" s="6" t="s">
        <v>622</v>
      </c>
    </row>
    <row r="289" customFormat="false" ht="102.95" hidden="false" customHeight="false" outlineLevel="0" collapsed="false">
      <c r="A289" s="6" t="s">
        <v>485</v>
      </c>
      <c r="B289" s="6" t="s">
        <v>325</v>
      </c>
      <c r="C289" s="7" t="s">
        <v>329</v>
      </c>
      <c r="D289" s="6" t="s">
        <v>362</v>
      </c>
      <c r="E289" s="6" t="s">
        <v>361</v>
      </c>
      <c r="F289" s="6" t="s">
        <v>625</v>
      </c>
      <c r="G289" s="7"/>
      <c r="H289" s="7" t="s">
        <v>186</v>
      </c>
      <c r="I289" s="6" t="s">
        <v>158</v>
      </c>
      <c r="J289" s="8" t="s">
        <v>621</v>
      </c>
      <c r="K289" s="6" t="s">
        <v>622</v>
      </c>
    </row>
    <row r="290" customFormat="false" ht="102.95" hidden="false" customHeight="false" outlineLevel="0" collapsed="false">
      <c r="A290" s="6" t="s">
        <v>485</v>
      </c>
      <c r="B290" s="6" t="s">
        <v>325</v>
      </c>
      <c r="C290" s="7" t="s">
        <v>329</v>
      </c>
      <c r="D290" s="6" t="s">
        <v>362</v>
      </c>
      <c r="E290" s="6" t="s">
        <v>361</v>
      </c>
      <c r="F290" s="6" t="s">
        <v>626</v>
      </c>
      <c r="G290" s="7"/>
      <c r="H290" s="7" t="s">
        <v>186</v>
      </c>
      <c r="I290" s="6" t="s">
        <v>158</v>
      </c>
      <c r="J290" s="8" t="s">
        <v>621</v>
      </c>
      <c r="K290" s="6" t="s">
        <v>622</v>
      </c>
    </row>
    <row r="291" customFormat="false" ht="102.95" hidden="false" customHeight="false" outlineLevel="0" collapsed="false">
      <c r="A291" s="6" t="s">
        <v>485</v>
      </c>
      <c r="B291" s="6" t="s">
        <v>325</v>
      </c>
      <c r="C291" s="7" t="s">
        <v>329</v>
      </c>
      <c r="D291" s="6" t="s">
        <v>362</v>
      </c>
      <c r="E291" s="6" t="s">
        <v>361</v>
      </c>
      <c r="F291" s="6" t="s">
        <v>627</v>
      </c>
      <c r="G291" s="7"/>
      <c r="H291" s="7" t="s">
        <v>186</v>
      </c>
      <c r="I291" s="6" t="s">
        <v>158</v>
      </c>
      <c r="J291" s="8" t="s">
        <v>621</v>
      </c>
      <c r="K291" s="6" t="s">
        <v>622</v>
      </c>
    </row>
    <row r="292" customFormat="false" ht="77.6" hidden="false" customHeight="false" outlineLevel="0" collapsed="false">
      <c r="A292" s="6" t="s">
        <v>485</v>
      </c>
      <c r="B292" s="6" t="s">
        <v>325</v>
      </c>
      <c r="C292" s="7" t="s">
        <v>329</v>
      </c>
      <c r="D292" s="6" t="s">
        <v>362</v>
      </c>
      <c r="E292" s="6" t="s">
        <v>361</v>
      </c>
      <c r="F292" s="6" t="s">
        <v>628</v>
      </c>
      <c r="G292" s="7"/>
      <c r="H292" s="7" t="s">
        <v>211</v>
      </c>
      <c r="I292" s="6" t="s">
        <v>158</v>
      </c>
      <c r="J292" s="8" t="s">
        <v>629</v>
      </c>
      <c r="K292" s="6" t="s">
        <v>630</v>
      </c>
    </row>
    <row r="293" customFormat="false" ht="52.2" hidden="false" customHeight="false" outlineLevel="0" collapsed="false">
      <c r="A293" s="9" t="s">
        <v>485</v>
      </c>
      <c r="B293" s="9" t="s">
        <v>325</v>
      </c>
      <c r="C293" s="10" t="s">
        <v>329</v>
      </c>
      <c r="D293" s="9" t="s">
        <v>363</v>
      </c>
      <c r="E293" s="9" t="s">
        <v>361</v>
      </c>
      <c r="F293" s="10"/>
      <c r="G293" s="10"/>
      <c r="H293" s="10"/>
      <c r="I293" s="9" t="s">
        <v>158</v>
      </c>
      <c r="J293" s="11" t="s">
        <v>631</v>
      </c>
      <c r="K293" s="9" t="s">
        <v>632</v>
      </c>
    </row>
    <row r="294" customFormat="false" ht="128.35" hidden="false" customHeight="false" outlineLevel="0" collapsed="false">
      <c r="A294" s="6" t="s">
        <v>485</v>
      </c>
      <c r="B294" s="6" t="s">
        <v>325</v>
      </c>
      <c r="C294" s="7" t="s">
        <v>332</v>
      </c>
      <c r="D294" s="6" t="s">
        <v>364</v>
      </c>
      <c r="E294" s="6" t="s">
        <v>361</v>
      </c>
      <c r="F294" s="6" t="s">
        <v>633</v>
      </c>
      <c r="G294" s="7"/>
      <c r="H294" s="7" t="s">
        <v>263</v>
      </c>
      <c r="I294" s="6" t="s">
        <v>158</v>
      </c>
      <c r="J294" s="8" t="s">
        <v>634</v>
      </c>
      <c r="K294" s="6" t="s">
        <v>635</v>
      </c>
    </row>
    <row r="295" customFormat="false" ht="128.35" hidden="false" customHeight="false" outlineLevel="0" collapsed="false">
      <c r="A295" s="6" t="s">
        <v>485</v>
      </c>
      <c r="B295" s="6" t="s">
        <v>325</v>
      </c>
      <c r="C295" s="7" t="s">
        <v>332</v>
      </c>
      <c r="D295" s="6" t="s">
        <v>364</v>
      </c>
      <c r="E295" s="6" t="s">
        <v>361</v>
      </c>
      <c r="F295" s="6" t="s">
        <v>636</v>
      </c>
      <c r="G295" s="7"/>
      <c r="H295" s="7" t="s">
        <v>263</v>
      </c>
      <c r="I295" s="6" t="s">
        <v>158</v>
      </c>
      <c r="J295" s="8" t="s">
        <v>634</v>
      </c>
      <c r="K295" s="6" t="s">
        <v>635</v>
      </c>
    </row>
    <row r="296" customFormat="false" ht="128.35" hidden="false" customHeight="false" outlineLevel="0" collapsed="false">
      <c r="A296" s="6" t="s">
        <v>485</v>
      </c>
      <c r="B296" s="6" t="s">
        <v>325</v>
      </c>
      <c r="C296" s="7" t="s">
        <v>332</v>
      </c>
      <c r="D296" s="6" t="s">
        <v>364</v>
      </c>
      <c r="E296" s="6" t="s">
        <v>361</v>
      </c>
      <c r="F296" s="6" t="s">
        <v>637</v>
      </c>
      <c r="G296" s="7"/>
      <c r="H296" s="7" t="s">
        <v>263</v>
      </c>
      <c r="I296" s="6" t="s">
        <v>158</v>
      </c>
      <c r="J296" s="8" t="s">
        <v>634</v>
      </c>
      <c r="K296" s="6" t="s">
        <v>635</v>
      </c>
    </row>
    <row r="297" customFormat="false" ht="128.35" hidden="false" customHeight="false" outlineLevel="0" collapsed="false">
      <c r="A297" s="6" t="s">
        <v>485</v>
      </c>
      <c r="B297" s="6" t="s">
        <v>325</v>
      </c>
      <c r="C297" s="7" t="s">
        <v>332</v>
      </c>
      <c r="D297" s="6" t="s">
        <v>364</v>
      </c>
      <c r="E297" s="6" t="s">
        <v>361</v>
      </c>
      <c r="F297" s="6" t="s">
        <v>638</v>
      </c>
      <c r="G297" s="7"/>
      <c r="H297" s="7" t="s">
        <v>263</v>
      </c>
      <c r="I297" s="6" t="s">
        <v>158</v>
      </c>
      <c r="J297" s="8" t="s">
        <v>634</v>
      </c>
      <c r="K297" s="6" t="s">
        <v>635</v>
      </c>
    </row>
    <row r="298" customFormat="false" ht="141" hidden="false" customHeight="false" outlineLevel="0" collapsed="false">
      <c r="A298" s="6" t="s">
        <v>485</v>
      </c>
      <c r="B298" s="6" t="s">
        <v>325</v>
      </c>
      <c r="C298" s="7" t="s">
        <v>332</v>
      </c>
      <c r="D298" s="6" t="s">
        <v>365</v>
      </c>
      <c r="E298" s="6" t="s">
        <v>361</v>
      </c>
      <c r="F298" s="6" t="s">
        <v>639</v>
      </c>
      <c r="G298" s="7"/>
      <c r="H298" s="7" t="s">
        <v>211</v>
      </c>
      <c r="I298" s="6" t="s">
        <v>158</v>
      </c>
      <c r="J298" s="8" t="s">
        <v>640</v>
      </c>
      <c r="K298" s="6" t="s">
        <v>641</v>
      </c>
    </row>
    <row r="299" customFormat="false" ht="52.2" hidden="false" customHeight="false" outlineLevel="0" collapsed="false">
      <c r="A299" s="9" t="s">
        <v>485</v>
      </c>
      <c r="B299" s="9" t="s">
        <v>325</v>
      </c>
      <c r="C299" s="10"/>
      <c r="D299" s="9" t="s">
        <v>360</v>
      </c>
      <c r="E299" s="9" t="s">
        <v>361</v>
      </c>
      <c r="F299" s="10"/>
      <c r="G299" s="10"/>
      <c r="H299" s="10"/>
      <c r="I299" s="9" t="s">
        <v>149</v>
      </c>
      <c r="J299" s="10"/>
      <c r="K299" s="9" t="s">
        <v>642</v>
      </c>
    </row>
    <row r="300" customFormat="false" ht="15" hidden="false" customHeight="false" outlineLevel="0" collapsed="false">
      <c r="A300" s="9" t="s">
        <v>485</v>
      </c>
      <c r="B300" s="9" t="s">
        <v>325</v>
      </c>
      <c r="C300" s="10"/>
      <c r="D300" s="9" t="s">
        <v>366</v>
      </c>
      <c r="E300" s="9" t="s">
        <v>361</v>
      </c>
      <c r="F300" s="10"/>
      <c r="G300" s="10"/>
      <c r="H300" s="10"/>
      <c r="I300" s="9" t="s">
        <v>149</v>
      </c>
      <c r="J300" s="10"/>
      <c r="K300" s="9" t="s">
        <v>145</v>
      </c>
    </row>
    <row r="301" customFormat="false" ht="102.95" hidden="false" customHeight="false" outlineLevel="0" collapsed="false">
      <c r="A301" s="6" t="s">
        <v>485</v>
      </c>
      <c r="B301" s="6" t="s">
        <v>325</v>
      </c>
      <c r="C301" s="7" t="s">
        <v>326</v>
      </c>
      <c r="D301" s="6" t="s">
        <v>643</v>
      </c>
      <c r="E301" s="6" t="s">
        <v>368</v>
      </c>
      <c r="F301" s="6" t="s">
        <v>377</v>
      </c>
      <c r="G301" s="7" t="s">
        <v>644</v>
      </c>
      <c r="H301" s="7" t="s">
        <v>211</v>
      </c>
      <c r="I301" s="6" t="s">
        <v>158</v>
      </c>
      <c r="J301" s="8" t="s">
        <v>645</v>
      </c>
      <c r="K301" s="6" t="s">
        <v>646</v>
      </c>
    </row>
    <row r="302" customFormat="false" ht="176.1" hidden="false" customHeight="false" outlineLevel="0" collapsed="false">
      <c r="A302" s="6" t="s">
        <v>485</v>
      </c>
      <c r="B302" s="6" t="s">
        <v>325</v>
      </c>
      <c r="C302" s="7" t="s">
        <v>326</v>
      </c>
      <c r="D302" s="6" t="s">
        <v>643</v>
      </c>
      <c r="E302" s="6" t="s">
        <v>368</v>
      </c>
      <c r="F302" s="6" t="s">
        <v>382</v>
      </c>
      <c r="G302" s="7" t="s">
        <v>647</v>
      </c>
      <c r="H302" s="7" t="s">
        <v>211</v>
      </c>
      <c r="I302" s="6" t="s">
        <v>158</v>
      </c>
      <c r="J302" s="8" t="s">
        <v>645</v>
      </c>
      <c r="K302" s="6" t="s">
        <v>648</v>
      </c>
    </row>
    <row r="303" customFormat="false" ht="15" hidden="false" customHeight="false" outlineLevel="0" collapsed="false">
      <c r="A303" s="9" t="s">
        <v>485</v>
      </c>
      <c r="B303" s="9" t="s">
        <v>325</v>
      </c>
      <c r="C303" s="10"/>
      <c r="D303" s="9" t="s">
        <v>384</v>
      </c>
      <c r="E303" s="9" t="s">
        <v>368</v>
      </c>
      <c r="F303" s="10"/>
      <c r="G303" s="10"/>
      <c r="H303" s="10"/>
      <c r="I303" s="9" t="s">
        <v>149</v>
      </c>
      <c r="J303" s="10"/>
      <c r="K303" s="9" t="s">
        <v>145</v>
      </c>
    </row>
    <row r="304" customFormat="false" ht="15" hidden="false" customHeight="false" outlineLevel="0" collapsed="false">
      <c r="A304" s="9" t="s">
        <v>485</v>
      </c>
      <c r="B304" s="9" t="s">
        <v>325</v>
      </c>
      <c r="C304" s="10"/>
      <c r="D304" s="9" t="s">
        <v>385</v>
      </c>
      <c r="E304" s="9" t="s">
        <v>368</v>
      </c>
      <c r="F304" s="10"/>
      <c r="G304" s="10"/>
      <c r="H304" s="10"/>
      <c r="I304" s="9" t="s">
        <v>149</v>
      </c>
      <c r="J304" s="10"/>
      <c r="K304" s="9" t="s">
        <v>145</v>
      </c>
    </row>
    <row r="305" customFormat="false" ht="15" hidden="false" customHeight="false" outlineLevel="0" collapsed="false">
      <c r="A305" s="9" t="s">
        <v>485</v>
      </c>
      <c r="B305" s="9" t="s">
        <v>325</v>
      </c>
      <c r="C305" s="10"/>
      <c r="D305" s="9" t="s">
        <v>386</v>
      </c>
      <c r="E305" s="9" t="s">
        <v>368</v>
      </c>
      <c r="F305" s="10"/>
      <c r="G305" s="10"/>
      <c r="H305" s="10"/>
      <c r="I305" s="9" t="s">
        <v>149</v>
      </c>
      <c r="J305" s="10"/>
      <c r="K305" s="9" t="s">
        <v>145</v>
      </c>
    </row>
    <row r="306" customFormat="false" ht="15" hidden="false" customHeight="false" outlineLevel="0" collapsed="false">
      <c r="A306" s="9" t="s">
        <v>485</v>
      </c>
      <c r="B306" s="9" t="s">
        <v>325</v>
      </c>
      <c r="C306" s="10"/>
      <c r="D306" s="9" t="s">
        <v>387</v>
      </c>
      <c r="E306" s="9" t="s">
        <v>368</v>
      </c>
      <c r="F306" s="10"/>
      <c r="G306" s="10"/>
      <c r="H306" s="10"/>
      <c r="I306" s="9" t="s">
        <v>149</v>
      </c>
      <c r="J306" s="10"/>
      <c r="K306" s="9" t="s">
        <v>145</v>
      </c>
    </row>
    <row r="307" customFormat="false" ht="15" hidden="false" customHeight="false" outlineLevel="0" collapsed="false">
      <c r="A307" s="9" t="s">
        <v>485</v>
      </c>
      <c r="B307" s="9" t="s">
        <v>325</v>
      </c>
      <c r="C307" s="10"/>
      <c r="D307" s="9" t="s">
        <v>388</v>
      </c>
      <c r="E307" s="9" t="s">
        <v>368</v>
      </c>
      <c r="F307" s="10"/>
      <c r="G307" s="10"/>
      <c r="H307" s="10"/>
      <c r="I307" s="9" t="s">
        <v>149</v>
      </c>
      <c r="J307" s="10"/>
      <c r="K307" s="9" t="s">
        <v>145</v>
      </c>
    </row>
    <row r="308" customFormat="false" ht="15" hidden="false" customHeight="false" outlineLevel="0" collapsed="false">
      <c r="A308" s="9" t="s">
        <v>485</v>
      </c>
      <c r="B308" s="9" t="s">
        <v>325</v>
      </c>
      <c r="C308" s="10"/>
      <c r="D308" s="9" t="s">
        <v>389</v>
      </c>
      <c r="E308" s="9" t="s">
        <v>368</v>
      </c>
      <c r="F308" s="10"/>
      <c r="G308" s="10"/>
      <c r="H308" s="10"/>
      <c r="I308" s="9" t="s">
        <v>149</v>
      </c>
      <c r="J308" s="10"/>
      <c r="K308" s="9" t="s">
        <v>145</v>
      </c>
    </row>
    <row r="309" customFormat="false" ht="15" hidden="false" customHeight="false" outlineLevel="0" collapsed="false">
      <c r="A309" s="9" t="s">
        <v>485</v>
      </c>
      <c r="B309" s="9" t="s">
        <v>325</v>
      </c>
      <c r="C309" s="10"/>
      <c r="D309" s="9" t="s">
        <v>484</v>
      </c>
      <c r="E309" s="9" t="s">
        <v>368</v>
      </c>
      <c r="F309" s="10"/>
      <c r="G309" s="10"/>
      <c r="H309" s="10"/>
      <c r="I309" s="9" t="s">
        <v>149</v>
      </c>
      <c r="J309" s="10"/>
      <c r="K309" s="9" t="s">
        <v>145</v>
      </c>
    </row>
    <row r="310" customFormat="false" ht="115.65" hidden="false" customHeight="false" outlineLevel="0" collapsed="false">
      <c r="A310" s="6" t="s">
        <v>485</v>
      </c>
      <c r="B310" s="6" t="s">
        <v>325</v>
      </c>
      <c r="C310" s="7" t="s">
        <v>326</v>
      </c>
      <c r="D310" s="6" t="s">
        <v>649</v>
      </c>
      <c r="E310" s="6" t="s">
        <v>166</v>
      </c>
      <c r="F310" s="6" t="s">
        <v>377</v>
      </c>
      <c r="G310" s="7" t="s">
        <v>650</v>
      </c>
      <c r="H310" s="7" t="s">
        <v>53</v>
      </c>
      <c r="I310" s="6" t="s">
        <v>158</v>
      </c>
      <c r="J310" s="8" t="s">
        <v>651</v>
      </c>
      <c r="K310" s="6" t="s">
        <v>652</v>
      </c>
    </row>
    <row r="311" customFormat="false" ht="115.65" hidden="false" customHeight="false" outlineLevel="0" collapsed="false">
      <c r="A311" s="6" t="s">
        <v>485</v>
      </c>
      <c r="B311" s="6" t="s">
        <v>325</v>
      </c>
      <c r="C311" s="7" t="s">
        <v>326</v>
      </c>
      <c r="D311" s="6" t="s">
        <v>649</v>
      </c>
      <c r="E311" s="6" t="s">
        <v>166</v>
      </c>
      <c r="F311" s="6" t="s">
        <v>382</v>
      </c>
      <c r="G311" s="7" t="s">
        <v>653</v>
      </c>
      <c r="H311" s="7" t="s">
        <v>53</v>
      </c>
      <c r="I311" s="6" t="s">
        <v>158</v>
      </c>
      <c r="J311" s="8" t="s">
        <v>651</v>
      </c>
      <c r="K311" s="6" t="s">
        <v>652</v>
      </c>
    </row>
    <row r="312" customFormat="false" ht="90.25" hidden="false" customHeight="false" outlineLevel="0" collapsed="false">
      <c r="A312" s="6" t="s">
        <v>485</v>
      </c>
      <c r="B312" s="6" t="s">
        <v>325</v>
      </c>
      <c r="C312" s="7" t="s">
        <v>326</v>
      </c>
      <c r="D312" s="6" t="s">
        <v>649</v>
      </c>
      <c r="E312" s="6" t="s">
        <v>166</v>
      </c>
      <c r="F312" s="6" t="s">
        <v>654</v>
      </c>
      <c r="G312" s="6" t="s">
        <v>655</v>
      </c>
      <c r="H312" s="7" t="s">
        <v>211</v>
      </c>
      <c r="I312" s="6" t="s">
        <v>158</v>
      </c>
      <c r="J312" s="8" t="s">
        <v>656</v>
      </c>
      <c r="K312" s="6" t="s">
        <v>657</v>
      </c>
    </row>
    <row r="313" customFormat="false" ht="15" hidden="false" customHeight="false" outlineLevel="0" collapsed="false">
      <c r="A313" s="9" t="s">
        <v>485</v>
      </c>
      <c r="B313" s="9" t="s">
        <v>325</v>
      </c>
      <c r="C313" s="10"/>
      <c r="D313" s="9" t="s">
        <v>391</v>
      </c>
      <c r="E313" s="9" t="s">
        <v>166</v>
      </c>
      <c r="F313" s="10"/>
      <c r="G313" s="10"/>
      <c r="H313" s="10"/>
      <c r="I313" s="9" t="s">
        <v>149</v>
      </c>
      <c r="J313" s="10"/>
      <c r="K313" s="9" t="s">
        <v>145</v>
      </c>
    </row>
    <row r="314" customFormat="false" ht="15" hidden="false" customHeight="false" outlineLevel="0" collapsed="false">
      <c r="A314" s="9" t="s">
        <v>485</v>
      </c>
      <c r="B314" s="9" t="s">
        <v>325</v>
      </c>
      <c r="C314" s="10"/>
      <c r="D314" s="9" t="s">
        <v>392</v>
      </c>
      <c r="E314" s="9" t="s">
        <v>166</v>
      </c>
      <c r="F314" s="10"/>
      <c r="G314" s="10"/>
      <c r="H314" s="10"/>
      <c r="I314" s="9" t="s">
        <v>149</v>
      </c>
      <c r="J314" s="10"/>
      <c r="K314" s="9" t="s">
        <v>145</v>
      </c>
    </row>
    <row r="315" customFormat="false" ht="15" hidden="false" customHeight="false" outlineLevel="0" collapsed="false">
      <c r="A315" s="9" t="s">
        <v>485</v>
      </c>
      <c r="B315" s="9" t="s">
        <v>325</v>
      </c>
      <c r="C315" s="10"/>
      <c r="D315" s="9" t="s">
        <v>393</v>
      </c>
      <c r="E315" s="9" t="s">
        <v>166</v>
      </c>
      <c r="F315" s="10"/>
      <c r="G315" s="10"/>
      <c r="H315" s="10"/>
      <c r="I315" s="9" t="s">
        <v>149</v>
      </c>
      <c r="J315" s="10"/>
      <c r="K315" s="9" t="s">
        <v>145</v>
      </c>
    </row>
    <row r="316" customFormat="false" ht="15" hidden="false" customHeight="false" outlineLevel="0" collapsed="false">
      <c r="A316" s="9" t="s">
        <v>485</v>
      </c>
      <c r="B316" s="9" t="s">
        <v>325</v>
      </c>
      <c r="C316" s="10"/>
      <c r="D316" s="9" t="s">
        <v>394</v>
      </c>
      <c r="E316" s="9" t="s">
        <v>166</v>
      </c>
      <c r="F316" s="10"/>
      <c r="G316" s="10"/>
      <c r="H316" s="10"/>
      <c r="I316" s="9" t="s">
        <v>149</v>
      </c>
      <c r="J316" s="10"/>
      <c r="K316" s="9" t="s">
        <v>145</v>
      </c>
    </row>
    <row r="317" customFormat="false" ht="15" hidden="false" customHeight="false" outlineLevel="0" collapsed="false">
      <c r="A317" s="9" t="s">
        <v>485</v>
      </c>
      <c r="B317" s="9" t="s">
        <v>325</v>
      </c>
      <c r="C317" s="10"/>
      <c r="D317" s="9" t="s">
        <v>395</v>
      </c>
      <c r="E317" s="9" t="s">
        <v>166</v>
      </c>
      <c r="F317" s="10"/>
      <c r="G317" s="10"/>
      <c r="H317" s="10"/>
      <c r="I317" s="9" t="s">
        <v>149</v>
      </c>
      <c r="J317" s="10"/>
      <c r="K317" s="9" t="s">
        <v>145</v>
      </c>
    </row>
    <row r="318" customFormat="false" ht="64.9" hidden="false" customHeight="false" outlineLevel="0" collapsed="false">
      <c r="A318" s="6" t="s">
        <v>485</v>
      </c>
      <c r="B318" s="6" t="s">
        <v>325</v>
      </c>
      <c r="C318" s="7" t="s">
        <v>326</v>
      </c>
      <c r="D318" s="6" t="s">
        <v>327</v>
      </c>
      <c r="E318" s="6" t="s">
        <v>256</v>
      </c>
      <c r="F318" s="6" t="s">
        <v>658</v>
      </c>
      <c r="G318" s="7"/>
      <c r="H318" s="7"/>
      <c r="I318" s="6" t="s">
        <v>33</v>
      </c>
      <c r="J318" s="8" t="s">
        <v>659</v>
      </c>
      <c r="K318" s="6" t="s">
        <v>660</v>
      </c>
    </row>
    <row r="319" customFormat="false" ht="64.9" hidden="false" customHeight="false" outlineLevel="0" collapsed="false">
      <c r="A319" s="6" t="s">
        <v>485</v>
      </c>
      <c r="B319" s="6" t="s">
        <v>325</v>
      </c>
      <c r="C319" s="7" t="s">
        <v>326</v>
      </c>
      <c r="D319" s="6" t="s">
        <v>327</v>
      </c>
      <c r="E319" s="6" t="s">
        <v>256</v>
      </c>
      <c r="F319" s="6" t="s">
        <v>661</v>
      </c>
      <c r="G319" s="7"/>
      <c r="H319" s="7"/>
      <c r="I319" s="6" t="s">
        <v>33</v>
      </c>
      <c r="J319" s="8" t="s">
        <v>659</v>
      </c>
      <c r="K319" s="6" t="s">
        <v>660</v>
      </c>
    </row>
    <row r="320" customFormat="false" ht="64.9" hidden="false" customHeight="false" outlineLevel="0" collapsed="false">
      <c r="A320" s="6" t="s">
        <v>485</v>
      </c>
      <c r="B320" s="6" t="s">
        <v>325</v>
      </c>
      <c r="C320" s="7" t="s">
        <v>326</v>
      </c>
      <c r="D320" s="6" t="s">
        <v>327</v>
      </c>
      <c r="E320" s="6" t="s">
        <v>256</v>
      </c>
      <c r="F320" s="6" t="s">
        <v>662</v>
      </c>
      <c r="G320" s="7"/>
      <c r="H320" s="7"/>
      <c r="I320" s="6" t="s">
        <v>33</v>
      </c>
      <c r="J320" s="8" t="s">
        <v>659</v>
      </c>
      <c r="K320" s="6" t="s">
        <v>663</v>
      </c>
    </row>
    <row r="321" customFormat="false" ht="64.9" hidden="false" customHeight="false" outlineLevel="0" collapsed="false">
      <c r="A321" s="6" t="s">
        <v>485</v>
      </c>
      <c r="B321" s="6" t="s">
        <v>325</v>
      </c>
      <c r="C321" s="7" t="s">
        <v>326</v>
      </c>
      <c r="D321" s="6" t="s">
        <v>327</v>
      </c>
      <c r="E321" s="6" t="s">
        <v>256</v>
      </c>
      <c r="F321" s="6" t="s">
        <v>664</v>
      </c>
      <c r="G321" s="7"/>
      <c r="H321" s="7"/>
      <c r="I321" s="6" t="s">
        <v>33</v>
      </c>
      <c r="J321" s="8" t="s">
        <v>659</v>
      </c>
      <c r="K321" s="6" t="s">
        <v>663</v>
      </c>
    </row>
    <row r="322" customFormat="false" ht="64.9" hidden="false" customHeight="false" outlineLevel="0" collapsed="false">
      <c r="A322" s="6" t="s">
        <v>485</v>
      </c>
      <c r="B322" s="6" t="s">
        <v>325</v>
      </c>
      <c r="C322" s="7" t="s">
        <v>326</v>
      </c>
      <c r="D322" s="6" t="s">
        <v>327</v>
      </c>
      <c r="E322" s="6" t="s">
        <v>256</v>
      </c>
      <c r="F322" s="6" t="s">
        <v>665</v>
      </c>
      <c r="G322" s="7"/>
      <c r="H322" s="7"/>
      <c r="I322" s="6" t="s">
        <v>33</v>
      </c>
      <c r="J322" s="8" t="s">
        <v>659</v>
      </c>
      <c r="K322" s="6" t="s">
        <v>666</v>
      </c>
    </row>
    <row r="323" customFormat="false" ht="64.9" hidden="false" customHeight="false" outlineLevel="0" collapsed="false">
      <c r="A323" s="6" t="s">
        <v>485</v>
      </c>
      <c r="B323" s="6" t="s">
        <v>325</v>
      </c>
      <c r="C323" s="7" t="s">
        <v>326</v>
      </c>
      <c r="D323" s="6" t="s">
        <v>327</v>
      </c>
      <c r="E323" s="6" t="s">
        <v>256</v>
      </c>
      <c r="F323" s="6" t="s">
        <v>667</v>
      </c>
      <c r="G323" s="7"/>
      <c r="H323" s="7"/>
      <c r="I323" s="6" t="s">
        <v>33</v>
      </c>
      <c r="J323" s="8" t="s">
        <v>659</v>
      </c>
      <c r="K323" s="6" t="s">
        <v>666</v>
      </c>
    </row>
    <row r="324" customFormat="false" ht="64.9" hidden="false" customHeight="false" outlineLevel="0" collapsed="false">
      <c r="A324" s="6" t="s">
        <v>485</v>
      </c>
      <c r="B324" s="6" t="s">
        <v>325</v>
      </c>
      <c r="C324" s="7" t="s">
        <v>326</v>
      </c>
      <c r="D324" s="6" t="s">
        <v>327</v>
      </c>
      <c r="E324" s="6" t="s">
        <v>256</v>
      </c>
      <c r="F324" s="6" t="s">
        <v>668</v>
      </c>
      <c r="G324" s="7"/>
      <c r="H324" s="7"/>
      <c r="I324" s="6" t="s">
        <v>33</v>
      </c>
      <c r="J324" s="8" t="s">
        <v>659</v>
      </c>
      <c r="K324" s="6" t="s">
        <v>666</v>
      </c>
    </row>
    <row r="325" customFormat="false" ht="90.25" hidden="false" customHeight="false" outlineLevel="0" collapsed="false">
      <c r="A325" s="6" t="s">
        <v>485</v>
      </c>
      <c r="B325" s="6" t="s">
        <v>325</v>
      </c>
      <c r="C325" s="7" t="s">
        <v>326</v>
      </c>
      <c r="D325" s="6" t="s">
        <v>328</v>
      </c>
      <c r="E325" s="6" t="s">
        <v>256</v>
      </c>
      <c r="F325" s="6" t="s">
        <v>669</v>
      </c>
      <c r="G325" s="6" t="s">
        <v>670</v>
      </c>
      <c r="H325" s="7"/>
      <c r="I325" s="6" t="s">
        <v>33</v>
      </c>
      <c r="J325" s="8" t="s">
        <v>671</v>
      </c>
      <c r="K325" s="6" t="s">
        <v>672</v>
      </c>
    </row>
    <row r="326" customFormat="false" ht="64.9" hidden="false" customHeight="false" outlineLevel="0" collapsed="false">
      <c r="A326" s="6" t="s">
        <v>485</v>
      </c>
      <c r="B326" s="6" t="s">
        <v>325</v>
      </c>
      <c r="C326" s="7" t="s">
        <v>326</v>
      </c>
      <c r="D326" s="6" t="s">
        <v>328</v>
      </c>
      <c r="E326" s="6" t="s">
        <v>256</v>
      </c>
      <c r="F326" s="6" t="s">
        <v>673</v>
      </c>
      <c r="G326" s="7"/>
      <c r="H326" s="7"/>
      <c r="I326" s="6" t="s">
        <v>33</v>
      </c>
      <c r="J326" s="8" t="s">
        <v>671</v>
      </c>
      <c r="K326" s="6" t="s">
        <v>674</v>
      </c>
    </row>
    <row r="327" customFormat="false" ht="77.6" hidden="false" customHeight="false" outlineLevel="0" collapsed="false">
      <c r="A327" s="6" t="s">
        <v>485</v>
      </c>
      <c r="B327" s="6" t="s">
        <v>325</v>
      </c>
      <c r="C327" s="7" t="s">
        <v>326</v>
      </c>
      <c r="D327" s="6" t="s">
        <v>328</v>
      </c>
      <c r="E327" s="6" t="s">
        <v>256</v>
      </c>
      <c r="F327" s="6" t="s">
        <v>675</v>
      </c>
      <c r="G327" s="6" t="s">
        <v>676</v>
      </c>
      <c r="H327" s="7"/>
      <c r="I327" s="6" t="s">
        <v>33</v>
      </c>
      <c r="J327" s="8" t="s">
        <v>671</v>
      </c>
      <c r="K327" s="6" t="s">
        <v>677</v>
      </c>
    </row>
    <row r="328" customFormat="false" ht="77.6" hidden="false" customHeight="false" outlineLevel="0" collapsed="false">
      <c r="A328" s="6" t="s">
        <v>485</v>
      </c>
      <c r="B328" s="6" t="s">
        <v>325</v>
      </c>
      <c r="C328" s="7" t="s">
        <v>326</v>
      </c>
      <c r="D328" s="6" t="s">
        <v>328</v>
      </c>
      <c r="E328" s="6" t="s">
        <v>256</v>
      </c>
      <c r="F328" s="6" t="s">
        <v>678</v>
      </c>
      <c r="G328" s="6" t="s">
        <v>679</v>
      </c>
      <c r="H328" s="7"/>
      <c r="I328" s="6" t="s">
        <v>33</v>
      </c>
      <c r="J328" s="8" t="s">
        <v>671</v>
      </c>
      <c r="K328" s="6" t="s">
        <v>680</v>
      </c>
    </row>
    <row r="329" customFormat="false" ht="64.9" hidden="false" customHeight="false" outlineLevel="0" collapsed="false">
      <c r="A329" s="6" t="s">
        <v>485</v>
      </c>
      <c r="B329" s="6" t="s">
        <v>325</v>
      </c>
      <c r="C329" s="7" t="s">
        <v>326</v>
      </c>
      <c r="D329" s="6" t="s">
        <v>328</v>
      </c>
      <c r="E329" s="6" t="s">
        <v>256</v>
      </c>
      <c r="F329" s="6" t="s">
        <v>681</v>
      </c>
      <c r="G329" s="7"/>
      <c r="H329" s="7"/>
      <c r="I329" s="6" t="s">
        <v>33</v>
      </c>
      <c r="J329" s="8" t="s">
        <v>671</v>
      </c>
      <c r="K329" s="6" t="s">
        <v>682</v>
      </c>
    </row>
    <row r="330" customFormat="false" ht="64.9" hidden="false" customHeight="false" outlineLevel="0" collapsed="false">
      <c r="A330" s="6" t="s">
        <v>485</v>
      </c>
      <c r="B330" s="6" t="s">
        <v>325</v>
      </c>
      <c r="C330" s="7" t="s">
        <v>326</v>
      </c>
      <c r="D330" s="6" t="s">
        <v>328</v>
      </c>
      <c r="E330" s="6" t="s">
        <v>256</v>
      </c>
      <c r="F330" s="6" t="s">
        <v>683</v>
      </c>
      <c r="G330" s="6" t="s">
        <v>684</v>
      </c>
      <c r="H330" s="7"/>
      <c r="I330" s="6" t="s">
        <v>33</v>
      </c>
      <c r="J330" s="8" t="s">
        <v>671</v>
      </c>
      <c r="K330" s="6" t="s">
        <v>685</v>
      </c>
    </row>
    <row r="331" customFormat="false" ht="77.6" hidden="false" customHeight="false" outlineLevel="0" collapsed="false">
      <c r="A331" s="6" t="s">
        <v>485</v>
      </c>
      <c r="B331" s="6" t="s">
        <v>325</v>
      </c>
      <c r="C331" s="7" t="s">
        <v>329</v>
      </c>
      <c r="D331" s="6" t="s">
        <v>330</v>
      </c>
      <c r="E331" s="6" t="s">
        <v>256</v>
      </c>
      <c r="F331" s="6" t="s">
        <v>686</v>
      </c>
      <c r="G331" s="7"/>
      <c r="H331" s="7"/>
      <c r="I331" s="6" t="s">
        <v>33</v>
      </c>
      <c r="J331" s="8" t="s">
        <v>687</v>
      </c>
      <c r="K331" s="6" t="s">
        <v>688</v>
      </c>
    </row>
    <row r="332" customFormat="false" ht="64.9" hidden="false" customHeight="false" outlineLevel="0" collapsed="false">
      <c r="A332" s="6" t="s">
        <v>485</v>
      </c>
      <c r="B332" s="6" t="s">
        <v>325</v>
      </c>
      <c r="C332" s="7" t="s">
        <v>329</v>
      </c>
      <c r="D332" s="6" t="s">
        <v>330</v>
      </c>
      <c r="E332" s="6" t="s">
        <v>256</v>
      </c>
      <c r="F332" s="6" t="s">
        <v>689</v>
      </c>
      <c r="G332" s="7"/>
      <c r="H332" s="7"/>
      <c r="I332" s="6" t="s">
        <v>33</v>
      </c>
      <c r="J332" s="8" t="s">
        <v>687</v>
      </c>
      <c r="K332" s="6" t="s">
        <v>690</v>
      </c>
    </row>
    <row r="333" customFormat="false" ht="64.9" hidden="false" customHeight="false" outlineLevel="0" collapsed="false">
      <c r="A333" s="6" t="s">
        <v>485</v>
      </c>
      <c r="B333" s="6" t="s">
        <v>325</v>
      </c>
      <c r="C333" s="7" t="s">
        <v>329</v>
      </c>
      <c r="D333" s="6" t="s">
        <v>330</v>
      </c>
      <c r="E333" s="6" t="s">
        <v>256</v>
      </c>
      <c r="F333" s="6" t="s">
        <v>691</v>
      </c>
      <c r="G333" s="7"/>
      <c r="H333" s="7"/>
      <c r="I333" s="6" t="s">
        <v>33</v>
      </c>
      <c r="J333" s="8" t="s">
        <v>687</v>
      </c>
      <c r="K333" s="6" t="s">
        <v>692</v>
      </c>
    </row>
    <row r="334" customFormat="false" ht="64.9" hidden="false" customHeight="false" outlineLevel="0" collapsed="false">
      <c r="A334" s="6" t="s">
        <v>485</v>
      </c>
      <c r="B334" s="6" t="s">
        <v>325</v>
      </c>
      <c r="C334" s="7" t="s">
        <v>329</v>
      </c>
      <c r="D334" s="6" t="s">
        <v>330</v>
      </c>
      <c r="E334" s="6" t="s">
        <v>256</v>
      </c>
      <c r="F334" s="6" t="s">
        <v>693</v>
      </c>
      <c r="G334" s="7"/>
      <c r="H334" s="7"/>
      <c r="I334" s="6" t="s">
        <v>33</v>
      </c>
      <c r="J334" s="8" t="s">
        <v>687</v>
      </c>
      <c r="K334" s="6" t="s">
        <v>692</v>
      </c>
    </row>
    <row r="335" customFormat="false" ht="64.9" hidden="false" customHeight="false" outlineLevel="0" collapsed="false">
      <c r="A335" s="6" t="s">
        <v>485</v>
      </c>
      <c r="B335" s="6" t="s">
        <v>325</v>
      </c>
      <c r="C335" s="7" t="s">
        <v>329</v>
      </c>
      <c r="D335" s="6" t="s">
        <v>330</v>
      </c>
      <c r="E335" s="6" t="s">
        <v>256</v>
      </c>
      <c r="F335" s="6" t="s">
        <v>694</v>
      </c>
      <c r="G335" s="7"/>
      <c r="H335" s="7"/>
      <c r="I335" s="6" t="s">
        <v>33</v>
      </c>
      <c r="J335" s="8" t="s">
        <v>687</v>
      </c>
      <c r="K335" s="6" t="s">
        <v>695</v>
      </c>
    </row>
    <row r="336" customFormat="false" ht="64.9" hidden="false" customHeight="false" outlineLevel="0" collapsed="false">
      <c r="A336" s="6" t="s">
        <v>485</v>
      </c>
      <c r="B336" s="6" t="s">
        <v>325</v>
      </c>
      <c r="C336" s="7" t="s">
        <v>329</v>
      </c>
      <c r="D336" s="6" t="s">
        <v>330</v>
      </c>
      <c r="E336" s="6" t="s">
        <v>256</v>
      </c>
      <c r="F336" s="6" t="s">
        <v>696</v>
      </c>
      <c r="G336" s="7"/>
      <c r="H336" s="7"/>
      <c r="I336" s="6" t="s">
        <v>33</v>
      </c>
      <c r="J336" s="8" t="s">
        <v>687</v>
      </c>
      <c r="K336" s="6" t="s">
        <v>695</v>
      </c>
    </row>
    <row r="337" customFormat="false" ht="90.25" hidden="false" customHeight="false" outlineLevel="0" collapsed="false">
      <c r="A337" s="6" t="s">
        <v>485</v>
      </c>
      <c r="B337" s="6" t="s">
        <v>325</v>
      </c>
      <c r="C337" s="7" t="s">
        <v>329</v>
      </c>
      <c r="D337" s="6" t="s">
        <v>697</v>
      </c>
      <c r="E337" s="6" t="s">
        <v>256</v>
      </c>
      <c r="F337" s="6" t="s">
        <v>698</v>
      </c>
      <c r="G337" s="7"/>
      <c r="H337" s="7"/>
      <c r="I337" s="6" t="s">
        <v>33</v>
      </c>
      <c r="J337" s="8" t="s">
        <v>699</v>
      </c>
      <c r="K337" s="6" t="s">
        <v>700</v>
      </c>
    </row>
    <row r="338" customFormat="false" ht="52.2" hidden="false" customHeight="false" outlineLevel="0" collapsed="false">
      <c r="A338" s="6" t="s">
        <v>485</v>
      </c>
      <c r="B338" s="6" t="s">
        <v>325</v>
      </c>
      <c r="C338" s="7" t="s">
        <v>329</v>
      </c>
      <c r="D338" s="6" t="s">
        <v>697</v>
      </c>
      <c r="E338" s="6" t="s">
        <v>256</v>
      </c>
      <c r="F338" s="6" t="s">
        <v>701</v>
      </c>
      <c r="G338" s="7"/>
      <c r="H338" s="7"/>
      <c r="I338" s="6" t="s">
        <v>33</v>
      </c>
      <c r="J338" s="8" t="s">
        <v>699</v>
      </c>
      <c r="K338" s="6" t="s">
        <v>702</v>
      </c>
    </row>
    <row r="339" customFormat="false" ht="52.2" hidden="false" customHeight="false" outlineLevel="0" collapsed="false">
      <c r="A339" s="6" t="s">
        <v>485</v>
      </c>
      <c r="B339" s="6" t="s">
        <v>325</v>
      </c>
      <c r="C339" s="7" t="s">
        <v>329</v>
      </c>
      <c r="D339" s="6" t="s">
        <v>697</v>
      </c>
      <c r="E339" s="6" t="s">
        <v>256</v>
      </c>
      <c r="F339" s="6" t="s">
        <v>703</v>
      </c>
      <c r="G339" s="7"/>
      <c r="H339" s="7"/>
      <c r="I339" s="6" t="s">
        <v>33</v>
      </c>
      <c r="J339" s="8" t="s">
        <v>699</v>
      </c>
      <c r="K339" s="6" t="s">
        <v>702</v>
      </c>
    </row>
    <row r="340" customFormat="false" ht="52.2" hidden="false" customHeight="false" outlineLevel="0" collapsed="false">
      <c r="A340" s="6" t="s">
        <v>485</v>
      </c>
      <c r="B340" s="6" t="s">
        <v>325</v>
      </c>
      <c r="C340" s="7" t="s">
        <v>329</v>
      </c>
      <c r="D340" s="6" t="s">
        <v>697</v>
      </c>
      <c r="E340" s="6" t="s">
        <v>256</v>
      </c>
      <c r="F340" s="6" t="s">
        <v>704</v>
      </c>
      <c r="G340" s="7"/>
      <c r="H340" s="7"/>
      <c r="I340" s="6" t="s">
        <v>33</v>
      </c>
      <c r="J340" s="8" t="s">
        <v>699</v>
      </c>
      <c r="K340" s="6" t="s">
        <v>702</v>
      </c>
    </row>
    <row r="341" customFormat="false" ht="77.6" hidden="false" customHeight="false" outlineLevel="0" collapsed="false">
      <c r="A341" s="6" t="s">
        <v>485</v>
      </c>
      <c r="B341" s="6" t="s">
        <v>325</v>
      </c>
      <c r="C341" s="7" t="s">
        <v>332</v>
      </c>
      <c r="D341" s="6" t="s">
        <v>705</v>
      </c>
      <c r="E341" s="6" t="s">
        <v>256</v>
      </c>
      <c r="F341" s="6" t="s">
        <v>706</v>
      </c>
      <c r="G341" s="6" t="s">
        <v>707</v>
      </c>
      <c r="H341" s="7"/>
      <c r="I341" s="6" t="s">
        <v>33</v>
      </c>
      <c r="J341" s="8" t="s">
        <v>708</v>
      </c>
      <c r="K341" s="6" t="s">
        <v>709</v>
      </c>
    </row>
    <row r="342" customFormat="false" ht="64.9" hidden="false" customHeight="false" outlineLevel="0" collapsed="false">
      <c r="A342" s="6" t="s">
        <v>485</v>
      </c>
      <c r="B342" s="6" t="s">
        <v>325</v>
      </c>
      <c r="C342" s="7" t="s">
        <v>332</v>
      </c>
      <c r="D342" s="6" t="s">
        <v>705</v>
      </c>
      <c r="E342" s="6" t="s">
        <v>256</v>
      </c>
      <c r="F342" s="6" t="s">
        <v>710</v>
      </c>
      <c r="G342" s="7"/>
      <c r="H342" s="7"/>
      <c r="I342" s="6" t="s">
        <v>33</v>
      </c>
      <c r="J342" s="8" t="s">
        <v>708</v>
      </c>
      <c r="K342" s="6" t="s">
        <v>711</v>
      </c>
    </row>
    <row r="343" customFormat="false" ht="64.9" hidden="false" customHeight="false" outlineLevel="0" collapsed="false">
      <c r="A343" s="6" t="s">
        <v>485</v>
      </c>
      <c r="B343" s="6" t="s">
        <v>325</v>
      </c>
      <c r="C343" s="7" t="s">
        <v>332</v>
      </c>
      <c r="D343" s="6" t="s">
        <v>705</v>
      </c>
      <c r="E343" s="6" t="s">
        <v>256</v>
      </c>
      <c r="F343" s="6" t="s">
        <v>712</v>
      </c>
      <c r="G343" s="7"/>
      <c r="H343" s="7"/>
      <c r="I343" s="6" t="s">
        <v>33</v>
      </c>
      <c r="J343" s="8" t="s">
        <v>708</v>
      </c>
      <c r="K343" s="6" t="s">
        <v>713</v>
      </c>
    </row>
    <row r="344" customFormat="false" ht="64.9" hidden="false" customHeight="false" outlineLevel="0" collapsed="false">
      <c r="A344" s="6" t="s">
        <v>485</v>
      </c>
      <c r="B344" s="6" t="s">
        <v>325</v>
      </c>
      <c r="C344" s="7" t="s">
        <v>332</v>
      </c>
      <c r="D344" s="6" t="s">
        <v>705</v>
      </c>
      <c r="E344" s="6" t="s">
        <v>256</v>
      </c>
      <c r="F344" s="6" t="s">
        <v>714</v>
      </c>
      <c r="G344" s="7"/>
      <c r="H344" s="7"/>
      <c r="I344" s="6" t="s">
        <v>33</v>
      </c>
      <c r="J344" s="8" t="s">
        <v>708</v>
      </c>
      <c r="K344" s="6" t="s">
        <v>713</v>
      </c>
    </row>
    <row r="345" customFormat="false" ht="64.9" hidden="false" customHeight="false" outlineLevel="0" collapsed="false">
      <c r="A345" s="6" t="s">
        <v>485</v>
      </c>
      <c r="B345" s="6" t="s">
        <v>325</v>
      </c>
      <c r="C345" s="7" t="s">
        <v>332</v>
      </c>
      <c r="D345" s="6" t="s">
        <v>705</v>
      </c>
      <c r="E345" s="6" t="s">
        <v>256</v>
      </c>
      <c r="F345" s="6" t="s">
        <v>715</v>
      </c>
      <c r="G345" s="7"/>
      <c r="H345" s="7"/>
      <c r="I345" s="6" t="s">
        <v>33</v>
      </c>
      <c r="J345" s="8" t="s">
        <v>708</v>
      </c>
      <c r="K345" s="6" t="s">
        <v>716</v>
      </c>
    </row>
    <row r="346" customFormat="false" ht="90.25" hidden="false" customHeight="false" outlineLevel="0" collapsed="false">
      <c r="A346" s="6" t="s">
        <v>485</v>
      </c>
      <c r="B346" s="6" t="s">
        <v>325</v>
      </c>
      <c r="C346" s="7" t="s">
        <v>332</v>
      </c>
      <c r="D346" s="6" t="s">
        <v>705</v>
      </c>
      <c r="E346" s="6" t="s">
        <v>256</v>
      </c>
      <c r="F346" s="6" t="s">
        <v>717</v>
      </c>
      <c r="G346" s="7"/>
      <c r="H346" s="7"/>
      <c r="I346" s="6" t="s">
        <v>33</v>
      </c>
      <c r="J346" s="8" t="s">
        <v>708</v>
      </c>
      <c r="K346" s="6" t="s">
        <v>718</v>
      </c>
    </row>
    <row r="347" customFormat="false" ht="77.6" hidden="false" customHeight="false" outlineLevel="0" collapsed="false">
      <c r="A347" s="6" t="s">
        <v>485</v>
      </c>
      <c r="B347" s="6" t="s">
        <v>325</v>
      </c>
      <c r="C347" s="7" t="s">
        <v>332</v>
      </c>
      <c r="D347" s="6" t="s">
        <v>719</v>
      </c>
      <c r="E347" s="6" t="s">
        <v>256</v>
      </c>
      <c r="F347" s="6" t="s">
        <v>720</v>
      </c>
      <c r="G347" s="7"/>
      <c r="H347" s="7"/>
      <c r="I347" s="6" t="s">
        <v>33</v>
      </c>
      <c r="J347" s="8" t="s">
        <v>721</v>
      </c>
      <c r="K347" s="6" t="s">
        <v>722</v>
      </c>
    </row>
    <row r="348" customFormat="false" ht="64.9" hidden="false" customHeight="false" outlineLevel="0" collapsed="false">
      <c r="A348" s="6" t="s">
        <v>485</v>
      </c>
      <c r="B348" s="6" t="s">
        <v>325</v>
      </c>
      <c r="C348" s="7" t="s">
        <v>332</v>
      </c>
      <c r="D348" s="6" t="s">
        <v>719</v>
      </c>
      <c r="E348" s="6" t="s">
        <v>256</v>
      </c>
      <c r="F348" s="6" t="s">
        <v>723</v>
      </c>
      <c r="G348" s="7"/>
      <c r="H348" s="7"/>
      <c r="I348" s="6" t="s">
        <v>33</v>
      </c>
      <c r="J348" s="8" t="s">
        <v>721</v>
      </c>
      <c r="K348" s="6" t="s">
        <v>724</v>
      </c>
    </row>
    <row r="349" customFormat="false" ht="64.9" hidden="false" customHeight="false" outlineLevel="0" collapsed="false">
      <c r="A349" s="6" t="s">
        <v>485</v>
      </c>
      <c r="B349" s="6" t="s">
        <v>325</v>
      </c>
      <c r="C349" s="7" t="s">
        <v>332</v>
      </c>
      <c r="D349" s="6" t="s">
        <v>719</v>
      </c>
      <c r="E349" s="6" t="s">
        <v>256</v>
      </c>
      <c r="F349" s="6" t="s">
        <v>725</v>
      </c>
      <c r="G349" s="7"/>
      <c r="H349" s="7"/>
      <c r="I349" s="6" t="s">
        <v>33</v>
      </c>
      <c r="J349" s="8" t="s">
        <v>721</v>
      </c>
      <c r="K349" s="6" t="s">
        <v>724</v>
      </c>
    </row>
    <row r="350" customFormat="false" ht="64.9" hidden="false" customHeight="false" outlineLevel="0" collapsed="false">
      <c r="A350" s="6" t="s">
        <v>485</v>
      </c>
      <c r="B350" s="6" t="s">
        <v>325</v>
      </c>
      <c r="C350" s="7" t="s">
        <v>332</v>
      </c>
      <c r="D350" s="6" t="s">
        <v>719</v>
      </c>
      <c r="E350" s="6" t="s">
        <v>256</v>
      </c>
      <c r="F350" s="6" t="s">
        <v>726</v>
      </c>
      <c r="G350" s="7"/>
      <c r="H350" s="7"/>
      <c r="I350" s="6" t="s">
        <v>33</v>
      </c>
      <c r="J350" s="8" t="s">
        <v>721</v>
      </c>
      <c r="K350" s="6" t="s">
        <v>724</v>
      </c>
    </row>
    <row r="351" customFormat="false" ht="64.9" hidden="false" customHeight="false" outlineLevel="0" collapsed="false">
      <c r="A351" s="6" t="s">
        <v>485</v>
      </c>
      <c r="B351" s="6" t="s">
        <v>325</v>
      </c>
      <c r="C351" s="7" t="s">
        <v>332</v>
      </c>
      <c r="D351" s="6" t="s">
        <v>719</v>
      </c>
      <c r="E351" s="6" t="s">
        <v>256</v>
      </c>
      <c r="F351" s="6" t="s">
        <v>727</v>
      </c>
      <c r="G351" s="7"/>
      <c r="H351" s="7"/>
      <c r="I351" s="6" t="s">
        <v>33</v>
      </c>
      <c r="J351" s="8" t="s">
        <v>721</v>
      </c>
      <c r="K351" s="6" t="s">
        <v>724</v>
      </c>
    </row>
    <row r="352" customFormat="false" ht="64.9" hidden="false" customHeight="false" outlineLevel="0" collapsed="false">
      <c r="A352" s="6" t="s">
        <v>485</v>
      </c>
      <c r="B352" s="6" t="s">
        <v>325</v>
      </c>
      <c r="C352" s="7" t="s">
        <v>332</v>
      </c>
      <c r="D352" s="6" t="s">
        <v>719</v>
      </c>
      <c r="E352" s="6" t="s">
        <v>256</v>
      </c>
      <c r="F352" s="6" t="s">
        <v>728</v>
      </c>
      <c r="G352" s="7"/>
      <c r="H352" s="7"/>
      <c r="I352" s="6" t="s">
        <v>33</v>
      </c>
      <c r="J352" s="8" t="s">
        <v>721</v>
      </c>
      <c r="K352" s="6" t="s">
        <v>724</v>
      </c>
    </row>
    <row r="353" customFormat="false" ht="52.2" hidden="false" customHeight="false" outlineLevel="0" collapsed="false">
      <c r="A353" s="6" t="s">
        <v>485</v>
      </c>
      <c r="B353" s="6" t="s">
        <v>325</v>
      </c>
      <c r="C353" s="7" t="s">
        <v>326</v>
      </c>
      <c r="D353" s="6" t="s">
        <v>327</v>
      </c>
      <c r="E353" s="6" t="s">
        <v>257</v>
      </c>
      <c r="F353" s="6" t="s">
        <v>729</v>
      </c>
      <c r="G353" s="6" t="s">
        <v>730</v>
      </c>
      <c r="H353" s="7"/>
      <c r="I353" s="6" t="s">
        <v>33</v>
      </c>
      <c r="J353" s="8" t="s">
        <v>731</v>
      </c>
      <c r="K353" s="6" t="s">
        <v>732</v>
      </c>
    </row>
    <row r="354" customFormat="false" ht="52.2" hidden="false" customHeight="false" outlineLevel="0" collapsed="false">
      <c r="A354" s="6" t="s">
        <v>485</v>
      </c>
      <c r="B354" s="6" t="s">
        <v>325</v>
      </c>
      <c r="C354" s="7" t="s">
        <v>326</v>
      </c>
      <c r="D354" s="6" t="s">
        <v>327</v>
      </c>
      <c r="E354" s="6" t="s">
        <v>257</v>
      </c>
      <c r="F354" s="6" t="s">
        <v>733</v>
      </c>
      <c r="G354" s="6" t="s">
        <v>734</v>
      </c>
      <c r="H354" s="7"/>
      <c r="I354" s="6" t="s">
        <v>33</v>
      </c>
      <c r="J354" s="8" t="s">
        <v>731</v>
      </c>
      <c r="K354" s="6" t="s">
        <v>735</v>
      </c>
    </row>
    <row r="355" customFormat="false" ht="52.2" hidden="false" customHeight="false" outlineLevel="0" collapsed="false">
      <c r="A355" s="6" t="s">
        <v>485</v>
      </c>
      <c r="B355" s="6" t="s">
        <v>325</v>
      </c>
      <c r="C355" s="7" t="s">
        <v>326</v>
      </c>
      <c r="D355" s="6" t="s">
        <v>327</v>
      </c>
      <c r="E355" s="6" t="s">
        <v>257</v>
      </c>
      <c r="F355" s="6" t="s">
        <v>736</v>
      </c>
      <c r="G355" s="6" t="s">
        <v>737</v>
      </c>
      <c r="H355" s="7"/>
      <c r="I355" s="6" t="s">
        <v>33</v>
      </c>
      <c r="J355" s="8" t="s">
        <v>731</v>
      </c>
      <c r="K355" s="6" t="s">
        <v>735</v>
      </c>
    </row>
    <row r="356" customFormat="false" ht="52.2" hidden="false" customHeight="false" outlineLevel="0" collapsed="false">
      <c r="A356" s="6" t="s">
        <v>485</v>
      </c>
      <c r="B356" s="6" t="s">
        <v>325</v>
      </c>
      <c r="C356" s="7" t="s">
        <v>326</v>
      </c>
      <c r="D356" s="6" t="s">
        <v>327</v>
      </c>
      <c r="E356" s="6" t="s">
        <v>257</v>
      </c>
      <c r="F356" s="6" t="s">
        <v>738</v>
      </c>
      <c r="G356" s="6" t="s">
        <v>739</v>
      </c>
      <c r="H356" s="7"/>
      <c r="I356" s="6" t="s">
        <v>33</v>
      </c>
      <c r="J356" s="8" t="s">
        <v>731</v>
      </c>
      <c r="K356" s="6" t="s">
        <v>735</v>
      </c>
    </row>
    <row r="357" customFormat="false" ht="77.6" hidden="false" customHeight="false" outlineLevel="0" collapsed="false">
      <c r="A357" s="6" t="s">
        <v>485</v>
      </c>
      <c r="B357" s="6" t="s">
        <v>325</v>
      </c>
      <c r="C357" s="7" t="s">
        <v>326</v>
      </c>
      <c r="D357" s="6" t="s">
        <v>327</v>
      </c>
      <c r="E357" s="6" t="s">
        <v>257</v>
      </c>
      <c r="F357" s="6" t="s">
        <v>740</v>
      </c>
      <c r="G357" s="6" t="s">
        <v>741</v>
      </c>
      <c r="H357" s="7"/>
      <c r="I357" s="6" t="s">
        <v>33</v>
      </c>
      <c r="J357" s="8" t="s">
        <v>731</v>
      </c>
      <c r="K357" s="6" t="s">
        <v>742</v>
      </c>
    </row>
    <row r="358" customFormat="false" ht="26.85" hidden="false" customHeight="false" outlineLevel="0" collapsed="false">
      <c r="A358" s="9" t="s">
        <v>485</v>
      </c>
      <c r="B358" s="9" t="s">
        <v>325</v>
      </c>
      <c r="C358" s="10" t="s">
        <v>326</v>
      </c>
      <c r="D358" s="9" t="s">
        <v>328</v>
      </c>
      <c r="E358" s="9" t="s">
        <v>257</v>
      </c>
      <c r="F358" s="10"/>
      <c r="G358" s="10"/>
      <c r="H358" s="10"/>
      <c r="I358" s="10"/>
      <c r="J358" s="10"/>
      <c r="K358" s="9" t="s">
        <v>396</v>
      </c>
    </row>
    <row r="359" customFormat="false" ht="26.85" hidden="false" customHeight="false" outlineLevel="0" collapsed="false">
      <c r="A359" s="9" t="s">
        <v>485</v>
      </c>
      <c r="B359" s="9" t="s">
        <v>325</v>
      </c>
      <c r="C359" s="10" t="s">
        <v>329</v>
      </c>
      <c r="D359" s="9" t="s">
        <v>330</v>
      </c>
      <c r="E359" s="9" t="s">
        <v>257</v>
      </c>
      <c r="F359" s="10"/>
      <c r="G359" s="10"/>
      <c r="H359" s="10"/>
      <c r="I359" s="10"/>
      <c r="J359" s="10"/>
      <c r="K359" s="9" t="s">
        <v>396</v>
      </c>
    </row>
    <row r="360" customFormat="false" ht="39.55" hidden="false" customHeight="false" outlineLevel="0" collapsed="false">
      <c r="A360" s="9" t="s">
        <v>485</v>
      </c>
      <c r="B360" s="9" t="s">
        <v>325</v>
      </c>
      <c r="C360" s="10"/>
      <c r="D360" s="9" t="s">
        <v>400</v>
      </c>
      <c r="E360" s="9" t="s">
        <v>257</v>
      </c>
      <c r="F360" s="10"/>
      <c r="G360" s="10"/>
      <c r="H360" s="10"/>
      <c r="I360" s="10"/>
      <c r="J360" s="10"/>
      <c r="K360" s="9" t="s">
        <v>396</v>
      </c>
    </row>
    <row r="361" customFormat="false" ht="26.85" hidden="false" customHeight="false" outlineLevel="0" collapsed="false">
      <c r="A361" s="9" t="s">
        <v>485</v>
      </c>
      <c r="B361" s="9" t="s">
        <v>325</v>
      </c>
      <c r="C361" s="10"/>
      <c r="D361" s="9" t="s">
        <v>402</v>
      </c>
      <c r="E361" s="9" t="s">
        <v>257</v>
      </c>
      <c r="F361" s="10"/>
      <c r="G361" s="10"/>
      <c r="H361" s="10"/>
      <c r="I361" s="10"/>
      <c r="J361" s="10"/>
      <c r="K361" s="9" t="s">
        <v>396</v>
      </c>
    </row>
    <row r="362" customFormat="false" ht="77.6" hidden="false" customHeight="false" outlineLevel="0" collapsed="false">
      <c r="A362" s="9" t="s">
        <v>485</v>
      </c>
      <c r="B362" s="9" t="s">
        <v>325</v>
      </c>
      <c r="C362" s="10"/>
      <c r="D362" s="9" t="s">
        <v>743</v>
      </c>
      <c r="E362" s="9" t="s">
        <v>257</v>
      </c>
      <c r="F362" s="10"/>
      <c r="G362" s="10"/>
      <c r="H362" s="10"/>
      <c r="I362" s="9" t="s">
        <v>33</v>
      </c>
      <c r="J362" s="11" t="s">
        <v>744</v>
      </c>
      <c r="K362" s="9" t="s">
        <v>745</v>
      </c>
    </row>
    <row r="363" customFormat="false" ht="90.25" hidden="false" customHeight="false" outlineLevel="0" collapsed="false">
      <c r="A363" s="6" t="s">
        <v>485</v>
      </c>
      <c r="B363" s="6" t="s">
        <v>325</v>
      </c>
      <c r="C363" s="7" t="s">
        <v>326</v>
      </c>
      <c r="D363" s="6" t="s">
        <v>327</v>
      </c>
      <c r="E363" s="6" t="s">
        <v>403</v>
      </c>
      <c r="F363" s="6" t="s">
        <v>746</v>
      </c>
      <c r="G363" s="7"/>
      <c r="H363" s="7"/>
      <c r="I363" s="6" t="s">
        <v>33</v>
      </c>
      <c r="J363" s="8" t="s">
        <v>747</v>
      </c>
      <c r="K363" s="6" t="s">
        <v>748</v>
      </c>
    </row>
    <row r="364" customFormat="false" ht="64.9" hidden="false" customHeight="false" outlineLevel="0" collapsed="false">
      <c r="A364" s="6" t="s">
        <v>485</v>
      </c>
      <c r="B364" s="6" t="s">
        <v>325</v>
      </c>
      <c r="C364" s="7" t="s">
        <v>326</v>
      </c>
      <c r="D364" s="6" t="s">
        <v>327</v>
      </c>
      <c r="E364" s="6" t="s">
        <v>403</v>
      </c>
      <c r="F364" s="6" t="s">
        <v>749</v>
      </c>
      <c r="G364" s="7"/>
      <c r="H364" s="7"/>
      <c r="I364" s="6" t="s">
        <v>33</v>
      </c>
      <c r="J364" s="8" t="s">
        <v>747</v>
      </c>
      <c r="K364" s="6" t="s">
        <v>750</v>
      </c>
    </row>
    <row r="365" customFormat="false" ht="64.9" hidden="false" customHeight="false" outlineLevel="0" collapsed="false">
      <c r="A365" s="6" t="s">
        <v>485</v>
      </c>
      <c r="B365" s="6" t="s">
        <v>325</v>
      </c>
      <c r="C365" s="7" t="s">
        <v>326</v>
      </c>
      <c r="D365" s="6" t="s">
        <v>327</v>
      </c>
      <c r="E365" s="6" t="s">
        <v>403</v>
      </c>
      <c r="F365" s="6" t="s">
        <v>751</v>
      </c>
      <c r="G365" s="7"/>
      <c r="H365" s="7"/>
      <c r="I365" s="6" t="s">
        <v>33</v>
      </c>
      <c r="J365" s="8" t="s">
        <v>747</v>
      </c>
      <c r="K365" s="6" t="s">
        <v>750</v>
      </c>
    </row>
    <row r="366" customFormat="false" ht="64.9" hidden="false" customHeight="false" outlineLevel="0" collapsed="false">
      <c r="A366" s="6" t="s">
        <v>485</v>
      </c>
      <c r="B366" s="6" t="s">
        <v>325</v>
      </c>
      <c r="C366" s="7" t="s">
        <v>326</v>
      </c>
      <c r="D366" s="6" t="s">
        <v>327</v>
      </c>
      <c r="E366" s="6" t="s">
        <v>403</v>
      </c>
      <c r="F366" s="6" t="s">
        <v>752</v>
      </c>
      <c r="G366" s="7"/>
      <c r="H366" s="7"/>
      <c r="I366" s="6" t="s">
        <v>33</v>
      </c>
      <c r="J366" s="8" t="s">
        <v>747</v>
      </c>
      <c r="K366" s="6" t="s">
        <v>750</v>
      </c>
    </row>
    <row r="367" customFormat="false" ht="64.9" hidden="false" customHeight="false" outlineLevel="0" collapsed="false">
      <c r="A367" s="6" t="s">
        <v>485</v>
      </c>
      <c r="B367" s="6" t="s">
        <v>325</v>
      </c>
      <c r="C367" s="7" t="s">
        <v>326</v>
      </c>
      <c r="D367" s="6" t="s">
        <v>327</v>
      </c>
      <c r="E367" s="6" t="s">
        <v>403</v>
      </c>
      <c r="F367" s="6" t="s">
        <v>753</v>
      </c>
      <c r="G367" s="7"/>
      <c r="H367" s="7"/>
      <c r="I367" s="6" t="s">
        <v>33</v>
      </c>
      <c r="J367" s="8" t="s">
        <v>747</v>
      </c>
      <c r="K367" s="6" t="s">
        <v>750</v>
      </c>
    </row>
    <row r="368" customFormat="false" ht="64.9" hidden="false" customHeight="false" outlineLevel="0" collapsed="false">
      <c r="A368" s="6" t="s">
        <v>485</v>
      </c>
      <c r="B368" s="6" t="s">
        <v>325</v>
      </c>
      <c r="C368" s="7" t="s">
        <v>326</v>
      </c>
      <c r="D368" s="6" t="s">
        <v>327</v>
      </c>
      <c r="E368" s="6" t="s">
        <v>403</v>
      </c>
      <c r="F368" s="6" t="s">
        <v>754</v>
      </c>
      <c r="G368" s="7"/>
      <c r="H368" s="7"/>
      <c r="I368" s="6" t="s">
        <v>33</v>
      </c>
      <c r="J368" s="8" t="s">
        <v>747</v>
      </c>
      <c r="K368" s="6" t="s">
        <v>750</v>
      </c>
    </row>
    <row r="369" customFormat="false" ht="64.9" hidden="false" customHeight="false" outlineLevel="0" collapsed="false">
      <c r="A369" s="6" t="s">
        <v>485</v>
      </c>
      <c r="B369" s="6" t="s">
        <v>325</v>
      </c>
      <c r="C369" s="7" t="s">
        <v>326</v>
      </c>
      <c r="D369" s="6" t="s">
        <v>327</v>
      </c>
      <c r="E369" s="6" t="s">
        <v>403</v>
      </c>
      <c r="F369" s="6" t="s">
        <v>755</v>
      </c>
      <c r="G369" s="7"/>
      <c r="H369" s="7"/>
      <c r="I369" s="6" t="s">
        <v>33</v>
      </c>
      <c r="J369" s="8" t="s">
        <v>747</v>
      </c>
      <c r="K369" s="6" t="s">
        <v>750</v>
      </c>
    </row>
    <row r="370" customFormat="false" ht="115.65" hidden="false" customHeight="false" outlineLevel="0" collapsed="false">
      <c r="A370" s="6" t="s">
        <v>485</v>
      </c>
      <c r="B370" s="6" t="s">
        <v>325</v>
      </c>
      <c r="C370" s="7" t="s">
        <v>326</v>
      </c>
      <c r="D370" s="6" t="s">
        <v>328</v>
      </c>
      <c r="E370" s="6" t="s">
        <v>403</v>
      </c>
      <c r="F370" s="6" t="s">
        <v>756</v>
      </c>
      <c r="G370" s="7"/>
      <c r="H370" s="7"/>
      <c r="I370" s="6" t="s">
        <v>33</v>
      </c>
      <c r="J370" s="8" t="s">
        <v>757</v>
      </c>
      <c r="K370" s="6" t="s">
        <v>758</v>
      </c>
    </row>
    <row r="371" customFormat="false" ht="64.9" hidden="false" customHeight="false" outlineLevel="0" collapsed="false">
      <c r="A371" s="6" t="s">
        <v>485</v>
      </c>
      <c r="B371" s="6" t="s">
        <v>325</v>
      </c>
      <c r="C371" s="7" t="s">
        <v>326</v>
      </c>
      <c r="D371" s="6" t="s">
        <v>328</v>
      </c>
      <c r="E371" s="6" t="s">
        <v>403</v>
      </c>
      <c r="F371" s="6" t="s">
        <v>759</v>
      </c>
      <c r="G371" s="7"/>
      <c r="H371" s="7"/>
      <c r="I371" s="6" t="s">
        <v>33</v>
      </c>
      <c r="J371" s="8" t="s">
        <v>757</v>
      </c>
      <c r="K371" s="6" t="s">
        <v>760</v>
      </c>
    </row>
    <row r="372" customFormat="false" ht="64.9" hidden="false" customHeight="false" outlineLevel="0" collapsed="false">
      <c r="A372" s="6" t="s">
        <v>485</v>
      </c>
      <c r="B372" s="6" t="s">
        <v>325</v>
      </c>
      <c r="C372" s="7" t="s">
        <v>326</v>
      </c>
      <c r="D372" s="6" t="s">
        <v>328</v>
      </c>
      <c r="E372" s="6" t="s">
        <v>403</v>
      </c>
      <c r="F372" s="6" t="s">
        <v>761</v>
      </c>
      <c r="G372" s="7"/>
      <c r="H372" s="7"/>
      <c r="I372" s="6" t="s">
        <v>33</v>
      </c>
      <c r="J372" s="8" t="s">
        <v>757</v>
      </c>
      <c r="K372" s="6" t="s">
        <v>760</v>
      </c>
    </row>
    <row r="373" customFormat="false" ht="64.9" hidden="false" customHeight="false" outlineLevel="0" collapsed="false">
      <c r="A373" s="6" t="s">
        <v>485</v>
      </c>
      <c r="B373" s="6" t="s">
        <v>325</v>
      </c>
      <c r="C373" s="7" t="s">
        <v>326</v>
      </c>
      <c r="D373" s="6" t="s">
        <v>328</v>
      </c>
      <c r="E373" s="6" t="s">
        <v>403</v>
      </c>
      <c r="F373" s="6" t="s">
        <v>762</v>
      </c>
      <c r="G373" s="7"/>
      <c r="H373" s="7"/>
      <c r="I373" s="6" t="s">
        <v>33</v>
      </c>
      <c r="J373" s="8" t="s">
        <v>757</v>
      </c>
      <c r="K373" s="6" t="s">
        <v>760</v>
      </c>
    </row>
    <row r="374" customFormat="false" ht="102.95" hidden="false" customHeight="false" outlineLevel="0" collapsed="false">
      <c r="A374" s="6" t="s">
        <v>485</v>
      </c>
      <c r="B374" s="6" t="s">
        <v>325</v>
      </c>
      <c r="C374" s="7" t="s">
        <v>329</v>
      </c>
      <c r="D374" s="6" t="s">
        <v>330</v>
      </c>
      <c r="E374" s="6" t="s">
        <v>403</v>
      </c>
      <c r="F374" s="7" t="s">
        <v>763</v>
      </c>
      <c r="G374" s="7"/>
      <c r="H374" s="7"/>
      <c r="I374" s="6" t="s">
        <v>33</v>
      </c>
      <c r="J374" s="8" t="s">
        <v>764</v>
      </c>
      <c r="K374" s="6" t="s">
        <v>765</v>
      </c>
    </row>
    <row r="375" customFormat="false" ht="64.9" hidden="false" customHeight="false" outlineLevel="0" collapsed="false">
      <c r="A375" s="6" t="s">
        <v>485</v>
      </c>
      <c r="B375" s="6" t="s">
        <v>325</v>
      </c>
      <c r="C375" s="7" t="s">
        <v>329</v>
      </c>
      <c r="D375" s="6" t="s">
        <v>330</v>
      </c>
      <c r="E375" s="6" t="s">
        <v>403</v>
      </c>
      <c r="F375" s="7" t="s">
        <v>766</v>
      </c>
      <c r="G375" s="7"/>
      <c r="H375" s="7"/>
      <c r="I375" s="6" t="s">
        <v>33</v>
      </c>
      <c r="J375" s="8" t="s">
        <v>764</v>
      </c>
      <c r="K375" s="6" t="s">
        <v>767</v>
      </c>
    </row>
    <row r="376" customFormat="false" ht="64.9" hidden="false" customHeight="false" outlineLevel="0" collapsed="false">
      <c r="A376" s="6" t="s">
        <v>485</v>
      </c>
      <c r="B376" s="6" t="s">
        <v>325</v>
      </c>
      <c r="C376" s="7" t="s">
        <v>329</v>
      </c>
      <c r="D376" s="6" t="s">
        <v>330</v>
      </c>
      <c r="E376" s="6" t="s">
        <v>403</v>
      </c>
      <c r="F376" s="7" t="s">
        <v>768</v>
      </c>
      <c r="G376" s="7"/>
      <c r="H376" s="7"/>
      <c r="I376" s="6" t="s">
        <v>33</v>
      </c>
      <c r="J376" s="8" t="s">
        <v>764</v>
      </c>
      <c r="K376" s="6" t="s">
        <v>767</v>
      </c>
    </row>
    <row r="377" customFormat="false" ht="64.9" hidden="false" customHeight="false" outlineLevel="0" collapsed="false">
      <c r="A377" s="6" t="s">
        <v>485</v>
      </c>
      <c r="B377" s="6" t="s">
        <v>325</v>
      </c>
      <c r="C377" s="7" t="s">
        <v>329</v>
      </c>
      <c r="D377" s="6" t="s">
        <v>330</v>
      </c>
      <c r="E377" s="6" t="s">
        <v>403</v>
      </c>
      <c r="F377" s="7" t="s">
        <v>769</v>
      </c>
      <c r="G377" s="7"/>
      <c r="H377" s="7"/>
      <c r="I377" s="6" t="s">
        <v>33</v>
      </c>
      <c r="J377" s="8" t="s">
        <v>764</v>
      </c>
      <c r="K377" s="6" t="s">
        <v>767</v>
      </c>
    </row>
    <row r="378" customFormat="false" ht="64.9" hidden="false" customHeight="false" outlineLevel="0" collapsed="false">
      <c r="A378" s="6" t="s">
        <v>485</v>
      </c>
      <c r="B378" s="6" t="s">
        <v>325</v>
      </c>
      <c r="C378" s="7" t="s">
        <v>329</v>
      </c>
      <c r="D378" s="6" t="s">
        <v>330</v>
      </c>
      <c r="E378" s="6" t="s">
        <v>403</v>
      </c>
      <c r="F378" s="7" t="s">
        <v>770</v>
      </c>
      <c r="G378" s="7"/>
      <c r="H378" s="7"/>
      <c r="I378" s="6" t="s">
        <v>33</v>
      </c>
      <c r="J378" s="8" t="s">
        <v>764</v>
      </c>
      <c r="K378" s="6" t="s">
        <v>767</v>
      </c>
    </row>
    <row r="379" customFormat="false" ht="64.9" hidden="false" customHeight="false" outlineLevel="0" collapsed="false">
      <c r="A379" s="6" t="s">
        <v>485</v>
      </c>
      <c r="B379" s="6" t="s">
        <v>325</v>
      </c>
      <c r="C379" s="7" t="s">
        <v>329</v>
      </c>
      <c r="D379" s="6" t="s">
        <v>330</v>
      </c>
      <c r="E379" s="6" t="s">
        <v>403</v>
      </c>
      <c r="F379" s="7" t="s">
        <v>771</v>
      </c>
      <c r="G379" s="7"/>
      <c r="H379" s="7"/>
      <c r="I379" s="6" t="s">
        <v>33</v>
      </c>
      <c r="J379" s="8" t="s">
        <v>764</v>
      </c>
      <c r="K379" s="6" t="s">
        <v>767</v>
      </c>
    </row>
    <row r="380" customFormat="false" ht="39.55" hidden="false" customHeight="false" outlineLevel="0" collapsed="false">
      <c r="A380" s="9" t="s">
        <v>485</v>
      </c>
      <c r="B380" s="9" t="s">
        <v>325</v>
      </c>
      <c r="C380" s="10"/>
      <c r="D380" s="9" t="s">
        <v>404</v>
      </c>
      <c r="E380" s="9" t="s">
        <v>403</v>
      </c>
      <c r="F380" s="10"/>
      <c r="G380" s="10"/>
      <c r="H380" s="10"/>
      <c r="I380" s="10"/>
      <c r="J380" s="10"/>
      <c r="K380" s="9" t="s">
        <v>396</v>
      </c>
    </row>
    <row r="381" customFormat="false" ht="52.2" hidden="false" customHeight="false" outlineLevel="0" collapsed="false">
      <c r="A381" s="9" t="s">
        <v>485</v>
      </c>
      <c r="B381" s="9" t="s">
        <v>325</v>
      </c>
      <c r="C381" s="10"/>
      <c r="D381" s="9" t="s">
        <v>405</v>
      </c>
      <c r="E381" s="9" t="s">
        <v>403</v>
      </c>
      <c r="F381" s="10"/>
      <c r="G381" s="10"/>
      <c r="H381" s="10"/>
      <c r="I381" s="10"/>
      <c r="J381" s="10"/>
      <c r="K381" s="9" t="s">
        <v>772</v>
      </c>
    </row>
    <row r="382" customFormat="false" ht="52.2" hidden="false" customHeight="false" outlineLevel="0" collapsed="false">
      <c r="A382" s="9" t="s">
        <v>485</v>
      </c>
      <c r="B382" s="9" t="s">
        <v>325</v>
      </c>
      <c r="C382" s="10"/>
      <c r="D382" s="9" t="s">
        <v>406</v>
      </c>
      <c r="E382" s="9" t="s">
        <v>403</v>
      </c>
      <c r="F382" s="10"/>
      <c r="G382" s="10"/>
      <c r="H382" s="10"/>
      <c r="I382" s="10"/>
      <c r="J382" s="10"/>
      <c r="K382" s="9" t="s">
        <v>772</v>
      </c>
    </row>
    <row r="383" customFormat="false" ht="115.65" hidden="false" customHeight="false" outlineLevel="0" collapsed="false">
      <c r="A383" s="6" t="s">
        <v>485</v>
      </c>
      <c r="B383" s="6" t="s">
        <v>325</v>
      </c>
      <c r="C383" s="7"/>
      <c r="D383" s="6" t="s">
        <v>773</v>
      </c>
      <c r="E383" s="6" t="s">
        <v>403</v>
      </c>
      <c r="F383" s="6" t="s">
        <v>774</v>
      </c>
      <c r="G383" s="6" t="s">
        <v>775</v>
      </c>
      <c r="H383" s="7"/>
      <c r="I383" s="6" t="s">
        <v>33</v>
      </c>
      <c r="J383" s="8" t="s">
        <v>776</v>
      </c>
      <c r="K383" s="6" t="s">
        <v>777</v>
      </c>
    </row>
    <row r="384" customFormat="false" ht="77.6" hidden="false" customHeight="false" outlineLevel="0" collapsed="false">
      <c r="A384" s="6" t="s">
        <v>485</v>
      </c>
      <c r="B384" s="6" t="s">
        <v>325</v>
      </c>
      <c r="C384" s="7"/>
      <c r="D384" s="6" t="s">
        <v>773</v>
      </c>
      <c r="E384" s="6" t="s">
        <v>403</v>
      </c>
      <c r="F384" s="6" t="s">
        <v>778</v>
      </c>
      <c r="G384" s="7"/>
      <c r="H384" s="7"/>
      <c r="I384" s="6" t="s">
        <v>33</v>
      </c>
      <c r="J384" s="8" t="s">
        <v>776</v>
      </c>
      <c r="K384" s="6" t="s">
        <v>779</v>
      </c>
    </row>
    <row r="385" customFormat="false" ht="90.25" hidden="false" customHeight="false" outlineLevel="0" collapsed="false">
      <c r="A385" s="6" t="s">
        <v>485</v>
      </c>
      <c r="B385" s="6" t="s">
        <v>325</v>
      </c>
      <c r="C385" s="7"/>
      <c r="D385" s="6" t="s">
        <v>780</v>
      </c>
      <c r="E385" s="6" t="s">
        <v>403</v>
      </c>
      <c r="F385" s="6" t="s">
        <v>781</v>
      </c>
      <c r="G385" s="7"/>
      <c r="H385" s="7"/>
      <c r="I385" s="6" t="s">
        <v>33</v>
      </c>
      <c r="J385" s="8" t="s">
        <v>776</v>
      </c>
      <c r="K385" s="6" t="s">
        <v>782</v>
      </c>
    </row>
    <row r="386" customFormat="false" ht="77.6" hidden="false" customHeight="false" outlineLevel="0" collapsed="false">
      <c r="A386" s="6" t="s">
        <v>485</v>
      </c>
      <c r="B386" s="6" t="s">
        <v>325</v>
      </c>
      <c r="C386" s="7"/>
      <c r="D386" s="6" t="s">
        <v>780</v>
      </c>
      <c r="E386" s="6" t="s">
        <v>403</v>
      </c>
      <c r="F386" s="6" t="s">
        <v>783</v>
      </c>
      <c r="G386" s="7"/>
      <c r="H386" s="7"/>
      <c r="I386" s="6" t="s">
        <v>33</v>
      </c>
      <c r="J386" s="8" t="s">
        <v>776</v>
      </c>
      <c r="K386" s="6" t="s">
        <v>779</v>
      </c>
    </row>
    <row r="387" customFormat="false" ht="52.2" hidden="false" customHeight="false" outlineLevel="0" collapsed="false">
      <c r="A387" s="6" t="s">
        <v>485</v>
      </c>
      <c r="B387" s="6" t="s">
        <v>325</v>
      </c>
      <c r="C387" s="7"/>
      <c r="D387" s="6" t="s">
        <v>780</v>
      </c>
      <c r="E387" s="6" t="s">
        <v>403</v>
      </c>
      <c r="F387" s="6" t="s">
        <v>784</v>
      </c>
      <c r="G387" s="7"/>
      <c r="H387" s="7"/>
      <c r="I387" s="6" t="s">
        <v>33</v>
      </c>
      <c r="J387" s="8" t="s">
        <v>776</v>
      </c>
      <c r="K387" s="6" t="s">
        <v>785</v>
      </c>
    </row>
    <row r="388" customFormat="false" ht="15" hidden="false" customHeight="false" outlineLevel="0" collapsed="false">
      <c r="A388" s="9" t="s">
        <v>786</v>
      </c>
      <c r="B388" s="9" t="s">
        <v>325</v>
      </c>
      <c r="C388" s="10" t="s">
        <v>326</v>
      </c>
      <c r="D388" s="9" t="s">
        <v>327</v>
      </c>
      <c r="E388" s="9" t="s">
        <v>30</v>
      </c>
      <c r="F388" s="10"/>
      <c r="G388" s="10"/>
      <c r="H388" s="10"/>
      <c r="I388" s="10"/>
      <c r="J388" s="10"/>
      <c r="K388" s="9" t="s">
        <v>145</v>
      </c>
    </row>
    <row r="389" customFormat="false" ht="15" hidden="false" customHeight="false" outlineLevel="0" collapsed="false">
      <c r="A389" s="9" t="s">
        <v>786</v>
      </c>
      <c r="B389" s="9" t="s">
        <v>325</v>
      </c>
      <c r="C389" s="10" t="s">
        <v>326</v>
      </c>
      <c r="D389" s="9" t="s">
        <v>328</v>
      </c>
      <c r="E389" s="9" t="s">
        <v>30</v>
      </c>
      <c r="F389" s="10"/>
      <c r="G389" s="10"/>
      <c r="H389" s="10"/>
      <c r="I389" s="10"/>
      <c r="J389" s="10"/>
      <c r="K389" s="9" t="s">
        <v>145</v>
      </c>
    </row>
    <row r="390" customFormat="false" ht="15" hidden="false" customHeight="false" outlineLevel="0" collapsed="false">
      <c r="A390" s="9" t="s">
        <v>786</v>
      </c>
      <c r="B390" s="9" t="s">
        <v>325</v>
      </c>
      <c r="C390" s="10" t="s">
        <v>329</v>
      </c>
      <c r="D390" s="9" t="s">
        <v>330</v>
      </c>
      <c r="E390" s="9" t="s">
        <v>30</v>
      </c>
      <c r="F390" s="10"/>
      <c r="G390" s="10"/>
      <c r="H390" s="10"/>
      <c r="I390" s="10"/>
      <c r="J390" s="10"/>
      <c r="K390" s="9" t="s">
        <v>145</v>
      </c>
    </row>
    <row r="391" customFormat="false" ht="15" hidden="false" customHeight="false" outlineLevel="0" collapsed="false">
      <c r="A391" s="9" t="s">
        <v>786</v>
      </c>
      <c r="B391" s="9" t="s">
        <v>325</v>
      </c>
      <c r="C391" s="10" t="s">
        <v>329</v>
      </c>
      <c r="D391" s="9" t="s">
        <v>331</v>
      </c>
      <c r="E391" s="9" t="s">
        <v>30</v>
      </c>
      <c r="F391" s="10"/>
      <c r="G391" s="10"/>
      <c r="H391" s="10"/>
      <c r="I391" s="10"/>
      <c r="J391" s="10"/>
      <c r="K391" s="9" t="s">
        <v>145</v>
      </c>
    </row>
    <row r="392" customFormat="false" ht="15" hidden="false" customHeight="false" outlineLevel="0" collapsed="false">
      <c r="A392" s="9" t="s">
        <v>786</v>
      </c>
      <c r="B392" s="9" t="s">
        <v>325</v>
      </c>
      <c r="C392" s="10" t="s">
        <v>332</v>
      </c>
      <c r="D392" s="9" t="s">
        <v>333</v>
      </c>
      <c r="E392" s="9" t="s">
        <v>30</v>
      </c>
      <c r="F392" s="10"/>
      <c r="G392" s="10"/>
      <c r="H392" s="10"/>
      <c r="I392" s="10"/>
      <c r="J392" s="10"/>
      <c r="K392" s="9" t="s">
        <v>145</v>
      </c>
    </row>
    <row r="393" customFormat="false" ht="15" hidden="false" customHeight="false" outlineLevel="0" collapsed="false">
      <c r="A393" s="9" t="s">
        <v>786</v>
      </c>
      <c r="B393" s="9" t="s">
        <v>325</v>
      </c>
      <c r="C393" s="10" t="s">
        <v>332</v>
      </c>
      <c r="D393" s="9" t="s">
        <v>334</v>
      </c>
      <c r="E393" s="9" t="s">
        <v>30</v>
      </c>
      <c r="F393" s="10"/>
      <c r="G393" s="10"/>
      <c r="H393" s="10"/>
      <c r="I393" s="10"/>
      <c r="J393" s="10"/>
      <c r="K393" s="9" t="s">
        <v>145</v>
      </c>
    </row>
    <row r="394" customFormat="false" ht="26.85" hidden="false" customHeight="false" outlineLevel="0" collapsed="false">
      <c r="A394" s="9" t="s">
        <v>786</v>
      </c>
      <c r="B394" s="9" t="s">
        <v>325</v>
      </c>
      <c r="C394" s="10"/>
      <c r="D394" s="9" t="s">
        <v>335</v>
      </c>
      <c r="E394" s="9" t="s">
        <v>30</v>
      </c>
      <c r="F394" s="10"/>
      <c r="G394" s="10"/>
      <c r="H394" s="10"/>
      <c r="I394" s="10"/>
      <c r="J394" s="10"/>
      <c r="K394" s="9" t="s">
        <v>145</v>
      </c>
    </row>
    <row r="395" customFormat="false" ht="26.85" hidden="false" customHeight="false" outlineLevel="0" collapsed="false">
      <c r="A395" s="9" t="s">
        <v>786</v>
      </c>
      <c r="B395" s="9" t="s">
        <v>325</v>
      </c>
      <c r="C395" s="10"/>
      <c r="D395" s="9" t="s">
        <v>336</v>
      </c>
      <c r="E395" s="9" t="s">
        <v>30</v>
      </c>
      <c r="F395" s="10"/>
      <c r="G395" s="10"/>
      <c r="H395" s="10"/>
      <c r="I395" s="10"/>
      <c r="J395" s="10"/>
      <c r="K395" s="9" t="s">
        <v>145</v>
      </c>
    </row>
    <row r="396" customFormat="false" ht="26.85" hidden="false" customHeight="false" outlineLevel="0" collapsed="false">
      <c r="A396" s="9" t="s">
        <v>786</v>
      </c>
      <c r="B396" s="9" t="s">
        <v>325</v>
      </c>
      <c r="C396" s="10"/>
      <c r="D396" s="9" t="s">
        <v>337</v>
      </c>
      <c r="E396" s="9" t="s">
        <v>30</v>
      </c>
      <c r="F396" s="10"/>
      <c r="G396" s="10"/>
      <c r="H396" s="10"/>
      <c r="I396" s="10"/>
      <c r="J396" s="10"/>
      <c r="K396" s="9" t="s">
        <v>145</v>
      </c>
    </row>
    <row r="397" customFormat="false" ht="26.85" hidden="false" customHeight="false" outlineLevel="0" collapsed="false">
      <c r="A397" s="9" t="s">
        <v>786</v>
      </c>
      <c r="B397" s="9" t="s">
        <v>325</v>
      </c>
      <c r="C397" s="10"/>
      <c r="D397" s="9" t="s">
        <v>338</v>
      </c>
      <c r="E397" s="9" t="s">
        <v>30</v>
      </c>
      <c r="F397" s="10"/>
      <c r="G397" s="10"/>
      <c r="H397" s="10"/>
      <c r="I397" s="10"/>
      <c r="J397" s="10"/>
      <c r="K397" s="9" t="s">
        <v>145</v>
      </c>
    </row>
    <row r="398" customFormat="false" ht="15" hidden="false" customHeight="false" outlineLevel="0" collapsed="false">
      <c r="A398" s="9" t="s">
        <v>786</v>
      </c>
      <c r="B398" s="9" t="s">
        <v>325</v>
      </c>
      <c r="C398" s="10" t="s">
        <v>326</v>
      </c>
      <c r="D398" s="9" t="s">
        <v>327</v>
      </c>
      <c r="E398" s="9" t="s">
        <v>132</v>
      </c>
      <c r="F398" s="10"/>
      <c r="G398" s="10"/>
      <c r="H398" s="10"/>
      <c r="I398" s="10"/>
      <c r="J398" s="10"/>
      <c r="K398" s="9" t="s">
        <v>145</v>
      </c>
    </row>
    <row r="399" customFormat="false" ht="15" hidden="false" customHeight="false" outlineLevel="0" collapsed="false">
      <c r="A399" s="9" t="s">
        <v>786</v>
      </c>
      <c r="B399" s="9" t="s">
        <v>325</v>
      </c>
      <c r="C399" s="10" t="s">
        <v>326</v>
      </c>
      <c r="D399" s="9" t="s">
        <v>328</v>
      </c>
      <c r="E399" s="9" t="s">
        <v>132</v>
      </c>
      <c r="F399" s="10"/>
      <c r="G399" s="10"/>
      <c r="H399" s="10"/>
      <c r="I399" s="10"/>
      <c r="J399" s="10"/>
      <c r="K399" s="9" t="s">
        <v>145</v>
      </c>
    </row>
    <row r="400" customFormat="false" ht="15" hidden="false" customHeight="false" outlineLevel="0" collapsed="false">
      <c r="A400" s="9" t="s">
        <v>786</v>
      </c>
      <c r="B400" s="9" t="s">
        <v>325</v>
      </c>
      <c r="C400" s="10" t="s">
        <v>329</v>
      </c>
      <c r="D400" s="9" t="s">
        <v>330</v>
      </c>
      <c r="E400" s="9" t="s">
        <v>132</v>
      </c>
      <c r="F400" s="10"/>
      <c r="G400" s="10"/>
      <c r="H400" s="10"/>
      <c r="I400" s="10"/>
      <c r="J400" s="10"/>
      <c r="K400" s="9" t="s">
        <v>145</v>
      </c>
    </row>
    <row r="401" customFormat="false" ht="15" hidden="false" customHeight="false" outlineLevel="0" collapsed="false">
      <c r="A401" s="9" t="s">
        <v>786</v>
      </c>
      <c r="B401" s="9" t="s">
        <v>325</v>
      </c>
      <c r="C401" s="10" t="s">
        <v>329</v>
      </c>
      <c r="D401" s="9" t="s">
        <v>331</v>
      </c>
      <c r="E401" s="9" t="s">
        <v>132</v>
      </c>
      <c r="F401" s="10"/>
      <c r="G401" s="10"/>
      <c r="H401" s="10"/>
      <c r="I401" s="10"/>
      <c r="J401" s="10"/>
      <c r="K401" s="9" t="s">
        <v>145</v>
      </c>
    </row>
    <row r="402" customFormat="false" ht="15" hidden="false" customHeight="false" outlineLevel="0" collapsed="false">
      <c r="A402" s="9" t="s">
        <v>786</v>
      </c>
      <c r="B402" s="9" t="s">
        <v>325</v>
      </c>
      <c r="C402" s="10" t="s">
        <v>332</v>
      </c>
      <c r="D402" s="9" t="s">
        <v>333</v>
      </c>
      <c r="E402" s="9" t="s">
        <v>132</v>
      </c>
      <c r="F402" s="10"/>
      <c r="G402" s="10"/>
      <c r="H402" s="10"/>
      <c r="I402" s="10"/>
      <c r="J402" s="10"/>
      <c r="K402" s="9" t="s">
        <v>145</v>
      </c>
    </row>
    <row r="403" customFormat="false" ht="15" hidden="false" customHeight="false" outlineLevel="0" collapsed="false">
      <c r="A403" s="9" t="s">
        <v>786</v>
      </c>
      <c r="B403" s="9" t="s">
        <v>325</v>
      </c>
      <c r="C403" s="10" t="s">
        <v>332</v>
      </c>
      <c r="D403" s="9" t="s">
        <v>334</v>
      </c>
      <c r="E403" s="9" t="s">
        <v>132</v>
      </c>
      <c r="F403" s="10"/>
      <c r="G403" s="10"/>
      <c r="H403" s="10"/>
      <c r="I403" s="10"/>
      <c r="J403" s="10"/>
      <c r="K403" s="9" t="s">
        <v>145</v>
      </c>
    </row>
    <row r="404" customFormat="false" ht="26.85" hidden="false" customHeight="false" outlineLevel="0" collapsed="false">
      <c r="A404" s="9" t="s">
        <v>786</v>
      </c>
      <c r="B404" s="9" t="s">
        <v>325</v>
      </c>
      <c r="C404" s="10"/>
      <c r="D404" s="9" t="s">
        <v>339</v>
      </c>
      <c r="E404" s="9" t="s">
        <v>132</v>
      </c>
      <c r="F404" s="10"/>
      <c r="G404" s="10"/>
      <c r="H404" s="10"/>
      <c r="I404" s="10"/>
      <c r="J404" s="10"/>
      <c r="K404" s="9" t="s">
        <v>145</v>
      </c>
    </row>
    <row r="405" customFormat="false" ht="26.85" hidden="false" customHeight="false" outlineLevel="0" collapsed="false">
      <c r="A405" s="9" t="s">
        <v>786</v>
      </c>
      <c r="B405" s="9" t="s">
        <v>325</v>
      </c>
      <c r="C405" s="10"/>
      <c r="D405" s="9" t="s">
        <v>340</v>
      </c>
      <c r="E405" s="9" t="s">
        <v>132</v>
      </c>
      <c r="F405" s="10"/>
      <c r="G405" s="10"/>
      <c r="H405" s="10"/>
      <c r="I405" s="10"/>
      <c r="J405" s="10"/>
      <c r="K405" s="9" t="s">
        <v>145</v>
      </c>
    </row>
    <row r="406" customFormat="false" ht="26.85" hidden="false" customHeight="false" outlineLevel="0" collapsed="false">
      <c r="A406" s="9" t="s">
        <v>786</v>
      </c>
      <c r="B406" s="9" t="s">
        <v>325</v>
      </c>
      <c r="C406" s="10" t="s">
        <v>326</v>
      </c>
      <c r="D406" s="9" t="s">
        <v>327</v>
      </c>
      <c r="E406" s="9" t="s">
        <v>146</v>
      </c>
      <c r="F406" s="10"/>
      <c r="G406" s="10"/>
      <c r="H406" s="10"/>
      <c r="I406" s="10"/>
      <c r="J406" s="10"/>
      <c r="K406" s="9" t="s">
        <v>787</v>
      </c>
    </row>
    <row r="407" customFormat="false" ht="15" hidden="false" customHeight="false" outlineLevel="0" collapsed="false">
      <c r="A407" s="9" t="s">
        <v>786</v>
      </c>
      <c r="B407" s="9" t="s">
        <v>325</v>
      </c>
      <c r="C407" s="10" t="s">
        <v>326</v>
      </c>
      <c r="D407" s="9" t="s">
        <v>328</v>
      </c>
      <c r="E407" s="9" t="s">
        <v>146</v>
      </c>
      <c r="F407" s="10"/>
      <c r="G407" s="10"/>
      <c r="H407" s="10"/>
      <c r="I407" s="10"/>
      <c r="J407" s="10"/>
      <c r="K407" s="9" t="s">
        <v>145</v>
      </c>
    </row>
    <row r="408" customFormat="false" ht="15" hidden="false" customHeight="false" outlineLevel="0" collapsed="false">
      <c r="A408" s="9" t="s">
        <v>786</v>
      </c>
      <c r="B408" s="9" t="s">
        <v>325</v>
      </c>
      <c r="C408" s="10" t="s">
        <v>329</v>
      </c>
      <c r="D408" s="9" t="s">
        <v>343</v>
      </c>
      <c r="E408" s="9" t="s">
        <v>146</v>
      </c>
      <c r="F408" s="10"/>
      <c r="G408" s="10"/>
      <c r="H408" s="10"/>
      <c r="I408" s="10"/>
      <c r="J408" s="10"/>
      <c r="K408" s="9" t="s">
        <v>145</v>
      </c>
    </row>
    <row r="409" customFormat="false" ht="15" hidden="false" customHeight="false" outlineLevel="0" collapsed="false">
      <c r="A409" s="9" t="s">
        <v>786</v>
      </c>
      <c r="B409" s="9" t="s">
        <v>325</v>
      </c>
      <c r="C409" s="10" t="s">
        <v>329</v>
      </c>
      <c r="D409" s="9" t="s">
        <v>344</v>
      </c>
      <c r="E409" s="9" t="s">
        <v>146</v>
      </c>
      <c r="F409" s="10"/>
      <c r="G409" s="10"/>
      <c r="H409" s="10"/>
      <c r="I409" s="10"/>
      <c r="J409" s="10"/>
      <c r="K409" s="9" t="s">
        <v>145</v>
      </c>
    </row>
    <row r="410" customFormat="false" ht="15" hidden="false" customHeight="false" outlineLevel="0" collapsed="false">
      <c r="A410" s="9" t="s">
        <v>786</v>
      </c>
      <c r="B410" s="9" t="s">
        <v>325</v>
      </c>
      <c r="C410" s="10" t="s">
        <v>329</v>
      </c>
      <c r="D410" s="9" t="s">
        <v>345</v>
      </c>
      <c r="E410" s="9" t="s">
        <v>146</v>
      </c>
      <c r="F410" s="10"/>
      <c r="G410" s="10"/>
      <c r="H410" s="10"/>
      <c r="I410" s="10"/>
      <c r="J410" s="10"/>
      <c r="K410" s="9" t="s">
        <v>145</v>
      </c>
    </row>
    <row r="411" customFormat="false" ht="15" hidden="false" customHeight="false" outlineLevel="0" collapsed="false">
      <c r="A411" s="9" t="s">
        <v>786</v>
      </c>
      <c r="B411" s="9" t="s">
        <v>325</v>
      </c>
      <c r="C411" s="10" t="s">
        <v>329</v>
      </c>
      <c r="D411" s="9" t="s">
        <v>346</v>
      </c>
      <c r="E411" s="9" t="s">
        <v>146</v>
      </c>
      <c r="F411" s="10"/>
      <c r="G411" s="10"/>
      <c r="H411" s="10"/>
      <c r="I411" s="10"/>
      <c r="J411" s="10"/>
      <c r="K411" s="9" t="s">
        <v>145</v>
      </c>
    </row>
    <row r="412" customFormat="false" ht="15" hidden="false" customHeight="false" outlineLevel="0" collapsed="false">
      <c r="A412" s="9" t="s">
        <v>786</v>
      </c>
      <c r="B412" s="9" t="s">
        <v>325</v>
      </c>
      <c r="C412" s="10" t="s">
        <v>332</v>
      </c>
      <c r="D412" s="9" t="s">
        <v>347</v>
      </c>
      <c r="E412" s="9" t="s">
        <v>146</v>
      </c>
      <c r="F412" s="10"/>
      <c r="G412" s="10"/>
      <c r="H412" s="10"/>
      <c r="I412" s="10"/>
      <c r="J412" s="10"/>
      <c r="K412" s="9" t="s">
        <v>145</v>
      </c>
    </row>
    <row r="413" customFormat="false" ht="15" hidden="false" customHeight="false" outlineLevel="0" collapsed="false">
      <c r="A413" s="9" t="s">
        <v>786</v>
      </c>
      <c r="B413" s="9" t="s">
        <v>325</v>
      </c>
      <c r="C413" s="10" t="s">
        <v>332</v>
      </c>
      <c r="D413" s="9" t="s">
        <v>348</v>
      </c>
      <c r="E413" s="9" t="s">
        <v>146</v>
      </c>
      <c r="F413" s="10"/>
      <c r="G413" s="10"/>
      <c r="H413" s="10"/>
      <c r="I413" s="10"/>
      <c r="J413" s="10"/>
      <c r="K413" s="9" t="s">
        <v>145</v>
      </c>
    </row>
    <row r="414" customFormat="false" ht="15" hidden="false" customHeight="false" outlineLevel="0" collapsed="false">
      <c r="A414" s="9" t="s">
        <v>786</v>
      </c>
      <c r="B414" s="9" t="s">
        <v>325</v>
      </c>
      <c r="C414" s="10" t="s">
        <v>332</v>
      </c>
      <c r="D414" s="9" t="s">
        <v>349</v>
      </c>
      <c r="E414" s="9" t="s">
        <v>146</v>
      </c>
      <c r="F414" s="10"/>
      <c r="G414" s="10"/>
      <c r="H414" s="10"/>
      <c r="I414" s="10"/>
      <c r="J414" s="10"/>
      <c r="K414" s="9" t="s">
        <v>145</v>
      </c>
    </row>
    <row r="415" customFormat="false" ht="15" hidden="false" customHeight="false" outlineLevel="0" collapsed="false">
      <c r="A415" s="9" t="s">
        <v>786</v>
      </c>
      <c r="B415" s="9" t="s">
        <v>325</v>
      </c>
      <c r="C415" s="10" t="s">
        <v>332</v>
      </c>
      <c r="D415" s="9" t="s">
        <v>350</v>
      </c>
      <c r="E415" s="9" t="s">
        <v>146</v>
      </c>
      <c r="F415" s="10"/>
      <c r="G415" s="10"/>
      <c r="H415" s="10"/>
      <c r="I415" s="10"/>
      <c r="J415" s="10"/>
      <c r="K415" s="9" t="s">
        <v>145</v>
      </c>
    </row>
    <row r="416" customFormat="false" ht="15" hidden="false" customHeight="false" outlineLevel="0" collapsed="false">
      <c r="A416" s="9" t="s">
        <v>786</v>
      </c>
      <c r="B416" s="9" t="s">
        <v>325</v>
      </c>
      <c r="C416" s="10"/>
      <c r="D416" s="9" t="s">
        <v>352</v>
      </c>
      <c r="E416" s="9" t="s">
        <v>155</v>
      </c>
      <c r="F416" s="10"/>
      <c r="G416" s="10"/>
      <c r="H416" s="10"/>
      <c r="I416" s="9" t="s">
        <v>149</v>
      </c>
      <c r="J416" s="10"/>
      <c r="K416" s="9" t="s">
        <v>145</v>
      </c>
    </row>
    <row r="417" customFormat="false" ht="15" hidden="false" customHeight="false" outlineLevel="0" collapsed="false">
      <c r="A417" s="9" t="s">
        <v>786</v>
      </c>
      <c r="B417" s="9" t="s">
        <v>325</v>
      </c>
      <c r="C417" s="10"/>
      <c r="D417" s="9" t="s">
        <v>354</v>
      </c>
      <c r="E417" s="9" t="s">
        <v>155</v>
      </c>
      <c r="F417" s="10"/>
      <c r="G417" s="10"/>
      <c r="H417" s="10"/>
      <c r="I417" s="9" t="s">
        <v>149</v>
      </c>
      <c r="J417" s="10"/>
      <c r="K417" s="9" t="s">
        <v>145</v>
      </c>
    </row>
    <row r="418" customFormat="false" ht="15" hidden="false" customHeight="false" outlineLevel="0" collapsed="false">
      <c r="A418" s="9" t="s">
        <v>786</v>
      </c>
      <c r="B418" s="9" t="s">
        <v>325</v>
      </c>
      <c r="C418" s="10"/>
      <c r="D418" s="9" t="s">
        <v>355</v>
      </c>
      <c r="E418" s="9" t="s">
        <v>155</v>
      </c>
      <c r="F418" s="10"/>
      <c r="G418" s="10"/>
      <c r="H418" s="10"/>
      <c r="I418" s="9" t="s">
        <v>149</v>
      </c>
      <c r="J418" s="10"/>
      <c r="K418" s="9" t="s">
        <v>145</v>
      </c>
    </row>
    <row r="419" customFormat="false" ht="15" hidden="false" customHeight="false" outlineLevel="0" collapsed="false">
      <c r="A419" s="9" t="s">
        <v>786</v>
      </c>
      <c r="B419" s="9" t="s">
        <v>325</v>
      </c>
      <c r="C419" s="10"/>
      <c r="D419" s="9" t="s">
        <v>357</v>
      </c>
      <c r="E419" s="9" t="s">
        <v>155</v>
      </c>
      <c r="F419" s="10"/>
      <c r="G419" s="10"/>
      <c r="H419" s="10"/>
      <c r="I419" s="9" t="s">
        <v>149</v>
      </c>
      <c r="J419" s="10"/>
      <c r="K419" s="9" t="s">
        <v>145</v>
      </c>
    </row>
    <row r="420" customFormat="false" ht="15" hidden="false" customHeight="false" outlineLevel="0" collapsed="false">
      <c r="A420" s="9" t="s">
        <v>786</v>
      </c>
      <c r="B420" s="9" t="s">
        <v>325</v>
      </c>
      <c r="C420" s="10"/>
      <c r="D420" s="9" t="s">
        <v>358</v>
      </c>
      <c r="E420" s="9" t="s">
        <v>155</v>
      </c>
      <c r="F420" s="10"/>
      <c r="G420" s="10"/>
      <c r="H420" s="10"/>
      <c r="I420" s="9" t="s">
        <v>149</v>
      </c>
      <c r="J420" s="10"/>
      <c r="K420" s="9" t="s">
        <v>145</v>
      </c>
    </row>
    <row r="421" customFormat="false" ht="39.55" hidden="false" customHeight="false" outlineLevel="0" collapsed="false">
      <c r="A421" s="9" t="s">
        <v>786</v>
      </c>
      <c r="B421" s="9" t="s">
        <v>325</v>
      </c>
      <c r="C421" s="10"/>
      <c r="D421" s="9" t="s">
        <v>359</v>
      </c>
      <c r="E421" s="9" t="s">
        <v>155</v>
      </c>
      <c r="F421" s="10"/>
      <c r="G421" s="10"/>
      <c r="H421" s="10"/>
      <c r="I421" s="9" t="s">
        <v>158</v>
      </c>
      <c r="J421" s="11" t="s">
        <v>788</v>
      </c>
      <c r="K421" s="9" t="s">
        <v>789</v>
      </c>
    </row>
    <row r="422" customFormat="false" ht="15" hidden="false" customHeight="false" outlineLevel="0" collapsed="false">
      <c r="A422" s="9" t="s">
        <v>786</v>
      </c>
      <c r="B422" s="9" t="s">
        <v>325</v>
      </c>
      <c r="C422" s="10"/>
      <c r="D422" s="9" t="s">
        <v>360</v>
      </c>
      <c r="E422" s="9" t="s">
        <v>361</v>
      </c>
      <c r="F422" s="10"/>
      <c r="G422" s="10"/>
      <c r="H422" s="10"/>
      <c r="I422" s="9" t="s">
        <v>149</v>
      </c>
      <c r="J422" s="10"/>
      <c r="K422" s="9" t="s">
        <v>145</v>
      </c>
    </row>
    <row r="423" customFormat="false" ht="15" hidden="false" customHeight="false" outlineLevel="0" collapsed="false">
      <c r="A423" s="9" t="s">
        <v>786</v>
      </c>
      <c r="B423" s="9" t="s">
        <v>325</v>
      </c>
      <c r="C423" s="10"/>
      <c r="D423" s="9" t="s">
        <v>362</v>
      </c>
      <c r="E423" s="9" t="s">
        <v>361</v>
      </c>
      <c r="F423" s="10"/>
      <c r="G423" s="10"/>
      <c r="H423" s="10"/>
      <c r="I423" s="9" t="s">
        <v>149</v>
      </c>
      <c r="J423" s="10"/>
      <c r="K423" s="9" t="s">
        <v>145</v>
      </c>
    </row>
    <row r="424" customFormat="false" ht="15" hidden="false" customHeight="false" outlineLevel="0" collapsed="false">
      <c r="A424" s="9" t="s">
        <v>786</v>
      </c>
      <c r="B424" s="9" t="s">
        <v>325</v>
      </c>
      <c r="C424" s="10"/>
      <c r="D424" s="9" t="s">
        <v>363</v>
      </c>
      <c r="E424" s="9" t="s">
        <v>361</v>
      </c>
      <c r="F424" s="10"/>
      <c r="G424" s="10"/>
      <c r="H424" s="10"/>
      <c r="I424" s="9" t="s">
        <v>149</v>
      </c>
      <c r="J424" s="10"/>
      <c r="K424" s="9" t="s">
        <v>145</v>
      </c>
    </row>
    <row r="425" customFormat="false" ht="15" hidden="false" customHeight="false" outlineLevel="0" collapsed="false">
      <c r="A425" s="9" t="s">
        <v>786</v>
      </c>
      <c r="B425" s="9" t="s">
        <v>325</v>
      </c>
      <c r="C425" s="10"/>
      <c r="D425" s="9" t="s">
        <v>364</v>
      </c>
      <c r="E425" s="9" t="s">
        <v>361</v>
      </c>
      <c r="F425" s="10"/>
      <c r="G425" s="10"/>
      <c r="H425" s="10"/>
      <c r="I425" s="9" t="s">
        <v>149</v>
      </c>
      <c r="J425" s="10"/>
      <c r="K425" s="9" t="s">
        <v>145</v>
      </c>
    </row>
    <row r="426" customFormat="false" ht="15" hidden="false" customHeight="false" outlineLevel="0" collapsed="false">
      <c r="A426" s="9" t="s">
        <v>786</v>
      </c>
      <c r="B426" s="9" t="s">
        <v>325</v>
      </c>
      <c r="C426" s="10"/>
      <c r="D426" s="9" t="s">
        <v>365</v>
      </c>
      <c r="E426" s="9" t="s">
        <v>361</v>
      </c>
      <c r="F426" s="10"/>
      <c r="G426" s="10"/>
      <c r="H426" s="10"/>
      <c r="I426" s="9" t="s">
        <v>149</v>
      </c>
      <c r="J426" s="10"/>
      <c r="K426" s="9" t="s">
        <v>145</v>
      </c>
    </row>
    <row r="427" customFormat="false" ht="15" hidden="false" customHeight="false" outlineLevel="0" collapsed="false">
      <c r="A427" s="9" t="s">
        <v>786</v>
      </c>
      <c r="B427" s="9" t="s">
        <v>325</v>
      </c>
      <c r="C427" s="10"/>
      <c r="D427" s="9" t="s">
        <v>366</v>
      </c>
      <c r="E427" s="9" t="s">
        <v>361</v>
      </c>
      <c r="F427" s="10"/>
      <c r="G427" s="10"/>
      <c r="H427" s="10"/>
      <c r="I427" s="9" t="s">
        <v>149</v>
      </c>
      <c r="J427" s="10"/>
      <c r="K427" s="9" t="s">
        <v>145</v>
      </c>
    </row>
    <row r="428" customFormat="false" ht="15" hidden="false" customHeight="false" outlineLevel="0" collapsed="false">
      <c r="A428" s="9" t="s">
        <v>786</v>
      </c>
      <c r="B428" s="9" t="s">
        <v>325</v>
      </c>
      <c r="C428" s="10"/>
      <c r="D428" s="9" t="s">
        <v>483</v>
      </c>
      <c r="E428" s="9" t="s">
        <v>368</v>
      </c>
      <c r="F428" s="10"/>
      <c r="G428" s="10"/>
      <c r="H428" s="10"/>
      <c r="I428" s="9" t="s">
        <v>149</v>
      </c>
      <c r="J428" s="10"/>
      <c r="K428" s="9" t="s">
        <v>145</v>
      </c>
    </row>
    <row r="429" customFormat="false" ht="15" hidden="false" customHeight="false" outlineLevel="0" collapsed="false">
      <c r="A429" s="9" t="s">
        <v>786</v>
      </c>
      <c r="B429" s="9" t="s">
        <v>325</v>
      </c>
      <c r="C429" s="10"/>
      <c r="D429" s="9" t="s">
        <v>384</v>
      </c>
      <c r="E429" s="9" t="s">
        <v>368</v>
      </c>
      <c r="F429" s="10"/>
      <c r="G429" s="10"/>
      <c r="H429" s="10"/>
      <c r="I429" s="9" t="s">
        <v>149</v>
      </c>
      <c r="J429" s="10"/>
      <c r="K429" s="9" t="s">
        <v>145</v>
      </c>
    </row>
    <row r="430" customFormat="false" ht="15" hidden="false" customHeight="false" outlineLevel="0" collapsed="false">
      <c r="A430" s="9" t="s">
        <v>786</v>
      </c>
      <c r="B430" s="9" t="s">
        <v>325</v>
      </c>
      <c r="C430" s="10"/>
      <c r="D430" s="9" t="s">
        <v>385</v>
      </c>
      <c r="E430" s="9" t="s">
        <v>368</v>
      </c>
      <c r="F430" s="10"/>
      <c r="G430" s="10"/>
      <c r="H430" s="10"/>
      <c r="I430" s="9" t="s">
        <v>149</v>
      </c>
      <c r="J430" s="10"/>
      <c r="K430" s="9" t="s">
        <v>145</v>
      </c>
    </row>
    <row r="431" customFormat="false" ht="15" hidden="false" customHeight="false" outlineLevel="0" collapsed="false">
      <c r="A431" s="9" t="s">
        <v>786</v>
      </c>
      <c r="B431" s="9" t="s">
        <v>325</v>
      </c>
      <c r="C431" s="10"/>
      <c r="D431" s="9" t="s">
        <v>386</v>
      </c>
      <c r="E431" s="9" t="s">
        <v>368</v>
      </c>
      <c r="F431" s="10"/>
      <c r="G431" s="10"/>
      <c r="H431" s="10"/>
      <c r="I431" s="9" t="s">
        <v>149</v>
      </c>
      <c r="J431" s="10"/>
      <c r="K431" s="9" t="s">
        <v>145</v>
      </c>
    </row>
    <row r="432" customFormat="false" ht="15" hidden="false" customHeight="false" outlineLevel="0" collapsed="false">
      <c r="A432" s="9" t="s">
        <v>786</v>
      </c>
      <c r="B432" s="9" t="s">
        <v>325</v>
      </c>
      <c r="C432" s="10"/>
      <c r="D432" s="9" t="s">
        <v>387</v>
      </c>
      <c r="E432" s="9" t="s">
        <v>368</v>
      </c>
      <c r="F432" s="10"/>
      <c r="G432" s="10"/>
      <c r="H432" s="10"/>
      <c r="I432" s="9" t="s">
        <v>149</v>
      </c>
      <c r="J432" s="10"/>
      <c r="K432" s="9" t="s">
        <v>145</v>
      </c>
    </row>
    <row r="433" customFormat="false" ht="15" hidden="false" customHeight="false" outlineLevel="0" collapsed="false">
      <c r="A433" s="9" t="s">
        <v>786</v>
      </c>
      <c r="B433" s="9" t="s">
        <v>325</v>
      </c>
      <c r="C433" s="10"/>
      <c r="D433" s="9" t="s">
        <v>388</v>
      </c>
      <c r="E433" s="9" t="s">
        <v>368</v>
      </c>
      <c r="F433" s="10"/>
      <c r="G433" s="10"/>
      <c r="H433" s="10"/>
      <c r="I433" s="9" t="s">
        <v>149</v>
      </c>
      <c r="J433" s="10"/>
      <c r="K433" s="9" t="s">
        <v>145</v>
      </c>
    </row>
    <row r="434" customFormat="false" ht="15" hidden="false" customHeight="false" outlineLevel="0" collapsed="false">
      <c r="A434" s="9" t="s">
        <v>786</v>
      </c>
      <c r="B434" s="9" t="s">
        <v>325</v>
      </c>
      <c r="C434" s="10"/>
      <c r="D434" s="9" t="s">
        <v>389</v>
      </c>
      <c r="E434" s="9" t="s">
        <v>368</v>
      </c>
      <c r="F434" s="10"/>
      <c r="G434" s="10"/>
      <c r="H434" s="10"/>
      <c r="I434" s="9" t="s">
        <v>149</v>
      </c>
      <c r="J434" s="10"/>
      <c r="K434" s="9" t="s">
        <v>145</v>
      </c>
    </row>
    <row r="435" customFormat="false" ht="15" hidden="false" customHeight="false" outlineLevel="0" collapsed="false">
      <c r="A435" s="9" t="s">
        <v>786</v>
      </c>
      <c r="B435" s="9" t="s">
        <v>325</v>
      </c>
      <c r="C435" s="10"/>
      <c r="D435" s="9" t="s">
        <v>484</v>
      </c>
      <c r="E435" s="9" t="s">
        <v>368</v>
      </c>
      <c r="F435" s="10"/>
      <c r="G435" s="10"/>
      <c r="H435" s="10"/>
      <c r="I435" s="9" t="s">
        <v>149</v>
      </c>
      <c r="J435" s="10"/>
      <c r="K435" s="9" t="s">
        <v>145</v>
      </c>
    </row>
    <row r="436" customFormat="false" ht="15" hidden="false" customHeight="false" outlineLevel="0" collapsed="false">
      <c r="A436" s="9" t="s">
        <v>786</v>
      </c>
      <c r="B436" s="9" t="s">
        <v>325</v>
      </c>
      <c r="C436" s="10"/>
      <c r="D436" s="9" t="s">
        <v>390</v>
      </c>
      <c r="E436" s="9" t="s">
        <v>166</v>
      </c>
      <c r="F436" s="10"/>
      <c r="G436" s="10"/>
      <c r="H436" s="10"/>
      <c r="I436" s="9" t="s">
        <v>149</v>
      </c>
      <c r="J436" s="10"/>
      <c r="K436" s="9" t="s">
        <v>145</v>
      </c>
    </row>
    <row r="437" customFormat="false" ht="15" hidden="false" customHeight="false" outlineLevel="0" collapsed="false">
      <c r="A437" s="9" t="s">
        <v>786</v>
      </c>
      <c r="B437" s="9" t="s">
        <v>325</v>
      </c>
      <c r="C437" s="10"/>
      <c r="D437" s="9" t="s">
        <v>391</v>
      </c>
      <c r="E437" s="9" t="s">
        <v>166</v>
      </c>
      <c r="F437" s="10"/>
      <c r="G437" s="10"/>
      <c r="H437" s="10"/>
      <c r="I437" s="9" t="s">
        <v>149</v>
      </c>
      <c r="J437" s="10"/>
      <c r="K437" s="9" t="s">
        <v>145</v>
      </c>
    </row>
    <row r="438" customFormat="false" ht="15" hidden="false" customHeight="false" outlineLevel="0" collapsed="false">
      <c r="A438" s="9" t="s">
        <v>786</v>
      </c>
      <c r="B438" s="9" t="s">
        <v>325</v>
      </c>
      <c r="C438" s="10"/>
      <c r="D438" s="9" t="s">
        <v>393</v>
      </c>
      <c r="E438" s="9" t="s">
        <v>166</v>
      </c>
      <c r="F438" s="10"/>
      <c r="G438" s="10"/>
      <c r="H438" s="10"/>
      <c r="I438" s="9" t="s">
        <v>149</v>
      </c>
      <c r="J438" s="10"/>
      <c r="K438" s="9" t="s">
        <v>145</v>
      </c>
    </row>
    <row r="439" customFormat="false" ht="15" hidden="false" customHeight="false" outlineLevel="0" collapsed="false">
      <c r="A439" s="9" t="s">
        <v>786</v>
      </c>
      <c r="B439" s="9" t="s">
        <v>325</v>
      </c>
      <c r="C439" s="10"/>
      <c r="D439" s="9" t="s">
        <v>394</v>
      </c>
      <c r="E439" s="9" t="s">
        <v>166</v>
      </c>
      <c r="F439" s="10"/>
      <c r="G439" s="10"/>
      <c r="H439" s="10"/>
      <c r="I439" s="9" t="s">
        <v>149</v>
      </c>
      <c r="J439" s="10"/>
      <c r="K439" s="9" t="s">
        <v>145</v>
      </c>
    </row>
    <row r="440" customFormat="false" ht="15" hidden="false" customHeight="false" outlineLevel="0" collapsed="false">
      <c r="A440" s="9" t="s">
        <v>786</v>
      </c>
      <c r="B440" s="9" t="s">
        <v>325</v>
      </c>
      <c r="C440" s="10"/>
      <c r="D440" s="9" t="s">
        <v>395</v>
      </c>
      <c r="E440" s="9" t="s">
        <v>166</v>
      </c>
      <c r="F440" s="10"/>
      <c r="G440" s="10"/>
      <c r="H440" s="10"/>
      <c r="I440" s="9" t="s">
        <v>149</v>
      </c>
      <c r="J440" s="10"/>
      <c r="K440" s="9" t="s">
        <v>145</v>
      </c>
    </row>
    <row r="441" customFormat="false" ht="128.35" hidden="false" customHeight="false" outlineLevel="0" collapsed="false">
      <c r="A441" s="6" t="s">
        <v>786</v>
      </c>
      <c r="B441" s="6" t="s">
        <v>325</v>
      </c>
      <c r="C441" s="7"/>
      <c r="D441" s="6" t="s">
        <v>790</v>
      </c>
      <c r="E441" s="6" t="s">
        <v>166</v>
      </c>
      <c r="F441" s="6" t="s">
        <v>791</v>
      </c>
      <c r="G441" s="6" t="s">
        <v>792</v>
      </c>
      <c r="H441" s="7" t="s">
        <v>211</v>
      </c>
      <c r="I441" s="6" t="s">
        <v>158</v>
      </c>
      <c r="J441" s="8" t="s">
        <v>793</v>
      </c>
      <c r="K441" s="6" t="s">
        <v>794</v>
      </c>
    </row>
    <row r="442" customFormat="false" ht="39.55" hidden="false" customHeight="false" outlineLevel="0" collapsed="false">
      <c r="A442" s="9" t="s">
        <v>786</v>
      </c>
      <c r="B442" s="9" t="s">
        <v>325</v>
      </c>
      <c r="C442" s="10" t="s">
        <v>326</v>
      </c>
      <c r="D442" s="9" t="s">
        <v>327</v>
      </c>
      <c r="E442" s="9" t="s">
        <v>256</v>
      </c>
      <c r="F442" s="10"/>
      <c r="G442" s="10"/>
      <c r="H442" s="10"/>
      <c r="I442" s="10"/>
      <c r="J442" s="10"/>
      <c r="K442" s="9" t="s">
        <v>795</v>
      </c>
    </row>
    <row r="443" customFormat="false" ht="39.55" hidden="false" customHeight="false" outlineLevel="0" collapsed="false">
      <c r="A443" s="9" t="s">
        <v>786</v>
      </c>
      <c r="B443" s="9" t="s">
        <v>325</v>
      </c>
      <c r="C443" s="10" t="s">
        <v>326</v>
      </c>
      <c r="D443" s="9" t="s">
        <v>328</v>
      </c>
      <c r="E443" s="9" t="s">
        <v>256</v>
      </c>
      <c r="F443" s="10"/>
      <c r="G443" s="10"/>
      <c r="H443" s="10"/>
      <c r="I443" s="10"/>
      <c r="J443" s="10"/>
      <c r="K443" s="9" t="s">
        <v>795</v>
      </c>
    </row>
    <row r="444" customFormat="false" ht="39.55" hidden="false" customHeight="false" outlineLevel="0" collapsed="false">
      <c r="A444" s="9" t="s">
        <v>786</v>
      </c>
      <c r="B444" s="9" t="s">
        <v>325</v>
      </c>
      <c r="C444" s="10" t="s">
        <v>329</v>
      </c>
      <c r="D444" s="9" t="s">
        <v>330</v>
      </c>
      <c r="E444" s="9" t="s">
        <v>256</v>
      </c>
      <c r="F444" s="10"/>
      <c r="G444" s="10"/>
      <c r="H444" s="10"/>
      <c r="I444" s="10"/>
      <c r="J444" s="10"/>
      <c r="K444" s="9" t="s">
        <v>795</v>
      </c>
    </row>
    <row r="445" customFormat="false" ht="39.55" hidden="false" customHeight="false" outlineLevel="0" collapsed="false">
      <c r="A445" s="9" t="s">
        <v>786</v>
      </c>
      <c r="B445" s="9" t="s">
        <v>325</v>
      </c>
      <c r="C445" s="10"/>
      <c r="D445" s="9" t="s">
        <v>397</v>
      </c>
      <c r="E445" s="9" t="s">
        <v>256</v>
      </c>
      <c r="F445" s="10"/>
      <c r="G445" s="10"/>
      <c r="H445" s="10"/>
      <c r="I445" s="10"/>
      <c r="J445" s="10"/>
      <c r="K445" s="9" t="s">
        <v>795</v>
      </c>
    </row>
    <row r="446" customFormat="false" ht="39.55" hidden="false" customHeight="false" outlineLevel="0" collapsed="false">
      <c r="A446" s="9" t="s">
        <v>786</v>
      </c>
      <c r="B446" s="9" t="s">
        <v>325</v>
      </c>
      <c r="C446" s="10"/>
      <c r="D446" s="9" t="s">
        <v>398</v>
      </c>
      <c r="E446" s="9" t="s">
        <v>256</v>
      </c>
      <c r="F446" s="10"/>
      <c r="G446" s="10"/>
      <c r="H446" s="10"/>
      <c r="I446" s="10"/>
      <c r="J446" s="10"/>
      <c r="K446" s="9" t="s">
        <v>795</v>
      </c>
    </row>
    <row r="447" customFormat="false" ht="39.55" hidden="false" customHeight="false" outlineLevel="0" collapsed="false">
      <c r="A447" s="9" t="s">
        <v>786</v>
      </c>
      <c r="B447" s="9" t="s">
        <v>325</v>
      </c>
      <c r="C447" s="10"/>
      <c r="D447" s="9" t="s">
        <v>399</v>
      </c>
      <c r="E447" s="9" t="s">
        <v>256</v>
      </c>
      <c r="F447" s="10"/>
      <c r="G447" s="10"/>
      <c r="H447" s="10"/>
      <c r="I447" s="10"/>
      <c r="J447" s="10"/>
      <c r="K447" s="9" t="s">
        <v>795</v>
      </c>
    </row>
    <row r="448" customFormat="false" ht="39.55" hidden="false" customHeight="false" outlineLevel="0" collapsed="false">
      <c r="A448" s="9" t="s">
        <v>786</v>
      </c>
      <c r="B448" s="9" t="s">
        <v>325</v>
      </c>
      <c r="C448" s="10" t="s">
        <v>326</v>
      </c>
      <c r="D448" s="9" t="s">
        <v>327</v>
      </c>
      <c r="E448" s="9" t="s">
        <v>257</v>
      </c>
      <c r="F448" s="10"/>
      <c r="G448" s="10"/>
      <c r="H448" s="10"/>
      <c r="I448" s="10"/>
      <c r="J448" s="10"/>
      <c r="K448" s="9" t="s">
        <v>795</v>
      </c>
    </row>
    <row r="449" customFormat="false" ht="39.55" hidden="false" customHeight="false" outlineLevel="0" collapsed="false">
      <c r="A449" s="9" t="s">
        <v>786</v>
      </c>
      <c r="B449" s="9" t="s">
        <v>325</v>
      </c>
      <c r="C449" s="10" t="s">
        <v>326</v>
      </c>
      <c r="D449" s="9" t="s">
        <v>328</v>
      </c>
      <c r="E449" s="9" t="s">
        <v>257</v>
      </c>
      <c r="F449" s="10"/>
      <c r="G449" s="10"/>
      <c r="H449" s="10"/>
      <c r="I449" s="10"/>
      <c r="J449" s="10"/>
      <c r="K449" s="9" t="s">
        <v>795</v>
      </c>
    </row>
    <row r="450" customFormat="false" ht="39.55" hidden="false" customHeight="false" outlineLevel="0" collapsed="false">
      <c r="A450" s="9" t="s">
        <v>786</v>
      </c>
      <c r="B450" s="9" t="s">
        <v>325</v>
      </c>
      <c r="C450" s="10" t="s">
        <v>329</v>
      </c>
      <c r="D450" s="9" t="s">
        <v>330</v>
      </c>
      <c r="E450" s="9" t="s">
        <v>257</v>
      </c>
      <c r="F450" s="10"/>
      <c r="G450" s="10"/>
      <c r="H450" s="10"/>
      <c r="I450" s="10"/>
      <c r="J450" s="10"/>
      <c r="K450" s="9" t="s">
        <v>795</v>
      </c>
    </row>
    <row r="451" customFormat="false" ht="39.55" hidden="false" customHeight="false" outlineLevel="0" collapsed="false">
      <c r="A451" s="9" t="s">
        <v>786</v>
      </c>
      <c r="B451" s="9" t="s">
        <v>325</v>
      </c>
      <c r="C451" s="10"/>
      <c r="D451" s="9" t="s">
        <v>400</v>
      </c>
      <c r="E451" s="9" t="s">
        <v>257</v>
      </c>
      <c r="F451" s="10"/>
      <c r="G451" s="10"/>
      <c r="H451" s="10"/>
      <c r="I451" s="10"/>
      <c r="J451" s="10"/>
      <c r="K451" s="9" t="s">
        <v>795</v>
      </c>
    </row>
    <row r="452" customFormat="false" ht="39.55" hidden="false" customHeight="false" outlineLevel="0" collapsed="false">
      <c r="A452" s="9" t="s">
        <v>786</v>
      </c>
      <c r="B452" s="9" t="s">
        <v>325</v>
      </c>
      <c r="C452" s="10"/>
      <c r="D452" s="9" t="s">
        <v>401</v>
      </c>
      <c r="E452" s="9" t="s">
        <v>257</v>
      </c>
      <c r="F452" s="10"/>
      <c r="G452" s="10"/>
      <c r="H452" s="10"/>
      <c r="I452" s="10"/>
      <c r="J452" s="10"/>
      <c r="K452" s="9" t="s">
        <v>795</v>
      </c>
    </row>
    <row r="453" customFormat="false" ht="39.55" hidden="false" customHeight="false" outlineLevel="0" collapsed="false">
      <c r="A453" s="9" t="s">
        <v>786</v>
      </c>
      <c r="B453" s="9" t="s">
        <v>325</v>
      </c>
      <c r="C453" s="10"/>
      <c r="D453" s="9" t="s">
        <v>402</v>
      </c>
      <c r="E453" s="9" t="s">
        <v>257</v>
      </c>
      <c r="F453" s="10"/>
      <c r="G453" s="10"/>
      <c r="H453" s="10"/>
      <c r="I453" s="10"/>
      <c r="J453" s="10"/>
      <c r="K453" s="9" t="s">
        <v>795</v>
      </c>
    </row>
    <row r="454" customFormat="false" ht="39.55" hidden="false" customHeight="false" outlineLevel="0" collapsed="false">
      <c r="A454" s="9" t="s">
        <v>786</v>
      </c>
      <c r="B454" s="9" t="s">
        <v>325</v>
      </c>
      <c r="C454" s="10" t="s">
        <v>326</v>
      </c>
      <c r="D454" s="9" t="s">
        <v>327</v>
      </c>
      <c r="E454" s="9" t="s">
        <v>403</v>
      </c>
      <c r="F454" s="10"/>
      <c r="G454" s="10"/>
      <c r="H454" s="10"/>
      <c r="I454" s="10"/>
      <c r="J454" s="10"/>
      <c r="K454" s="9" t="s">
        <v>795</v>
      </c>
    </row>
    <row r="455" customFormat="false" ht="39.55" hidden="false" customHeight="false" outlineLevel="0" collapsed="false">
      <c r="A455" s="9" t="s">
        <v>786</v>
      </c>
      <c r="B455" s="9" t="s">
        <v>325</v>
      </c>
      <c r="C455" s="10" t="s">
        <v>326</v>
      </c>
      <c r="D455" s="9" t="s">
        <v>328</v>
      </c>
      <c r="E455" s="9" t="s">
        <v>403</v>
      </c>
      <c r="F455" s="10"/>
      <c r="G455" s="10"/>
      <c r="H455" s="10"/>
      <c r="I455" s="10"/>
      <c r="J455" s="10"/>
      <c r="K455" s="9" t="s">
        <v>795</v>
      </c>
    </row>
    <row r="456" customFormat="false" ht="39.55" hidden="false" customHeight="false" outlineLevel="0" collapsed="false">
      <c r="A456" s="9" t="s">
        <v>786</v>
      </c>
      <c r="B456" s="9" t="s">
        <v>325</v>
      </c>
      <c r="C456" s="10" t="s">
        <v>329</v>
      </c>
      <c r="D456" s="9" t="s">
        <v>330</v>
      </c>
      <c r="E456" s="9" t="s">
        <v>403</v>
      </c>
      <c r="F456" s="10"/>
      <c r="G456" s="10"/>
      <c r="H456" s="10"/>
      <c r="I456" s="10"/>
      <c r="J456" s="10"/>
      <c r="K456" s="9" t="s">
        <v>795</v>
      </c>
    </row>
    <row r="457" customFormat="false" ht="39.55" hidden="false" customHeight="false" outlineLevel="0" collapsed="false">
      <c r="A457" s="9" t="s">
        <v>786</v>
      </c>
      <c r="B457" s="9" t="s">
        <v>325</v>
      </c>
      <c r="C457" s="10"/>
      <c r="D457" s="9" t="s">
        <v>404</v>
      </c>
      <c r="E457" s="9" t="s">
        <v>403</v>
      </c>
      <c r="F457" s="10"/>
      <c r="G457" s="10"/>
      <c r="H457" s="10"/>
      <c r="I457" s="10"/>
      <c r="J457" s="10"/>
      <c r="K457" s="9" t="s">
        <v>795</v>
      </c>
    </row>
    <row r="458" customFormat="false" ht="39.55" hidden="false" customHeight="false" outlineLevel="0" collapsed="false">
      <c r="A458" s="9" t="s">
        <v>786</v>
      </c>
      <c r="B458" s="9" t="s">
        <v>325</v>
      </c>
      <c r="C458" s="10"/>
      <c r="D458" s="9" t="s">
        <v>405</v>
      </c>
      <c r="E458" s="9" t="s">
        <v>403</v>
      </c>
      <c r="F458" s="10"/>
      <c r="G458" s="10"/>
      <c r="H458" s="10"/>
      <c r="I458" s="10"/>
      <c r="J458" s="10"/>
      <c r="K458" s="9" t="s">
        <v>795</v>
      </c>
    </row>
    <row r="459" customFormat="false" ht="39.55" hidden="false" customHeight="false" outlineLevel="0" collapsed="false">
      <c r="A459" s="9" t="s">
        <v>786</v>
      </c>
      <c r="B459" s="9" t="s">
        <v>325</v>
      </c>
      <c r="C459" s="10"/>
      <c r="D459" s="9" t="s">
        <v>406</v>
      </c>
      <c r="E459" s="9" t="s">
        <v>403</v>
      </c>
      <c r="F459" s="10"/>
      <c r="G459" s="10"/>
      <c r="H459" s="10"/>
      <c r="I459" s="10"/>
      <c r="J459" s="10"/>
      <c r="K459" s="9" t="s">
        <v>795</v>
      </c>
    </row>
    <row r="460" customFormat="false" ht="15" hidden="false" customHeight="false" outlineLevel="0" collapsed="false">
      <c r="A460" s="9" t="s">
        <v>796</v>
      </c>
      <c r="B460" s="9" t="s">
        <v>325</v>
      </c>
      <c r="C460" s="10" t="s">
        <v>326</v>
      </c>
      <c r="D460" s="9" t="s">
        <v>327</v>
      </c>
      <c r="E460" s="9" t="s">
        <v>30</v>
      </c>
      <c r="F460" s="10"/>
      <c r="G460" s="10"/>
      <c r="H460" s="10"/>
      <c r="I460" s="10"/>
      <c r="J460" s="10"/>
      <c r="K460" s="9" t="s">
        <v>145</v>
      </c>
    </row>
    <row r="461" customFormat="false" ht="15" hidden="false" customHeight="false" outlineLevel="0" collapsed="false">
      <c r="A461" s="9" t="s">
        <v>796</v>
      </c>
      <c r="B461" s="9" t="s">
        <v>325</v>
      </c>
      <c r="C461" s="10" t="s">
        <v>326</v>
      </c>
      <c r="D461" s="9" t="s">
        <v>328</v>
      </c>
      <c r="E461" s="9" t="s">
        <v>30</v>
      </c>
      <c r="F461" s="10"/>
      <c r="G461" s="10"/>
      <c r="H461" s="10"/>
      <c r="I461" s="10"/>
      <c r="J461" s="10"/>
      <c r="K461" s="9" t="s">
        <v>145</v>
      </c>
    </row>
    <row r="462" customFormat="false" ht="15" hidden="false" customHeight="false" outlineLevel="0" collapsed="false">
      <c r="A462" s="9" t="s">
        <v>796</v>
      </c>
      <c r="B462" s="9" t="s">
        <v>325</v>
      </c>
      <c r="C462" s="10" t="s">
        <v>329</v>
      </c>
      <c r="D462" s="9" t="s">
        <v>330</v>
      </c>
      <c r="E462" s="9" t="s">
        <v>30</v>
      </c>
      <c r="F462" s="10"/>
      <c r="G462" s="10"/>
      <c r="H462" s="10"/>
      <c r="I462" s="10"/>
      <c r="J462" s="10"/>
      <c r="K462" s="9" t="s">
        <v>145</v>
      </c>
    </row>
    <row r="463" customFormat="false" ht="15" hidden="false" customHeight="false" outlineLevel="0" collapsed="false">
      <c r="A463" s="9" t="s">
        <v>796</v>
      </c>
      <c r="B463" s="9" t="s">
        <v>325</v>
      </c>
      <c r="C463" s="10" t="s">
        <v>329</v>
      </c>
      <c r="D463" s="9" t="s">
        <v>331</v>
      </c>
      <c r="E463" s="9" t="s">
        <v>30</v>
      </c>
      <c r="F463" s="10"/>
      <c r="G463" s="10"/>
      <c r="H463" s="10"/>
      <c r="I463" s="10"/>
      <c r="J463" s="10"/>
      <c r="K463" s="9" t="s">
        <v>145</v>
      </c>
    </row>
    <row r="464" customFormat="false" ht="15" hidden="false" customHeight="false" outlineLevel="0" collapsed="false">
      <c r="A464" s="9" t="s">
        <v>796</v>
      </c>
      <c r="B464" s="9" t="s">
        <v>325</v>
      </c>
      <c r="C464" s="10" t="s">
        <v>332</v>
      </c>
      <c r="D464" s="9" t="s">
        <v>333</v>
      </c>
      <c r="E464" s="9" t="s">
        <v>30</v>
      </c>
      <c r="F464" s="10"/>
      <c r="G464" s="10"/>
      <c r="H464" s="10"/>
      <c r="I464" s="10"/>
      <c r="J464" s="10"/>
      <c r="K464" s="9" t="s">
        <v>145</v>
      </c>
    </row>
    <row r="465" customFormat="false" ht="15" hidden="false" customHeight="false" outlineLevel="0" collapsed="false">
      <c r="A465" s="9" t="s">
        <v>796</v>
      </c>
      <c r="B465" s="9" t="s">
        <v>325</v>
      </c>
      <c r="C465" s="10" t="s">
        <v>332</v>
      </c>
      <c r="D465" s="9" t="s">
        <v>334</v>
      </c>
      <c r="E465" s="9" t="s">
        <v>30</v>
      </c>
      <c r="F465" s="10"/>
      <c r="G465" s="10"/>
      <c r="H465" s="10"/>
      <c r="I465" s="10"/>
      <c r="J465" s="10"/>
      <c r="K465" s="9" t="s">
        <v>145</v>
      </c>
    </row>
    <row r="466" customFormat="false" ht="26.85" hidden="false" customHeight="false" outlineLevel="0" collapsed="false">
      <c r="A466" s="9" t="s">
        <v>796</v>
      </c>
      <c r="B466" s="9" t="s">
        <v>325</v>
      </c>
      <c r="C466" s="10"/>
      <c r="D466" s="9" t="s">
        <v>335</v>
      </c>
      <c r="E466" s="9" t="s">
        <v>30</v>
      </c>
      <c r="F466" s="10"/>
      <c r="G466" s="10"/>
      <c r="H466" s="10"/>
      <c r="I466" s="10"/>
      <c r="J466" s="10"/>
      <c r="K466" s="9" t="s">
        <v>145</v>
      </c>
    </row>
    <row r="467" customFormat="false" ht="26.85" hidden="false" customHeight="false" outlineLevel="0" collapsed="false">
      <c r="A467" s="9" t="s">
        <v>796</v>
      </c>
      <c r="B467" s="9" t="s">
        <v>325</v>
      </c>
      <c r="C467" s="10"/>
      <c r="D467" s="9" t="s">
        <v>336</v>
      </c>
      <c r="E467" s="9" t="s">
        <v>30</v>
      </c>
      <c r="F467" s="10"/>
      <c r="G467" s="10"/>
      <c r="H467" s="10"/>
      <c r="I467" s="10"/>
      <c r="J467" s="10"/>
      <c r="K467" s="9" t="s">
        <v>145</v>
      </c>
    </row>
    <row r="468" customFormat="false" ht="26.85" hidden="false" customHeight="false" outlineLevel="0" collapsed="false">
      <c r="A468" s="9" t="s">
        <v>796</v>
      </c>
      <c r="B468" s="9" t="s">
        <v>325</v>
      </c>
      <c r="C468" s="10"/>
      <c r="D468" s="9" t="s">
        <v>337</v>
      </c>
      <c r="E468" s="9" t="s">
        <v>30</v>
      </c>
      <c r="F468" s="10"/>
      <c r="G468" s="10"/>
      <c r="H468" s="10"/>
      <c r="I468" s="10"/>
      <c r="J468" s="10"/>
      <c r="K468" s="9" t="s">
        <v>145</v>
      </c>
    </row>
    <row r="469" customFormat="false" ht="26.85" hidden="false" customHeight="false" outlineLevel="0" collapsed="false">
      <c r="A469" s="9" t="s">
        <v>796</v>
      </c>
      <c r="B469" s="9" t="s">
        <v>325</v>
      </c>
      <c r="C469" s="10"/>
      <c r="D469" s="9" t="s">
        <v>338</v>
      </c>
      <c r="E469" s="9" t="s">
        <v>30</v>
      </c>
      <c r="F469" s="10"/>
      <c r="G469" s="10"/>
      <c r="H469" s="10"/>
      <c r="I469" s="10"/>
      <c r="J469" s="10"/>
      <c r="K469" s="9" t="s">
        <v>145</v>
      </c>
    </row>
    <row r="470" customFormat="false" ht="15" hidden="false" customHeight="false" outlineLevel="0" collapsed="false">
      <c r="A470" s="9" t="s">
        <v>796</v>
      </c>
      <c r="B470" s="9" t="s">
        <v>325</v>
      </c>
      <c r="C470" s="10" t="s">
        <v>326</v>
      </c>
      <c r="D470" s="9" t="s">
        <v>327</v>
      </c>
      <c r="E470" s="9" t="s">
        <v>132</v>
      </c>
      <c r="F470" s="10"/>
      <c r="G470" s="10"/>
      <c r="H470" s="10"/>
      <c r="I470" s="10"/>
      <c r="J470" s="10"/>
      <c r="K470" s="9" t="s">
        <v>145</v>
      </c>
    </row>
    <row r="471" customFormat="false" ht="15" hidden="false" customHeight="false" outlineLevel="0" collapsed="false">
      <c r="A471" s="9" t="s">
        <v>796</v>
      </c>
      <c r="B471" s="9" t="s">
        <v>325</v>
      </c>
      <c r="C471" s="10" t="s">
        <v>326</v>
      </c>
      <c r="D471" s="9" t="s">
        <v>328</v>
      </c>
      <c r="E471" s="9" t="s">
        <v>132</v>
      </c>
      <c r="F471" s="10"/>
      <c r="G471" s="10"/>
      <c r="H471" s="10"/>
      <c r="I471" s="10"/>
      <c r="J471" s="10"/>
      <c r="K471" s="9" t="s">
        <v>145</v>
      </c>
    </row>
    <row r="472" customFormat="false" ht="15" hidden="false" customHeight="false" outlineLevel="0" collapsed="false">
      <c r="A472" s="9" t="s">
        <v>796</v>
      </c>
      <c r="B472" s="9" t="s">
        <v>325</v>
      </c>
      <c r="C472" s="10" t="s">
        <v>329</v>
      </c>
      <c r="D472" s="9" t="s">
        <v>330</v>
      </c>
      <c r="E472" s="9" t="s">
        <v>132</v>
      </c>
      <c r="F472" s="10"/>
      <c r="G472" s="10"/>
      <c r="H472" s="10"/>
      <c r="I472" s="10"/>
      <c r="J472" s="10"/>
      <c r="K472" s="9" t="s">
        <v>145</v>
      </c>
    </row>
    <row r="473" customFormat="false" ht="15" hidden="false" customHeight="false" outlineLevel="0" collapsed="false">
      <c r="A473" s="9" t="s">
        <v>796</v>
      </c>
      <c r="B473" s="9" t="s">
        <v>325</v>
      </c>
      <c r="C473" s="10" t="s">
        <v>329</v>
      </c>
      <c r="D473" s="9" t="s">
        <v>331</v>
      </c>
      <c r="E473" s="9" t="s">
        <v>132</v>
      </c>
      <c r="F473" s="10"/>
      <c r="G473" s="10"/>
      <c r="H473" s="10"/>
      <c r="I473" s="10"/>
      <c r="J473" s="10"/>
      <c r="K473" s="9" t="s">
        <v>145</v>
      </c>
    </row>
    <row r="474" customFormat="false" ht="15" hidden="false" customHeight="false" outlineLevel="0" collapsed="false">
      <c r="A474" s="9" t="s">
        <v>796</v>
      </c>
      <c r="B474" s="9" t="s">
        <v>325</v>
      </c>
      <c r="C474" s="10" t="s">
        <v>332</v>
      </c>
      <c r="D474" s="9" t="s">
        <v>333</v>
      </c>
      <c r="E474" s="9" t="s">
        <v>132</v>
      </c>
      <c r="F474" s="10"/>
      <c r="G474" s="10"/>
      <c r="H474" s="10"/>
      <c r="I474" s="10"/>
      <c r="J474" s="10"/>
      <c r="K474" s="9" t="s">
        <v>145</v>
      </c>
    </row>
    <row r="475" customFormat="false" ht="15" hidden="false" customHeight="false" outlineLevel="0" collapsed="false">
      <c r="A475" s="9" t="s">
        <v>796</v>
      </c>
      <c r="B475" s="9" t="s">
        <v>325</v>
      </c>
      <c r="C475" s="10" t="s">
        <v>332</v>
      </c>
      <c r="D475" s="9" t="s">
        <v>334</v>
      </c>
      <c r="E475" s="9" t="s">
        <v>132</v>
      </c>
      <c r="F475" s="10"/>
      <c r="G475" s="10"/>
      <c r="H475" s="10"/>
      <c r="I475" s="10"/>
      <c r="J475" s="10"/>
      <c r="K475" s="9" t="s">
        <v>145</v>
      </c>
    </row>
    <row r="476" customFormat="false" ht="26.85" hidden="false" customHeight="false" outlineLevel="0" collapsed="false">
      <c r="A476" s="9" t="s">
        <v>796</v>
      </c>
      <c r="B476" s="9" t="s">
        <v>325</v>
      </c>
      <c r="C476" s="10"/>
      <c r="D476" s="9" t="s">
        <v>339</v>
      </c>
      <c r="E476" s="9" t="s">
        <v>132</v>
      </c>
      <c r="F476" s="10"/>
      <c r="G476" s="10"/>
      <c r="H476" s="10"/>
      <c r="I476" s="10"/>
      <c r="J476" s="10"/>
      <c r="K476" s="9" t="s">
        <v>145</v>
      </c>
    </row>
    <row r="477" customFormat="false" ht="26.85" hidden="false" customHeight="false" outlineLevel="0" collapsed="false">
      <c r="A477" s="9" t="s">
        <v>796</v>
      </c>
      <c r="B477" s="9" t="s">
        <v>325</v>
      </c>
      <c r="C477" s="10"/>
      <c r="D477" s="9" t="s">
        <v>340</v>
      </c>
      <c r="E477" s="9" t="s">
        <v>132</v>
      </c>
      <c r="F477" s="10"/>
      <c r="G477" s="10"/>
      <c r="H477" s="10"/>
      <c r="I477" s="10"/>
      <c r="J477" s="10"/>
      <c r="K477" s="9" t="s">
        <v>145</v>
      </c>
    </row>
    <row r="478" customFormat="false" ht="15" hidden="false" customHeight="false" outlineLevel="0" collapsed="false">
      <c r="A478" s="9" t="s">
        <v>796</v>
      </c>
      <c r="B478" s="9" t="s">
        <v>325</v>
      </c>
      <c r="C478" s="10" t="s">
        <v>326</v>
      </c>
      <c r="D478" s="9" t="s">
        <v>327</v>
      </c>
      <c r="E478" s="9" t="s">
        <v>146</v>
      </c>
      <c r="F478" s="10"/>
      <c r="G478" s="10"/>
      <c r="H478" s="10"/>
      <c r="I478" s="10"/>
      <c r="J478" s="10"/>
      <c r="K478" s="9" t="s">
        <v>145</v>
      </c>
    </row>
    <row r="479" customFormat="false" ht="15" hidden="false" customHeight="false" outlineLevel="0" collapsed="false">
      <c r="A479" s="9" t="s">
        <v>796</v>
      </c>
      <c r="B479" s="9" t="s">
        <v>325</v>
      </c>
      <c r="C479" s="10" t="s">
        <v>326</v>
      </c>
      <c r="D479" s="9" t="s">
        <v>328</v>
      </c>
      <c r="E479" s="9" t="s">
        <v>146</v>
      </c>
      <c r="F479" s="10"/>
      <c r="G479" s="10"/>
      <c r="H479" s="10"/>
      <c r="I479" s="10"/>
      <c r="J479" s="10"/>
      <c r="K479" s="9" t="s">
        <v>145</v>
      </c>
    </row>
    <row r="480" customFormat="false" ht="15" hidden="false" customHeight="false" outlineLevel="0" collapsed="false">
      <c r="A480" s="9" t="s">
        <v>796</v>
      </c>
      <c r="B480" s="9" t="s">
        <v>325</v>
      </c>
      <c r="C480" s="10" t="s">
        <v>329</v>
      </c>
      <c r="D480" s="9" t="s">
        <v>343</v>
      </c>
      <c r="E480" s="9" t="s">
        <v>146</v>
      </c>
      <c r="F480" s="10"/>
      <c r="G480" s="10"/>
      <c r="H480" s="10"/>
      <c r="I480" s="10"/>
      <c r="J480" s="10"/>
      <c r="K480" s="9" t="s">
        <v>145</v>
      </c>
    </row>
    <row r="481" customFormat="false" ht="15" hidden="false" customHeight="false" outlineLevel="0" collapsed="false">
      <c r="A481" s="9" t="s">
        <v>796</v>
      </c>
      <c r="B481" s="9" t="s">
        <v>325</v>
      </c>
      <c r="C481" s="10" t="s">
        <v>329</v>
      </c>
      <c r="D481" s="9" t="s">
        <v>344</v>
      </c>
      <c r="E481" s="9" t="s">
        <v>146</v>
      </c>
      <c r="F481" s="10"/>
      <c r="G481" s="10"/>
      <c r="H481" s="10"/>
      <c r="I481" s="10"/>
      <c r="J481" s="10"/>
      <c r="K481" s="9" t="s">
        <v>145</v>
      </c>
    </row>
    <row r="482" customFormat="false" ht="15" hidden="false" customHeight="false" outlineLevel="0" collapsed="false">
      <c r="A482" s="9" t="s">
        <v>796</v>
      </c>
      <c r="B482" s="9" t="s">
        <v>325</v>
      </c>
      <c r="C482" s="10" t="s">
        <v>329</v>
      </c>
      <c r="D482" s="9" t="s">
        <v>345</v>
      </c>
      <c r="E482" s="9" t="s">
        <v>146</v>
      </c>
      <c r="F482" s="10"/>
      <c r="G482" s="10"/>
      <c r="H482" s="10"/>
      <c r="I482" s="10"/>
      <c r="J482" s="10"/>
      <c r="K482" s="9" t="s">
        <v>145</v>
      </c>
    </row>
    <row r="483" customFormat="false" ht="15" hidden="false" customHeight="false" outlineLevel="0" collapsed="false">
      <c r="A483" s="9" t="s">
        <v>796</v>
      </c>
      <c r="B483" s="9" t="s">
        <v>325</v>
      </c>
      <c r="C483" s="10" t="s">
        <v>329</v>
      </c>
      <c r="D483" s="9" t="s">
        <v>346</v>
      </c>
      <c r="E483" s="9" t="s">
        <v>146</v>
      </c>
      <c r="F483" s="10"/>
      <c r="G483" s="10"/>
      <c r="H483" s="10"/>
      <c r="I483" s="10"/>
      <c r="J483" s="10"/>
      <c r="K483" s="9" t="s">
        <v>145</v>
      </c>
    </row>
    <row r="484" customFormat="false" ht="15" hidden="false" customHeight="false" outlineLevel="0" collapsed="false">
      <c r="A484" s="9" t="s">
        <v>796</v>
      </c>
      <c r="B484" s="9" t="s">
        <v>325</v>
      </c>
      <c r="C484" s="10" t="s">
        <v>332</v>
      </c>
      <c r="D484" s="9" t="s">
        <v>347</v>
      </c>
      <c r="E484" s="9" t="s">
        <v>146</v>
      </c>
      <c r="F484" s="10"/>
      <c r="G484" s="10"/>
      <c r="H484" s="10"/>
      <c r="I484" s="10"/>
      <c r="J484" s="10"/>
      <c r="K484" s="9" t="s">
        <v>145</v>
      </c>
    </row>
    <row r="485" customFormat="false" ht="15" hidden="false" customHeight="false" outlineLevel="0" collapsed="false">
      <c r="A485" s="9" t="s">
        <v>796</v>
      </c>
      <c r="B485" s="9" t="s">
        <v>325</v>
      </c>
      <c r="C485" s="10" t="s">
        <v>332</v>
      </c>
      <c r="D485" s="9" t="s">
        <v>348</v>
      </c>
      <c r="E485" s="9" t="s">
        <v>146</v>
      </c>
      <c r="F485" s="10"/>
      <c r="G485" s="10"/>
      <c r="H485" s="10"/>
      <c r="I485" s="10"/>
      <c r="J485" s="10"/>
      <c r="K485" s="9" t="s">
        <v>145</v>
      </c>
    </row>
    <row r="486" customFormat="false" ht="15" hidden="false" customHeight="false" outlineLevel="0" collapsed="false">
      <c r="A486" s="9" t="s">
        <v>796</v>
      </c>
      <c r="B486" s="9" t="s">
        <v>325</v>
      </c>
      <c r="C486" s="10" t="s">
        <v>332</v>
      </c>
      <c r="D486" s="9" t="s">
        <v>349</v>
      </c>
      <c r="E486" s="9" t="s">
        <v>146</v>
      </c>
      <c r="F486" s="10"/>
      <c r="G486" s="10"/>
      <c r="H486" s="10"/>
      <c r="I486" s="10"/>
      <c r="J486" s="10"/>
      <c r="K486" s="9" t="s">
        <v>145</v>
      </c>
    </row>
    <row r="487" customFormat="false" ht="15" hidden="false" customHeight="false" outlineLevel="0" collapsed="false">
      <c r="A487" s="9" t="s">
        <v>796</v>
      </c>
      <c r="B487" s="9" t="s">
        <v>325</v>
      </c>
      <c r="C487" s="10" t="s">
        <v>332</v>
      </c>
      <c r="D487" s="9" t="s">
        <v>350</v>
      </c>
      <c r="E487" s="9" t="s">
        <v>146</v>
      </c>
      <c r="F487" s="10"/>
      <c r="G487" s="10"/>
      <c r="H487" s="10"/>
      <c r="I487" s="10"/>
      <c r="J487" s="10"/>
      <c r="K487" s="9" t="s">
        <v>145</v>
      </c>
    </row>
    <row r="488" customFormat="false" ht="15" hidden="false" customHeight="false" outlineLevel="0" collapsed="false">
      <c r="A488" s="9" t="s">
        <v>796</v>
      </c>
      <c r="B488" s="9" t="s">
        <v>325</v>
      </c>
      <c r="C488" s="10"/>
      <c r="D488" s="9" t="s">
        <v>352</v>
      </c>
      <c r="E488" s="9" t="s">
        <v>155</v>
      </c>
      <c r="F488" s="10"/>
      <c r="G488" s="10"/>
      <c r="H488" s="10"/>
      <c r="I488" s="9" t="s">
        <v>149</v>
      </c>
      <c r="J488" s="10"/>
      <c r="K488" s="9" t="s">
        <v>145</v>
      </c>
    </row>
    <row r="489" customFormat="false" ht="15" hidden="false" customHeight="false" outlineLevel="0" collapsed="false">
      <c r="A489" s="9" t="s">
        <v>796</v>
      </c>
      <c r="B489" s="9" t="s">
        <v>325</v>
      </c>
      <c r="C489" s="10"/>
      <c r="D489" s="9" t="s">
        <v>354</v>
      </c>
      <c r="E489" s="9" t="s">
        <v>155</v>
      </c>
      <c r="F489" s="10"/>
      <c r="G489" s="10"/>
      <c r="H489" s="10"/>
      <c r="I489" s="9" t="s">
        <v>149</v>
      </c>
      <c r="J489" s="10"/>
      <c r="K489" s="9" t="s">
        <v>145</v>
      </c>
    </row>
    <row r="490" customFormat="false" ht="15" hidden="false" customHeight="false" outlineLevel="0" collapsed="false">
      <c r="A490" s="9" t="s">
        <v>796</v>
      </c>
      <c r="B490" s="9" t="s">
        <v>325</v>
      </c>
      <c r="C490" s="10"/>
      <c r="D490" s="9" t="s">
        <v>355</v>
      </c>
      <c r="E490" s="9" t="s">
        <v>155</v>
      </c>
      <c r="F490" s="10"/>
      <c r="G490" s="10"/>
      <c r="H490" s="10"/>
      <c r="I490" s="9" t="s">
        <v>149</v>
      </c>
      <c r="J490" s="10"/>
      <c r="K490" s="9" t="s">
        <v>145</v>
      </c>
    </row>
    <row r="491" customFormat="false" ht="15" hidden="false" customHeight="false" outlineLevel="0" collapsed="false">
      <c r="A491" s="9" t="s">
        <v>796</v>
      </c>
      <c r="B491" s="9" t="s">
        <v>325</v>
      </c>
      <c r="C491" s="10"/>
      <c r="D491" s="9" t="s">
        <v>357</v>
      </c>
      <c r="E491" s="9" t="s">
        <v>155</v>
      </c>
      <c r="F491" s="10"/>
      <c r="G491" s="10"/>
      <c r="H491" s="10"/>
      <c r="I491" s="9" t="s">
        <v>149</v>
      </c>
      <c r="J491" s="10"/>
      <c r="K491" s="9" t="s">
        <v>145</v>
      </c>
    </row>
    <row r="492" customFormat="false" ht="15" hidden="false" customHeight="false" outlineLevel="0" collapsed="false">
      <c r="A492" s="9" t="s">
        <v>796</v>
      </c>
      <c r="B492" s="9" t="s">
        <v>325</v>
      </c>
      <c r="C492" s="10"/>
      <c r="D492" s="9" t="s">
        <v>358</v>
      </c>
      <c r="E492" s="9" t="s">
        <v>155</v>
      </c>
      <c r="F492" s="10"/>
      <c r="G492" s="10"/>
      <c r="H492" s="10"/>
      <c r="I492" s="9" t="s">
        <v>149</v>
      </c>
      <c r="J492" s="10"/>
      <c r="K492" s="9" t="s">
        <v>145</v>
      </c>
    </row>
    <row r="493" customFormat="false" ht="15" hidden="false" customHeight="false" outlineLevel="0" collapsed="false">
      <c r="A493" s="9" t="s">
        <v>796</v>
      </c>
      <c r="B493" s="9" t="s">
        <v>325</v>
      </c>
      <c r="C493" s="10"/>
      <c r="D493" s="9" t="s">
        <v>359</v>
      </c>
      <c r="E493" s="9" t="s">
        <v>155</v>
      </c>
      <c r="F493" s="10"/>
      <c r="G493" s="10"/>
      <c r="H493" s="10"/>
      <c r="I493" s="9" t="s">
        <v>149</v>
      </c>
      <c r="J493" s="10"/>
      <c r="K493" s="9" t="s">
        <v>145</v>
      </c>
    </row>
    <row r="494" customFormat="false" ht="102.95" hidden="false" customHeight="false" outlineLevel="0" collapsed="false">
      <c r="A494" s="6" t="s">
        <v>796</v>
      </c>
      <c r="B494" s="6" t="s">
        <v>325</v>
      </c>
      <c r="C494" s="7" t="s">
        <v>326</v>
      </c>
      <c r="D494" s="6" t="s">
        <v>360</v>
      </c>
      <c r="E494" s="6" t="s">
        <v>361</v>
      </c>
      <c r="F494" s="7" t="s">
        <v>797</v>
      </c>
      <c r="G494" s="7"/>
      <c r="H494" s="7" t="s">
        <v>53</v>
      </c>
      <c r="I494" s="6" t="s">
        <v>158</v>
      </c>
      <c r="J494" s="8" t="s">
        <v>798</v>
      </c>
      <c r="K494" s="6" t="s">
        <v>799</v>
      </c>
    </row>
    <row r="495" customFormat="false" ht="102.95" hidden="false" customHeight="false" outlineLevel="0" collapsed="false">
      <c r="A495" s="6" t="s">
        <v>796</v>
      </c>
      <c r="B495" s="6" t="s">
        <v>325</v>
      </c>
      <c r="C495" s="7" t="s">
        <v>326</v>
      </c>
      <c r="D495" s="6" t="s">
        <v>360</v>
      </c>
      <c r="E495" s="6" t="s">
        <v>361</v>
      </c>
      <c r="F495" s="7" t="s">
        <v>800</v>
      </c>
      <c r="G495" s="7" t="s">
        <v>801</v>
      </c>
      <c r="H495" s="7" t="s">
        <v>53</v>
      </c>
      <c r="I495" s="6" t="s">
        <v>158</v>
      </c>
      <c r="J495" s="8" t="s">
        <v>798</v>
      </c>
      <c r="K495" s="6" t="s">
        <v>802</v>
      </c>
    </row>
    <row r="496" customFormat="false" ht="15" hidden="false" customHeight="false" outlineLevel="0" collapsed="false">
      <c r="A496" s="9" t="s">
        <v>796</v>
      </c>
      <c r="B496" s="9" t="s">
        <v>325</v>
      </c>
      <c r="C496" s="10"/>
      <c r="D496" s="9" t="s">
        <v>362</v>
      </c>
      <c r="E496" s="9" t="s">
        <v>361</v>
      </c>
      <c r="F496" s="10"/>
      <c r="G496" s="10"/>
      <c r="H496" s="10"/>
      <c r="I496" s="9" t="s">
        <v>149</v>
      </c>
      <c r="J496" s="10"/>
      <c r="K496" s="9" t="s">
        <v>145</v>
      </c>
    </row>
    <row r="497" customFormat="false" ht="15" hidden="false" customHeight="false" outlineLevel="0" collapsed="false">
      <c r="A497" s="9" t="s">
        <v>796</v>
      </c>
      <c r="B497" s="9" t="s">
        <v>325</v>
      </c>
      <c r="C497" s="10"/>
      <c r="D497" s="9" t="s">
        <v>363</v>
      </c>
      <c r="E497" s="9" t="s">
        <v>361</v>
      </c>
      <c r="F497" s="10"/>
      <c r="G497" s="10"/>
      <c r="H497" s="10"/>
      <c r="I497" s="9" t="s">
        <v>149</v>
      </c>
      <c r="J497" s="10"/>
      <c r="K497" s="9" t="s">
        <v>145</v>
      </c>
    </row>
    <row r="498" customFormat="false" ht="102.95" hidden="false" customHeight="false" outlineLevel="0" collapsed="false">
      <c r="A498" s="6" t="s">
        <v>796</v>
      </c>
      <c r="B498" s="6" t="s">
        <v>325</v>
      </c>
      <c r="C498" s="7"/>
      <c r="D498" s="6" t="s">
        <v>364</v>
      </c>
      <c r="E498" s="6" t="s">
        <v>361</v>
      </c>
      <c r="F498" s="6" t="s">
        <v>377</v>
      </c>
      <c r="G498" s="7" t="s">
        <v>803</v>
      </c>
      <c r="H498" s="7" t="s">
        <v>211</v>
      </c>
      <c r="I498" s="6" t="s">
        <v>158</v>
      </c>
      <c r="J498" s="8" t="s">
        <v>804</v>
      </c>
      <c r="K498" s="6" t="s">
        <v>805</v>
      </c>
    </row>
    <row r="499" customFormat="false" ht="15" hidden="false" customHeight="false" outlineLevel="0" collapsed="false">
      <c r="A499" s="9" t="s">
        <v>796</v>
      </c>
      <c r="B499" s="9" t="s">
        <v>325</v>
      </c>
      <c r="C499" s="10"/>
      <c r="D499" s="9" t="s">
        <v>365</v>
      </c>
      <c r="E499" s="9" t="s">
        <v>361</v>
      </c>
      <c r="F499" s="10"/>
      <c r="G499" s="10"/>
      <c r="H499" s="10"/>
      <c r="I499" s="9" t="s">
        <v>149</v>
      </c>
      <c r="J499" s="10"/>
      <c r="K499" s="9" t="s">
        <v>145</v>
      </c>
    </row>
    <row r="500" customFormat="false" ht="15" hidden="false" customHeight="false" outlineLevel="0" collapsed="false">
      <c r="A500" s="9" t="s">
        <v>796</v>
      </c>
      <c r="B500" s="9" t="s">
        <v>325</v>
      </c>
      <c r="C500" s="10"/>
      <c r="D500" s="9" t="s">
        <v>366</v>
      </c>
      <c r="E500" s="9" t="s">
        <v>361</v>
      </c>
      <c r="F500" s="10"/>
      <c r="G500" s="10"/>
      <c r="H500" s="10"/>
      <c r="I500" s="9" t="s">
        <v>149</v>
      </c>
      <c r="J500" s="10"/>
      <c r="K500" s="9" t="s">
        <v>145</v>
      </c>
    </row>
    <row r="501" customFormat="false" ht="141" hidden="false" customHeight="false" outlineLevel="0" collapsed="false">
      <c r="A501" s="6" t="s">
        <v>796</v>
      </c>
      <c r="B501" s="6" t="s">
        <v>325</v>
      </c>
      <c r="C501" s="7" t="s">
        <v>329</v>
      </c>
      <c r="D501" s="6" t="s">
        <v>806</v>
      </c>
      <c r="E501" s="6" t="s">
        <v>368</v>
      </c>
      <c r="F501" s="6" t="s">
        <v>377</v>
      </c>
      <c r="G501" s="7" t="s">
        <v>807</v>
      </c>
      <c r="H501" s="7" t="s">
        <v>211</v>
      </c>
      <c r="I501" s="6" t="s">
        <v>158</v>
      </c>
      <c r="J501" s="8" t="s">
        <v>808</v>
      </c>
      <c r="K501" s="6" t="s">
        <v>809</v>
      </c>
    </row>
    <row r="502" customFormat="false" ht="141" hidden="false" customHeight="false" outlineLevel="0" collapsed="false">
      <c r="A502" s="6" t="s">
        <v>796</v>
      </c>
      <c r="B502" s="6" t="s">
        <v>325</v>
      </c>
      <c r="C502" s="7" t="s">
        <v>329</v>
      </c>
      <c r="D502" s="6" t="s">
        <v>806</v>
      </c>
      <c r="E502" s="6" t="s">
        <v>368</v>
      </c>
      <c r="F502" s="6" t="s">
        <v>382</v>
      </c>
      <c r="G502" s="7" t="s">
        <v>810</v>
      </c>
      <c r="H502" s="7" t="s">
        <v>211</v>
      </c>
      <c r="I502" s="6" t="s">
        <v>158</v>
      </c>
      <c r="J502" s="8" t="s">
        <v>808</v>
      </c>
      <c r="K502" s="6" t="s">
        <v>809</v>
      </c>
    </row>
    <row r="503" customFormat="false" ht="15" hidden="false" customHeight="false" outlineLevel="0" collapsed="false">
      <c r="A503" s="9" t="s">
        <v>796</v>
      </c>
      <c r="B503" s="9" t="s">
        <v>325</v>
      </c>
      <c r="C503" s="10"/>
      <c r="D503" s="9" t="s">
        <v>483</v>
      </c>
      <c r="E503" s="9" t="s">
        <v>368</v>
      </c>
      <c r="F503" s="10"/>
      <c r="G503" s="10"/>
      <c r="H503" s="10"/>
      <c r="I503" s="9" t="s">
        <v>149</v>
      </c>
      <c r="J503" s="10"/>
      <c r="K503" s="9" t="s">
        <v>145</v>
      </c>
    </row>
    <row r="504" customFormat="false" ht="15" hidden="false" customHeight="false" outlineLevel="0" collapsed="false">
      <c r="A504" s="9" t="s">
        <v>796</v>
      </c>
      <c r="B504" s="9" t="s">
        <v>325</v>
      </c>
      <c r="C504" s="10"/>
      <c r="D504" s="9" t="s">
        <v>384</v>
      </c>
      <c r="E504" s="9" t="s">
        <v>368</v>
      </c>
      <c r="F504" s="10"/>
      <c r="G504" s="10"/>
      <c r="H504" s="10"/>
      <c r="I504" s="9" t="s">
        <v>149</v>
      </c>
      <c r="J504" s="10"/>
      <c r="K504" s="9" t="s">
        <v>145</v>
      </c>
    </row>
    <row r="505" customFormat="false" ht="15" hidden="false" customHeight="false" outlineLevel="0" collapsed="false">
      <c r="A505" s="9" t="s">
        <v>796</v>
      </c>
      <c r="B505" s="9" t="s">
        <v>325</v>
      </c>
      <c r="C505" s="10"/>
      <c r="D505" s="9" t="s">
        <v>385</v>
      </c>
      <c r="E505" s="9" t="s">
        <v>368</v>
      </c>
      <c r="F505" s="10"/>
      <c r="G505" s="10"/>
      <c r="H505" s="10"/>
      <c r="I505" s="9" t="s">
        <v>149</v>
      </c>
      <c r="J505" s="10"/>
      <c r="K505" s="9" t="s">
        <v>145</v>
      </c>
    </row>
    <row r="506" customFormat="false" ht="15" hidden="false" customHeight="false" outlineLevel="0" collapsed="false">
      <c r="A506" s="9" t="s">
        <v>796</v>
      </c>
      <c r="B506" s="9" t="s">
        <v>325</v>
      </c>
      <c r="C506" s="10"/>
      <c r="D506" s="9" t="s">
        <v>387</v>
      </c>
      <c r="E506" s="9" t="s">
        <v>368</v>
      </c>
      <c r="F506" s="10"/>
      <c r="G506" s="10"/>
      <c r="H506" s="10"/>
      <c r="I506" s="9" t="s">
        <v>149</v>
      </c>
      <c r="J506" s="10"/>
      <c r="K506" s="9" t="s">
        <v>145</v>
      </c>
    </row>
    <row r="507" customFormat="false" ht="15" hidden="false" customHeight="false" outlineLevel="0" collapsed="false">
      <c r="A507" s="9" t="s">
        <v>796</v>
      </c>
      <c r="B507" s="9" t="s">
        <v>325</v>
      </c>
      <c r="C507" s="10"/>
      <c r="D507" s="9" t="s">
        <v>388</v>
      </c>
      <c r="E507" s="9" t="s">
        <v>368</v>
      </c>
      <c r="F507" s="10"/>
      <c r="G507" s="10"/>
      <c r="H507" s="10"/>
      <c r="I507" s="9" t="s">
        <v>149</v>
      </c>
      <c r="J507" s="10"/>
      <c r="K507" s="9" t="s">
        <v>145</v>
      </c>
    </row>
    <row r="508" customFormat="false" ht="15" hidden="false" customHeight="false" outlineLevel="0" collapsed="false">
      <c r="A508" s="9" t="s">
        <v>796</v>
      </c>
      <c r="B508" s="9" t="s">
        <v>325</v>
      </c>
      <c r="C508" s="10"/>
      <c r="D508" s="9" t="s">
        <v>389</v>
      </c>
      <c r="E508" s="9" t="s">
        <v>368</v>
      </c>
      <c r="F508" s="10"/>
      <c r="G508" s="10"/>
      <c r="H508" s="10"/>
      <c r="I508" s="9" t="s">
        <v>149</v>
      </c>
      <c r="J508" s="10"/>
      <c r="K508" s="9" t="s">
        <v>145</v>
      </c>
    </row>
    <row r="509" customFormat="false" ht="15" hidden="false" customHeight="false" outlineLevel="0" collapsed="false">
      <c r="A509" s="9" t="s">
        <v>796</v>
      </c>
      <c r="B509" s="9" t="s">
        <v>325</v>
      </c>
      <c r="C509" s="10"/>
      <c r="D509" s="9" t="s">
        <v>484</v>
      </c>
      <c r="E509" s="9" t="s">
        <v>368</v>
      </c>
      <c r="F509" s="10"/>
      <c r="G509" s="10"/>
      <c r="H509" s="10"/>
      <c r="I509" s="9" t="s">
        <v>149</v>
      </c>
      <c r="J509" s="10"/>
      <c r="K509" s="9" t="s">
        <v>145</v>
      </c>
    </row>
    <row r="510" customFormat="false" ht="15" hidden="false" customHeight="false" outlineLevel="0" collapsed="false">
      <c r="A510" s="9" t="s">
        <v>796</v>
      </c>
      <c r="B510" s="9" t="s">
        <v>325</v>
      </c>
      <c r="C510" s="10"/>
      <c r="D510" s="9" t="s">
        <v>390</v>
      </c>
      <c r="E510" s="9" t="s">
        <v>166</v>
      </c>
      <c r="F510" s="10"/>
      <c r="G510" s="10"/>
      <c r="H510" s="10"/>
      <c r="I510" s="9" t="s">
        <v>149</v>
      </c>
      <c r="J510" s="10"/>
      <c r="K510" s="9" t="s">
        <v>145</v>
      </c>
    </row>
    <row r="511" customFormat="false" ht="15" hidden="false" customHeight="false" outlineLevel="0" collapsed="false">
      <c r="A511" s="9" t="s">
        <v>796</v>
      </c>
      <c r="B511" s="9" t="s">
        <v>325</v>
      </c>
      <c r="C511" s="10"/>
      <c r="D511" s="9" t="s">
        <v>391</v>
      </c>
      <c r="E511" s="9" t="s">
        <v>166</v>
      </c>
      <c r="F511" s="10"/>
      <c r="G511" s="10"/>
      <c r="H511" s="10"/>
      <c r="I511" s="9" t="s">
        <v>149</v>
      </c>
      <c r="J511" s="10"/>
      <c r="K511" s="9" t="s">
        <v>145</v>
      </c>
    </row>
    <row r="512" customFormat="false" ht="15" hidden="false" customHeight="false" outlineLevel="0" collapsed="false">
      <c r="A512" s="9" t="s">
        <v>796</v>
      </c>
      <c r="B512" s="9" t="s">
        <v>325</v>
      </c>
      <c r="C512" s="10"/>
      <c r="D512" s="9" t="s">
        <v>392</v>
      </c>
      <c r="E512" s="9" t="s">
        <v>166</v>
      </c>
      <c r="F512" s="10"/>
      <c r="G512" s="10"/>
      <c r="H512" s="10"/>
      <c r="I512" s="9" t="s">
        <v>149</v>
      </c>
      <c r="J512" s="10"/>
      <c r="K512" s="9" t="s">
        <v>145</v>
      </c>
    </row>
    <row r="513" customFormat="false" ht="15" hidden="false" customHeight="false" outlineLevel="0" collapsed="false">
      <c r="A513" s="9" t="s">
        <v>796</v>
      </c>
      <c r="B513" s="9" t="s">
        <v>325</v>
      </c>
      <c r="C513" s="10"/>
      <c r="D513" s="9" t="s">
        <v>393</v>
      </c>
      <c r="E513" s="9" t="s">
        <v>166</v>
      </c>
      <c r="F513" s="10"/>
      <c r="G513" s="10"/>
      <c r="H513" s="10"/>
      <c r="I513" s="9" t="s">
        <v>149</v>
      </c>
      <c r="J513" s="10"/>
      <c r="K513" s="9" t="s">
        <v>145</v>
      </c>
    </row>
    <row r="514" customFormat="false" ht="15" hidden="false" customHeight="false" outlineLevel="0" collapsed="false">
      <c r="A514" s="9" t="s">
        <v>796</v>
      </c>
      <c r="B514" s="9" t="s">
        <v>325</v>
      </c>
      <c r="C514" s="10"/>
      <c r="D514" s="9" t="s">
        <v>394</v>
      </c>
      <c r="E514" s="9" t="s">
        <v>166</v>
      </c>
      <c r="F514" s="10"/>
      <c r="G514" s="10"/>
      <c r="H514" s="10"/>
      <c r="I514" s="9" t="s">
        <v>149</v>
      </c>
      <c r="J514" s="10"/>
      <c r="K514" s="9" t="s">
        <v>145</v>
      </c>
    </row>
    <row r="515" customFormat="false" ht="15" hidden="false" customHeight="false" outlineLevel="0" collapsed="false">
      <c r="A515" s="9" t="s">
        <v>796</v>
      </c>
      <c r="B515" s="9" t="s">
        <v>325</v>
      </c>
      <c r="C515" s="10"/>
      <c r="D515" s="9" t="s">
        <v>395</v>
      </c>
      <c r="E515" s="9" t="s">
        <v>166</v>
      </c>
      <c r="F515" s="10"/>
      <c r="G515" s="10"/>
      <c r="H515" s="10"/>
      <c r="I515" s="9" t="s">
        <v>149</v>
      </c>
      <c r="J515" s="10"/>
      <c r="K515" s="9" t="s">
        <v>145</v>
      </c>
    </row>
    <row r="516" customFormat="false" ht="39.55" hidden="false" customHeight="false" outlineLevel="0" collapsed="false">
      <c r="A516" s="9" t="s">
        <v>796</v>
      </c>
      <c r="B516" s="9" t="s">
        <v>325</v>
      </c>
      <c r="C516" s="10" t="s">
        <v>326</v>
      </c>
      <c r="D516" s="9" t="s">
        <v>327</v>
      </c>
      <c r="E516" s="9" t="s">
        <v>256</v>
      </c>
      <c r="F516" s="10"/>
      <c r="G516" s="10"/>
      <c r="H516" s="10"/>
      <c r="I516" s="10"/>
      <c r="J516" s="10"/>
      <c r="K516" s="9" t="s">
        <v>795</v>
      </c>
    </row>
    <row r="517" customFormat="false" ht="39.55" hidden="false" customHeight="false" outlineLevel="0" collapsed="false">
      <c r="A517" s="9" t="s">
        <v>796</v>
      </c>
      <c r="B517" s="9" t="s">
        <v>325</v>
      </c>
      <c r="C517" s="10" t="s">
        <v>326</v>
      </c>
      <c r="D517" s="9" t="s">
        <v>328</v>
      </c>
      <c r="E517" s="9" t="s">
        <v>256</v>
      </c>
      <c r="F517" s="10"/>
      <c r="G517" s="10"/>
      <c r="H517" s="10"/>
      <c r="I517" s="10"/>
      <c r="J517" s="10"/>
      <c r="K517" s="9" t="s">
        <v>795</v>
      </c>
    </row>
    <row r="518" customFormat="false" ht="39.55" hidden="false" customHeight="false" outlineLevel="0" collapsed="false">
      <c r="A518" s="9" t="s">
        <v>796</v>
      </c>
      <c r="B518" s="9" t="s">
        <v>325</v>
      </c>
      <c r="C518" s="10" t="s">
        <v>329</v>
      </c>
      <c r="D518" s="9" t="s">
        <v>330</v>
      </c>
      <c r="E518" s="9" t="s">
        <v>256</v>
      </c>
      <c r="F518" s="10"/>
      <c r="G518" s="10"/>
      <c r="H518" s="10"/>
      <c r="I518" s="10"/>
      <c r="J518" s="10"/>
      <c r="K518" s="9" t="s">
        <v>795</v>
      </c>
    </row>
    <row r="519" customFormat="false" ht="39.55" hidden="false" customHeight="false" outlineLevel="0" collapsed="false">
      <c r="A519" s="9" t="s">
        <v>796</v>
      </c>
      <c r="B519" s="9" t="s">
        <v>325</v>
      </c>
      <c r="C519" s="10"/>
      <c r="D519" s="9" t="s">
        <v>397</v>
      </c>
      <c r="E519" s="9" t="s">
        <v>256</v>
      </c>
      <c r="F519" s="10"/>
      <c r="G519" s="10"/>
      <c r="H519" s="10"/>
      <c r="I519" s="10"/>
      <c r="J519" s="10"/>
      <c r="K519" s="9" t="s">
        <v>795</v>
      </c>
    </row>
    <row r="520" customFormat="false" ht="39.55" hidden="false" customHeight="false" outlineLevel="0" collapsed="false">
      <c r="A520" s="9" t="s">
        <v>796</v>
      </c>
      <c r="B520" s="9" t="s">
        <v>325</v>
      </c>
      <c r="C520" s="10"/>
      <c r="D520" s="9" t="s">
        <v>398</v>
      </c>
      <c r="E520" s="9" t="s">
        <v>256</v>
      </c>
      <c r="F520" s="10"/>
      <c r="G520" s="10"/>
      <c r="H520" s="10"/>
      <c r="I520" s="10"/>
      <c r="J520" s="10"/>
      <c r="K520" s="9" t="s">
        <v>795</v>
      </c>
    </row>
    <row r="521" customFormat="false" ht="39.55" hidden="false" customHeight="false" outlineLevel="0" collapsed="false">
      <c r="A521" s="9" t="s">
        <v>796</v>
      </c>
      <c r="B521" s="9" t="s">
        <v>325</v>
      </c>
      <c r="C521" s="10"/>
      <c r="D521" s="9" t="s">
        <v>399</v>
      </c>
      <c r="E521" s="9" t="s">
        <v>256</v>
      </c>
      <c r="F521" s="10"/>
      <c r="G521" s="10"/>
      <c r="H521" s="10"/>
      <c r="I521" s="10"/>
      <c r="J521" s="10"/>
      <c r="K521" s="9" t="s">
        <v>795</v>
      </c>
    </row>
    <row r="522" customFormat="false" ht="39.55" hidden="false" customHeight="false" outlineLevel="0" collapsed="false">
      <c r="A522" s="9" t="s">
        <v>796</v>
      </c>
      <c r="B522" s="9" t="s">
        <v>325</v>
      </c>
      <c r="C522" s="10" t="s">
        <v>326</v>
      </c>
      <c r="D522" s="9" t="s">
        <v>327</v>
      </c>
      <c r="E522" s="9" t="s">
        <v>257</v>
      </c>
      <c r="F522" s="10"/>
      <c r="G522" s="10"/>
      <c r="H522" s="10"/>
      <c r="I522" s="10"/>
      <c r="J522" s="10"/>
      <c r="K522" s="9" t="s">
        <v>795</v>
      </c>
    </row>
    <row r="523" customFormat="false" ht="39.55" hidden="false" customHeight="false" outlineLevel="0" collapsed="false">
      <c r="A523" s="9" t="s">
        <v>796</v>
      </c>
      <c r="B523" s="9" t="s">
        <v>325</v>
      </c>
      <c r="C523" s="10" t="s">
        <v>326</v>
      </c>
      <c r="D523" s="9" t="s">
        <v>328</v>
      </c>
      <c r="E523" s="9" t="s">
        <v>257</v>
      </c>
      <c r="F523" s="10"/>
      <c r="G523" s="10"/>
      <c r="H523" s="10"/>
      <c r="I523" s="10"/>
      <c r="J523" s="10"/>
      <c r="K523" s="9" t="s">
        <v>795</v>
      </c>
    </row>
    <row r="524" customFormat="false" ht="39.55" hidden="false" customHeight="false" outlineLevel="0" collapsed="false">
      <c r="A524" s="9" t="s">
        <v>796</v>
      </c>
      <c r="B524" s="9" t="s">
        <v>325</v>
      </c>
      <c r="C524" s="10" t="s">
        <v>329</v>
      </c>
      <c r="D524" s="9" t="s">
        <v>330</v>
      </c>
      <c r="E524" s="9" t="s">
        <v>257</v>
      </c>
      <c r="F524" s="10"/>
      <c r="G524" s="10"/>
      <c r="H524" s="10"/>
      <c r="I524" s="10"/>
      <c r="J524" s="10"/>
      <c r="K524" s="9" t="s">
        <v>795</v>
      </c>
    </row>
    <row r="525" customFormat="false" ht="39.55" hidden="false" customHeight="false" outlineLevel="0" collapsed="false">
      <c r="A525" s="9" t="s">
        <v>796</v>
      </c>
      <c r="B525" s="9" t="s">
        <v>325</v>
      </c>
      <c r="C525" s="10"/>
      <c r="D525" s="9" t="s">
        <v>400</v>
      </c>
      <c r="E525" s="9" t="s">
        <v>257</v>
      </c>
      <c r="F525" s="10"/>
      <c r="G525" s="10"/>
      <c r="H525" s="10"/>
      <c r="I525" s="10"/>
      <c r="J525" s="10"/>
      <c r="K525" s="9" t="s">
        <v>795</v>
      </c>
    </row>
    <row r="526" customFormat="false" ht="39.55" hidden="false" customHeight="false" outlineLevel="0" collapsed="false">
      <c r="A526" s="9" t="s">
        <v>796</v>
      </c>
      <c r="B526" s="9" t="s">
        <v>325</v>
      </c>
      <c r="C526" s="10"/>
      <c r="D526" s="9" t="s">
        <v>401</v>
      </c>
      <c r="E526" s="9" t="s">
        <v>257</v>
      </c>
      <c r="F526" s="10"/>
      <c r="G526" s="10"/>
      <c r="H526" s="10"/>
      <c r="I526" s="10"/>
      <c r="J526" s="10"/>
      <c r="K526" s="9" t="s">
        <v>795</v>
      </c>
    </row>
    <row r="527" customFormat="false" ht="39.55" hidden="false" customHeight="false" outlineLevel="0" collapsed="false">
      <c r="A527" s="9" t="s">
        <v>796</v>
      </c>
      <c r="B527" s="9" t="s">
        <v>325</v>
      </c>
      <c r="C527" s="10"/>
      <c r="D527" s="9" t="s">
        <v>402</v>
      </c>
      <c r="E527" s="9" t="s">
        <v>257</v>
      </c>
      <c r="F527" s="10"/>
      <c r="G527" s="10"/>
      <c r="H527" s="10"/>
      <c r="I527" s="10"/>
      <c r="J527" s="10"/>
      <c r="K527" s="9" t="s">
        <v>795</v>
      </c>
    </row>
    <row r="528" customFormat="false" ht="39.55" hidden="false" customHeight="false" outlineLevel="0" collapsed="false">
      <c r="A528" s="9" t="s">
        <v>796</v>
      </c>
      <c r="B528" s="9" t="s">
        <v>325</v>
      </c>
      <c r="C528" s="10" t="s">
        <v>326</v>
      </c>
      <c r="D528" s="9" t="s">
        <v>327</v>
      </c>
      <c r="E528" s="9" t="s">
        <v>403</v>
      </c>
      <c r="F528" s="10"/>
      <c r="G528" s="10"/>
      <c r="H528" s="10"/>
      <c r="I528" s="10"/>
      <c r="J528" s="10"/>
      <c r="K528" s="9" t="s">
        <v>795</v>
      </c>
    </row>
    <row r="529" customFormat="false" ht="39.55" hidden="false" customHeight="false" outlineLevel="0" collapsed="false">
      <c r="A529" s="9" t="s">
        <v>796</v>
      </c>
      <c r="B529" s="9" t="s">
        <v>325</v>
      </c>
      <c r="C529" s="10" t="s">
        <v>326</v>
      </c>
      <c r="D529" s="9" t="s">
        <v>328</v>
      </c>
      <c r="E529" s="9" t="s">
        <v>403</v>
      </c>
      <c r="F529" s="10"/>
      <c r="G529" s="10"/>
      <c r="H529" s="10"/>
      <c r="I529" s="10"/>
      <c r="J529" s="10"/>
      <c r="K529" s="9" t="s">
        <v>795</v>
      </c>
    </row>
    <row r="530" customFormat="false" ht="39.55" hidden="false" customHeight="false" outlineLevel="0" collapsed="false">
      <c r="A530" s="9" t="s">
        <v>796</v>
      </c>
      <c r="B530" s="9" t="s">
        <v>325</v>
      </c>
      <c r="C530" s="10" t="s">
        <v>329</v>
      </c>
      <c r="D530" s="9" t="s">
        <v>330</v>
      </c>
      <c r="E530" s="9" t="s">
        <v>403</v>
      </c>
      <c r="F530" s="10"/>
      <c r="G530" s="10"/>
      <c r="H530" s="10"/>
      <c r="I530" s="10"/>
      <c r="J530" s="10"/>
      <c r="K530" s="9" t="s">
        <v>795</v>
      </c>
    </row>
    <row r="531" customFormat="false" ht="39.55" hidden="false" customHeight="false" outlineLevel="0" collapsed="false">
      <c r="A531" s="9" t="s">
        <v>796</v>
      </c>
      <c r="B531" s="9" t="s">
        <v>325</v>
      </c>
      <c r="C531" s="10"/>
      <c r="D531" s="9" t="s">
        <v>404</v>
      </c>
      <c r="E531" s="9" t="s">
        <v>403</v>
      </c>
      <c r="F531" s="10"/>
      <c r="G531" s="10"/>
      <c r="H531" s="10"/>
      <c r="I531" s="10"/>
      <c r="J531" s="10"/>
      <c r="K531" s="9" t="s">
        <v>795</v>
      </c>
    </row>
    <row r="532" customFormat="false" ht="39.55" hidden="false" customHeight="false" outlineLevel="0" collapsed="false">
      <c r="A532" s="9" t="s">
        <v>796</v>
      </c>
      <c r="B532" s="9" t="s">
        <v>325</v>
      </c>
      <c r="C532" s="10"/>
      <c r="D532" s="9" t="s">
        <v>405</v>
      </c>
      <c r="E532" s="9" t="s">
        <v>403</v>
      </c>
      <c r="F532" s="10"/>
      <c r="G532" s="10"/>
      <c r="H532" s="10"/>
      <c r="I532" s="10"/>
      <c r="J532" s="10"/>
      <c r="K532" s="9" t="s">
        <v>795</v>
      </c>
    </row>
    <row r="533" customFormat="false" ht="39.55" hidden="false" customHeight="false" outlineLevel="0" collapsed="false">
      <c r="A533" s="9" t="s">
        <v>796</v>
      </c>
      <c r="B533" s="9" t="s">
        <v>325</v>
      </c>
      <c r="C533" s="10"/>
      <c r="D533" s="9" t="s">
        <v>406</v>
      </c>
      <c r="E533" s="9" t="s">
        <v>403</v>
      </c>
      <c r="F533" s="10"/>
      <c r="G533" s="10"/>
      <c r="H533" s="10"/>
      <c r="I533" s="10"/>
      <c r="J533" s="10"/>
      <c r="K533" s="9" t="s">
        <v>795</v>
      </c>
    </row>
  </sheetData>
  <autoFilter ref="A1:K533"/>
  <hyperlinks>
    <hyperlink ref="J42" r:id="rId1" display="https://www.nhush.tp.edu.tw/wp-content/uploads/doc/nhush602/109年度第2學期高一化學.pdf"/>
    <hyperlink ref="J43" r:id="rId2" display="https://www.nhush.tp.edu.tw/wp-content/uploads/doc/nhush602/109年度第2學期高一化學.pdf"/>
    <hyperlink ref="J44" r:id="rId3" display="https://www.nhush.tp.edu.tw/wp-content/uploads/doc/nhush602/109年度第2學期高一化學.pdf"/>
    <hyperlink ref="J45" r:id="rId4" display="https://www.nhush.tp.edu.tw/wp-content/uploads/doc/nhush602/109年度第2學期高一化學.pdf"/>
    <hyperlink ref="J46" r:id="rId5" display="https://www.hs.ntnu.edu.tw/static/webroot/G162269151451663/application/NW167904652851841.pdf"/>
    <hyperlink ref="J47" r:id="rId6" display="https://www.hs.ntnu.edu.tw/static/webroot/G162269151451663/application/NW167904652851841.pdf"/>
    <hyperlink ref="J96" r:id="rId7" display="https://www.sanmin.com.tw/product/index/013368794"/>
    <hyperlink ref="J97" r:id="rId8" display="https://www.sanmin.com.tw/product/index/013368794"/>
    <hyperlink ref="J98" r:id="rId9" display="https://www.sanmin.com.tw/product/index/013368794"/>
    <hyperlink ref="J99" r:id="rId10" display="https://www.sanmin.com.tw/product/index/007588879"/>
    <hyperlink ref="J100" r:id="rId11" display="https://www.sanmin.com.tw/product/index/007588879"/>
    <hyperlink ref="J101" r:id="rId12" display="https://www.sanmin.com.tw/product/index/007588879"/>
    <hyperlink ref="J102" r:id="rId13" display="https://www.sanmin.com.tw/product/index/007588879"/>
    <hyperlink ref="J103" r:id="rId14" display="https://www.sanmin.com.tw/product/index/007588879"/>
    <hyperlink ref="J104" r:id="rId15" display="https://www.sanmin.com.tw/product/index/007762030"/>
    <hyperlink ref="J105" r:id="rId16" display="https://www.sanmin.com.tw/product/index/007762030"/>
    <hyperlink ref="J106" r:id="rId17" display="https://www.sanmin.com.tw/product/index/007762030"/>
    <hyperlink ref="J107" r:id="rId18" display="https://www.sanmin.com.tw/product/index/007761890"/>
    <hyperlink ref="J108" r:id="rId19" display="https://www.sanmin.com.tw/product/index/007761890"/>
    <hyperlink ref="J109" r:id="rId20" display="https://www.sanmin.com.tw/product/index/007761890"/>
    <hyperlink ref="J110" r:id="rId21" display="https://www.sanmin.com.tw/product/index/008521408"/>
    <hyperlink ref="J111" r:id="rId22" display="https://www.sanmin.com.tw/product/index/008521408"/>
    <hyperlink ref="J112" r:id="rId23" display="https://www.sanmin.com.tw/product/index/008521408"/>
    <hyperlink ref="J113" r:id="rId24" display="https://www.sanmin.com.tw/product/index/008521408"/>
    <hyperlink ref="J114" r:id="rId25" display="https://www.sanmin.com.tw/product/index/010193633"/>
    <hyperlink ref="J115" r:id="rId26" display="https://www.sanmin.com.tw/product/index/010193633"/>
    <hyperlink ref="J116" r:id="rId27" display="https://www.sanmin.com.tw/product/index/010193633"/>
    <hyperlink ref="J117" r:id="rId28" display="https://www.sanmin.com.tw/product/index/009636572"/>
    <hyperlink ref="J118" r:id="rId29" display="https://www.sanmin.com.tw/product/index/009636572"/>
    <hyperlink ref="J119" r:id="rId30" display="https://www.sanmin.com.tw/product/index/009636572"/>
    <hyperlink ref="J121" r:id="rId31" display="https://www.sanmin.com.tw/product/index/010611856"/>
    <hyperlink ref="J122" r:id="rId32" display="https://www.sanmin.com.tw/product/index/010611856"/>
    <hyperlink ref="J123" r:id="rId33" display="https://www.sanmin.com.tw/product/index/010611856"/>
    <hyperlink ref="J124" r:id="rId34" display="https://www.sanmin.com.tw/product/index/010194614"/>
    <hyperlink ref="J125" r:id="rId35" display="https://www.sanmin.com.tw/product/index/010194614"/>
    <hyperlink ref="J126" r:id="rId36" display="https://www.sanmin.com.tw/product/index/010194614"/>
    <hyperlink ref="J189" r:id="rId37" display="https://www.ltedu.com.tw/web/prodDetail.aspx?ID=9723"/>
    <hyperlink ref="J190" r:id="rId38" display="https://www.ltedu.com.tw/web/prodDetail.aspx?ID=9723"/>
    <hyperlink ref="J191" r:id="rId39" display="https://www.ltedu.com.tw/web/prodDetail.aspx?ID=9723"/>
    <hyperlink ref="J192" r:id="rId40" display="https://www.ltedu.com.tw/web/prodDetail.aspx?ID=9723"/>
    <hyperlink ref="J193" r:id="rId41" display="https://www.ltedu.com.tw/web/prodDetail.aspx?ID=9723"/>
    <hyperlink ref="J194" r:id="rId42" display="https://www.ltedu.com.tw/web/prodDetail.aspx?ID=9723"/>
    <hyperlink ref="J195" r:id="rId43" display="https://www.ltedu.com.tw/web/prodDetail.aspx?ID=9723"/>
    <hyperlink ref="J196" r:id="rId44" display="https://www.ltedu.com.tw/web/prodDetail.aspx?ID=9723"/>
    <hyperlink ref="J197" r:id="rId45" display="https://www.ltedu.com.tw/web/prodDetail.aspx?ID=9723"/>
    <hyperlink ref="J198" r:id="rId46" display="https://www.ltedu.com.tw/web/prodDetail.aspx?ID=9723"/>
    <hyperlink ref="J199" r:id="rId47" display="https://www.ltedu.com.tw/web/prodDetail.aspx?ID=9723"/>
    <hyperlink ref="J200" r:id="rId48" display="https://senior.wagor.tc.edu.tw/sites/default/files/edu12/21092/FILE_114 學年度課程學習成果內容說明(普一下_黃俊賢).docx"/>
    <hyperlink ref="J201" r:id="rId49" display="https://senior.wagor.tc.edu.tw/sites/default/files/edu12/21092/FILE_114 學年度課程學習成果內容說明(普一下_黃俊賢).docx"/>
    <hyperlink ref="J202" r:id="rId50" display="https://senior.wagor.tc.edu.tw/sites/default/files/edu12/21092/FILE_114 學年度課程學習成果內容說明(普一下_黃俊賢).docx"/>
    <hyperlink ref="J203" r:id="rId51" display="https://senior.wagor.tc.edu.tw/sites/default/files/edu12/21092/FILE_114 學年度課程學習成果內容說明(普一下_黃俊賢).docx"/>
    <hyperlink ref="J204" r:id="rId52" display="https://senior.wagor.tc.edu.tw/sites/default/files/edu12/21092/FILE_114 學年度課程學習成果內容說明(普一下_黃俊賢).docx"/>
    <hyperlink ref="J205" r:id="rId53" display="https://senior.wagor.tc.edu.tw/sites/default/files/edu12/21092/FILE_114 學年度課程學習成果內容說明(普一下_黃俊賢).docx"/>
    <hyperlink ref="J206" r:id="rId54" display="https://senior.wagor.tc.edu.tw/sites/default/files/edu12/21092/FILE_114 學年度課程學習成果內容說明(普一下_黃俊賢).docx"/>
    <hyperlink ref="J207" r:id="rId55" display="https://senior.wagor.tc.edu.tw/sites/default/files/edu12/21092/FILE_114 學年度課程學習成果內容說明(普一下_黃俊賢).docx"/>
    <hyperlink ref="J208" r:id="rId56" display="https://senior.wagor.tc.edu.tw/sites/default/files/edu12/21092/FILE_114 學年度課程學習成果內容說明(普一下_黃俊賢).docx"/>
    <hyperlink ref="J209" r:id="rId57" display="https://senior.wagor.tc.edu.tw/sites/default/files/edu12/21092/FILE_114 學年度課程學習成果內容說明(普一下_黃俊賢).docx"/>
    <hyperlink ref="J210" r:id="rId58" display="https://senior.wagor.tc.edu.tw/sites/default/files/edu12/21092/FILE_114 學年度課程學習成果內容說明(普一下_黃俊賢).docx"/>
    <hyperlink ref="J211" r:id="rId59" display="https://senior.wagor.tc.edu.tw/sites/default/files/edu12/21092/FILE_114 學年度課程學習成果內容說明(普一下_黃俊賢).docx"/>
    <hyperlink ref="J212" r:id="rId60" display="https://www.ltedu.com.tw/web/prodDetail.aspx?ID=9994"/>
    <hyperlink ref="J213" r:id="rId61" display="https://www.ltedu.com.tw/web/prodDetail.aspx?ID=9994"/>
    <hyperlink ref="J214" r:id="rId62" display="https://www.ltedu.com.tw/web/prodDetail.aspx?ID=9994"/>
    <hyperlink ref="J215" r:id="rId63" display="https://www.ltedu.com.tw/web/prodDetail.aspx?ID=9994"/>
    <hyperlink ref="J216" r:id="rId64" display="https://www.ltedu.com.tw/web/prodDetail.aspx?ID=9994"/>
    <hyperlink ref="J217" r:id="rId65" display="https://www.ltedu.com.tw/web/prodDetail.aspx?ID=9994"/>
    <hyperlink ref="J218" r:id="rId66" display="https://www.ltedu.com.tw/web/prodDetail.aspx?ID=9994"/>
    <hyperlink ref="J219" r:id="rId67" display="https://www.ltedu.com.tw/web/prodDetail.aspx?ID=9994"/>
    <hyperlink ref="J220" r:id="rId68" display="https://www.ltedu.com.tw/web/prodDetail.aspx?ID=9994"/>
    <hyperlink ref="J221" r:id="rId69" display="https://www.ltedu.com.tw/web/prodDetail.aspx?ID=9994"/>
    <hyperlink ref="J222" r:id="rId70" display="https://www.ltedu.com.tw/web/prodDetail.aspx?ID=9972"/>
    <hyperlink ref="J223" r:id="rId71" display="https://www.ltedu.com.tw/web/prodDetail.aspx?ID=9972"/>
    <hyperlink ref="J224" r:id="rId72" display="https://www.ltedu.com.tw/web/prodDetail.aspx?ID=9972"/>
    <hyperlink ref="J225" r:id="rId73" display="https://www.ltedu.com.tw/web/prodDetail.aspx?ID=9972"/>
    <hyperlink ref="J226" r:id="rId74" display="https://www.ltedu.com.tw/web/prodDetail.aspx?ID=9972"/>
    <hyperlink ref="J227" r:id="rId75" display="https://www.ltedu.com.tw/web/prodDetail.aspx?ID=9972"/>
    <hyperlink ref="J228" r:id="rId76" display="https://www.ltedu.com.tw/web/prodDetail.aspx?ID=9972"/>
    <hyperlink ref="J229" r:id="rId77" display="https://www.ltedu.com.tw/web/prodDetail.aspx?ID=10111"/>
    <hyperlink ref="J230" r:id="rId78" display="https://www.ltedu.com.tw/web/prodDetail.aspx?ID=10111"/>
    <hyperlink ref="J231" r:id="rId79" display="https://www.ltedu.com.tw/web/prodDetail.aspx?ID=10111"/>
    <hyperlink ref="J232" r:id="rId80" display="https://www.ltedu.com.tw/web/prodDetail.aspx?ID=10111"/>
    <hyperlink ref="J233" r:id="rId81" display="https://www.ltedu.com.tw/web/prodDetail.aspx?ID=10111"/>
    <hyperlink ref="J234" r:id="rId82" display="https://www.ltedu.com.tw/web/prodDetail.aspx?ID=10111"/>
    <hyperlink ref="J235" r:id="rId83" display="https://www.ltedu.com.tw/web/prodDetail.aspx?ID=10111"/>
    <hyperlink ref="J236" r:id="rId84" display="https://www.ltedu.com.tw/web/prodDetail.aspx?ID=10111"/>
    <hyperlink ref="J237" r:id="rId85" display="https://www.ltedu.com.tw/web/prodDetail.aspx?ID=10111"/>
    <hyperlink ref="J238" r:id="rId86" display="https://www.ltedu.com.tw/web/prodDetail.aspx?ID=10111"/>
    <hyperlink ref="J239" r:id="rId87" display="https://www.ltedu.com.tw/web/prodDetail.aspx?ID=10102"/>
    <hyperlink ref="J240" r:id="rId88" display="https://www.ltedu.com.tw/web/prodDetail.aspx?ID=10102"/>
    <hyperlink ref="J241" r:id="rId89" display="https://www.ltedu.com.tw/web/prodDetail.aspx?ID=10102"/>
    <hyperlink ref="J242" r:id="rId90" display="https://www.ltedu.com.tw/web/prodDetail.aspx?ID=10166"/>
    <hyperlink ref="J243" r:id="rId91" display="https://www.ltedu.com.tw/web/prodDetail.aspx?ID=10166"/>
    <hyperlink ref="J244" r:id="rId92" display="https://www.ltedu.com.tw/web/prodDetail.aspx?ID=10166"/>
    <hyperlink ref="J245" r:id="rId93" display="https://www.ltedu.com.tw/web/prodDetail.aspx?ID=10166"/>
    <hyperlink ref="J246" r:id="rId94" display="https://www.ltedu.com.tw/web/prodDetail.aspx?ID=10166"/>
    <hyperlink ref="J247" r:id="rId95" display="https://www.ltedu.com.tw/web/prodDetail.aspx?ID=10300"/>
    <hyperlink ref="J248" r:id="rId96" display="https://www.ltedu.com.tw/web/prodDetail.aspx?ID=10300"/>
    <hyperlink ref="J249" r:id="rId97" display="https://www.ltedu.com.tw/web/prodDetail.aspx?ID=10300"/>
    <hyperlink ref="J250" r:id="rId98" display="https://www.ltedu.com.tw/web/prodDetail.aspx?ID=10300"/>
    <hyperlink ref="J251" r:id="rId99" display="https://www.ltedu.com.tw/web/prodDetail.aspx?ID=10300"/>
    <hyperlink ref="J252" r:id="rId100" display="https://www.ltedu.com.tw/web/prodDetail.aspx?ID=10300"/>
    <hyperlink ref="J253" r:id="rId101" display="https://www.ltedu.com.tw/web/prodDetail.aspx?ID=10402"/>
    <hyperlink ref="J254" r:id="rId102" display="https://www.ltedu.com.tw/web/prodDetail.aspx?ID=10402"/>
    <hyperlink ref="J255" r:id="rId103" display="https://www.ltedu.com.tw/web/prodDetail.aspx?ID=10402"/>
    <hyperlink ref="J256" r:id="rId104" display="https://www.ltedu.com.tw/web/prodDetail.aspx?ID=10402"/>
    <hyperlink ref="J257" r:id="rId105" display="https://www.ltedu.com.tw/web/prodDetail.aspx?ID=10402"/>
    <hyperlink ref="J258" r:id="rId106" display="https://www.ltedu.com.tw/web/prodDetail.aspx?ID=10298"/>
    <hyperlink ref="J259" r:id="rId107" display="https://www.ltedu.com.tw/web/prodDetail.aspx?ID=10298"/>
    <hyperlink ref="J260" r:id="rId108" display="https://www.ltedu.com.tw/web/prodDetail.aspx?ID=10298"/>
    <hyperlink ref="J261" r:id="rId109" display="https://www.ltedu.com.tw/web/prodDetail.aspx?ID=10298"/>
    <hyperlink ref="J262" r:id="rId110" display="https://www.ltedu.com.tw/web/prodDetail.aspx?ID=10298"/>
    <hyperlink ref="J263" r:id="rId111" display="https://www.ltedu.com.tw/web/prodDetail.aspx?ID=10298"/>
    <hyperlink ref="J264" r:id="rId112" display="https://www.ltedu.com.tw/web/prodDetail.aspx?ID=10403"/>
    <hyperlink ref="J265" r:id="rId113" display="https://www.ltedu.com.tw/web/prodDetail.aspx?ID=10403"/>
    <hyperlink ref="J266" r:id="rId114" display="https://www.ltedu.com.tw/web/prodDetail.aspx?ID=10403"/>
    <hyperlink ref="J267" r:id="rId115" display="https://www.ltedu.com.tw/web/prodDetail.aspx?ID=10403"/>
    <hyperlink ref="J268" r:id="rId116" display="https://www.ltedu.com.tw/web/prodDetail.aspx?ID=10403"/>
    <hyperlink ref="J269" r:id="rId117" display="https://www.ltedu.com.tw/web/prodDetail.aspx?ID=10403"/>
    <hyperlink ref="J270" r:id="rId118" display="https://www.ltedu.com.tw/web/prodDetail.aspx?ID=10403"/>
    <hyperlink ref="J271" r:id="rId119" display="https://www.ltedu.com.tw/web/prodDetail.aspx?ID=9724"/>
    <hyperlink ref="J272" r:id="rId120" display="https://www.ltedu.com.tw/web/prodDetail.aspx?ID=9724"/>
    <hyperlink ref="J273" r:id="rId121" display="https://www.ltedu.com.tw/web/prodDetail.aspx?ID=9724"/>
    <hyperlink ref="J274" r:id="rId122" display="https://www.ltedu.com.tw/web/prodDetail.aspx?ID=10308"/>
    <hyperlink ref="J275" r:id="rId123" display="https://www.ltedu.com.tw/web/prodDetail.aspx?ID=10308"/>
    <hyperlink ref="J276" r:id="rId124" display="https://www.ltedu.com.tw/web/prodDetail.aspx?ID=10308"/>
    <hyperlink ref="J278" r:id="rId125" display="https://www.ltedu.com.tw/web/prodDetail.aspx?ID=10118"/>
    <hyperlink ref="J279" r:id="rId126" display="https://www.ltedu.com.tw/web/prodDetail.aspx?ID=9984"/>
    <hyperlink ref="J280" r:id="rId127" display="https://www.ltedu.com.tw/web/prodDetail.aspx?ID=9984"/>
    <hyperlink ref="J281" r:id="rId128" display="https://www.ltedu.com.tw/web/prodDetail.aspx?ID=9984"/>
    <hyperlink ref="J282" r:id="rId129" display="https://www.ltedu.com.tw/web/prodDetail.aspx?ID=9990"/>
    <hyperlink ref="J283" r:id="rId130" display="https://www.ltedu.com.tw/web/prodDetail.aspx?ID=9990"/>
    <hyperlink ref="J284" r:id="rId131" display="https://www.ltedu.com.tw/web/prodDetail.aspx?ID=9990"/>
    <hyperlink ref="J285" r:id="rId132" display="https://www.ltedu.com.tw/web/prodDetail.aspx?ID=9990"/>
    <hyperlink ref="J286" r:id="rId133" display="https://oldcsjh.kl.edu.tw/docs/file/421/112_1_%E9%AB%98%E4%BA%8C%E9%81%B8%E4%BF%AE%E7%89%A9%E7%90%86%E6%95%99%E5%AD%B8%E8%A8%88%E7%95%AB.docx"/>
    <hyperlink ref="J287" r:id="rId134" display="https://oldcsjh.kl.edu.tw/docs/file/421/112_1_%E9%AB%98%E4%BA%8C%E9%81%B8%E4%BF%AE%E7%89%A9%E7%90%86%E6%95%99%E5%AD%B8%E8%A8%88%E7%95%AB.docx"/>
    <hyperlink ref="J288" r:id="rId135" display="https://oldcsjh.kl.edu.tw/docs/file/421/112_1_%E9%AB%98%E4%BA%8C%E9%81%B8%E4%BF%AE%E7%89%A9%E7%90%86%E6%95%99%E5%AD%B8%E8%A8%88%E7%95%AB.docx"/>
    <hyperlink ref="J289" r:id="rId136" display="https://oldcsjh.kl.edu.tw/docs/file/421/112_1_%E9%AB%98%E4%BA%8C%E9%81%B8%E4%BF%AE%E7%89%A9%E7%90%86%E6%95%99%E5%AD%B8%E8%A8%88%E7%95%AB.docx"/>
    <hyperlink ref="J290" r:id="rId137" display="https://oldcsjh.kl.edu.tw/docs/file/421/112_1_%E9%AB%98%E4%BA%8C%E9%81%B8%E4%BF%AE%E7%89%A9%E7%90%86%E6%95%99%E5%AD%B8%E8%A8%88%E7%95%AB.docx"/>
    <hyperlink ref="J291" r:id="rId138" display="https://oldcsjh.kl.edu.tw/docs/file/421/112_1_%E9%AB%98%E4%BA%8C%E9%81%B8%E4%BF%AE%E7%89%A9%E7%90%86%E6%95%99%E5%AD%B8%E8%A8%88%E7%95%AB.docx"/>
    <hyperlink ref="J292" r:id="rId139" display="https://www.hs.ntnu.edu.tw/static/webroot/G162269151451663/application/NW172662319529837.pdf"/>
    <hyperlink ref="J293" r:id="rId140" display="https://schoolday.dcsh.tp.edu.tw/sites/schoolday/files/teach_plan/113-1/%E5%BB%96%E5%AE%87%E6%96%B0-%E5%8A%9B%E5%AD%B8%E4%B8%80-206%2C%20209.docx"/>
    <hyperlink ref="J294" r:id="rId141" display="https://schoolday.dcsh.tp.edu.tw/sites/schoolday/files/teach_plan/110-2/h271-%E7%89%A9%E7%90%86-306.docx"/>
    <hyperlink ref="J295" r:id="rId142" display="https://schoolday.dcsh.tp.edu.tw/sites/schoolday/files/teach_plan/110-2/h271-%E7%89%A9%E7%90%86-306.docx"/>
    <hyperlink ref="J296" r:id="rId143" display="https://schoolday.dcsh.tp.edu.tw/sites/schoolday/files/teach_plan/110-2/h271-%E7%89%A9%E7%90%86-306.docx"/>
    <hyperlink ref="J297" r:id="rId144" display="https://schoolday.dcsh.tp.edu.tw/sites/schoolday/files/teach_plan/110-2/h271-%E7%89%A9%E7%90%86-306.docx"/>
    <hyperlink ref="J298" r:id="rId145" display="https://schoolday.dcsh.tp.edu.tw/sites/schoolday/files/teach_plan/113-1/%E9%BB%83%E4%BF%A1%E9%9B%84-%E7%89%A9%E7%90%86-310.docx"/>
    <hyperlink ref="J301" r:id="rId146" display="https://www.hs.ntnu.edu.tw/static/webroot/G162269151451663/application/NW172662311667323.pdf"/>
    <hyperlink ref="J302" r:id="rId147" display="https://www.hs.ntnu.edu.tw/static/webroot/G162269151451663/application/NW172662311667323.pdf"/>
    <hyperlink ref="J310" r:id="rId148" display="https://www.hs.ntnu.edu.tw/static/webroot/G162269151451663/application/NW175876360256029.pdf"/>
    <hyperlink ref="J311" r:id="rId149" display="https://www.hs.ntnu.edu.tw/static/webroot/G162269151451663/application/NW175876360256029.pdf"/>
    <hyperlink ref="J312" r:id="rId150" display="https://oldcsjh.kl.edu.tw/docs/file/451/113_1_%E9%AB%98%E4%B8%80%E5%9C%B0%E7%90%83%E7%A7%91%E5%AD%B8%E6%95%99%E5%AD%B8%E8%A8%88%E7%95%AB.docx"/>
    <hyperlink ref="J318" r:id="rId151" display="https://www.ltedu.com.tw/web/prodDetail.aspx?ID=9753"/>
    <hyperlink ref="J319" r:id="rId152" display="https://www.ltedu.com.tw/web/prodDetail.aspx?ID=9753"/>
    <hyperlink ref="J320" r:id="rId153" display="https://www.ltedu.com.tw/web/prodDetail.aspx?ID=9753"/>
    <hyperlink ref="J321" r:id="rId154" display="https://www.ltedu.com.tw/web/prodDetail.aspx?ID=9753"/>
    <hyperlink ref="J322" r:id="rId155" display="https://www.ltedu.com.tw/web/prodDetail.aspx?ID=9753"/>
    <hyperlink ref="J323" r:id="rId156" display="https://www.ltedu.com.tw/web/prodDetail.aspx?ID=9753"/>
    <hyperlink ref="J324" r:id="rId157" display="https://www.ltedu.com.tw/web/prodDetail.aspx?ID=9753"/>
    <hyperlink ref="J325" r:id="rId158" display="https://ltedu.com.tw/web/prodDetail.aspx?1=&amp;ID=9861"/>
    <hyperlink ref="J326" r:id="rId159" display="https://ltedu.com.tw/web/prodDetail.aspx?1=&amp;ID=9861"/>
    <hyperlink ref="J327" r:id="rId160" display="https://ltedu.com.tw/web/prodDetail.aspx?1=&amp;ID=9861"/>
    <hyperlink ref="J328" r:id="rId161" display="https://ltedu.com.tw/web/prodDetail.aspx?1=&amp;ID=9861"/>
    <hyperlink ref="J329" r:id="rId162" display="https://ltedu.com.tw/web/prodDetail.aspx?1=&amp;ID=9861"/>
    <hyperlink ref="J330" r:id="rId163" display="https://ltedu.com.tw/web/prodDetail.aspx?1=&amp;ID=9861"/>
    <hyperlink ref="J331" r:id="rId164" display="https://www.ltedu.com.tw/web/prodDetail.aspx?ID=10020"/>
    <hyperlink ref="J332" r:id="rId165" display="https://www.ltedu.com.tw/web/prodDetail.aspx?ID=10020"/>
    <hyperlink ref="J333" r:id="rId166" display="https://www.ltedu.com.tw/web/prodDetail.aspx?ID=10020"/>
    <hyperlink ref="J334" r:id="rId167" display="https://www.ltedu.com.tw/web/prodDetail.aspx?ID=10020"/>
    <hyperlink ref="J335" r:id="rId168" display="https://www.ltedu.com.tw/web/prodDetail.aspx?ID=10020"/>
    <hyperlink ref="J336" r:id="rId169" display="https://www.ltedu.com.tw/web/prodDetail.aspx?ID=10020"/>
    <hyperlink ref="J337" r:id="rId170" display="https://www.ltedu.com.tw/web/prodDetail.aspx?ID=10022"/>
    <hyperlink ref="J338" r:id="rId171" display="https://www.ltedu.com.tw/web/prodDetail.aspx?ID=10022"/>
    <hyperlink ref="J339" r:id="rId172" display="https://www.ltedu.com.tw/web/prodDetail.aspx?ID=10022"/>
    <hyperlink ref="J340" r:id="rId173" display="https://www.ltedu.com.tw/web/prodDetail.aspx?ID=10022"/>
    <hyperlink ref="J341" r:id="rId174" display="https://www.ltedu.com.tw/web/prodDetail.aspx?ID=10317"/>
    <hyperlink ref="J342" r:id="rId175" display="https://www.ltedu.com.tw/web/prodDetail.aspx?ID=10317"/>
    <hyperlink ref="J343" r:id="rId176" display="https://www.ltedu.com.tw/web/prodDetail.aspx?ID=10317"/>
    <hyperlink ref="J344" r:id="rId177" display="https://www.ltedu.com.tw/web/prodDetail.aspx?ID=10317"/>
    <hyperlink ref="J345" r:id="rId178" display="https://www.ltedu.com.tw/web/prodDetail.aspx?ID=10317"/>
    <hyperlink ref="J346" r:id="rId179" display="https://www.ltedu.com.tw/web/prodDetail.aspx?ID=10317"/>
    <hyperlink ref="J347" r:id="rId180" display="https://www.ltedu.com.tw/Web/mobile2/prodlist2.aspx?ID=10552&amp;SourceType=Subject&amp;SbjSubjectDesc=%E6%AD%B7%E5%8F%B2"/>
    <hyperlink ref="J348" r:id="rId181" display="https://www.ltedu.com.tw/Web/mobile2/prodlist2.aspx?ID=10552&amp;SourceType=Subject&amp;SbjSubjectDesc=%E6%AD%B7%E5%8F%B2"/>
    <hyperlink ref="J349" r:id="rId182" display="https://www.ltedu.com.tw/Web/mobile2/prodlist2.aspx?ID=10552&amp;SourceType=Subject&amp;SbjSubjectDesc=%E6%AD%B7%E5%8F%B2"/>
    <hyperlink ref="J350" r:id="rId183" display="https://www.ltedu.com.tw/Web/mobile2/prodlist2.aspx?ID=10552&amp;SourceType=Subject&amp;SbjSubjectDesc=%E6%AD%B7%E5%8F%B2"/>
    <hyperlink ref="J351" r:id="rId184" display="https://www.ltedu.com.tw/Web/mobile2/prodlist2.aspx?ID=10552&amp;SourceType=Subject&amp;SbjSubjectDesc=%E6%AD%B7%E5%8F%B2"/>
    <hyperlink ref="J352" r:id="rId185" display="https://www.ltedu.com.tw/Web/mobile2/prodlist2.aspx?ID=10552&amp;SourceType=Subject&amp;SbjSubjectDesc=%E6%AD%B7%E5%8F%B2"/>
    <hyperlink ref="J353" r:id="rId186" display="https://www.ltedu.com.tw/web/prodDetail.aspx?ID=10431"/>
    <hyperlink ref="J354" r:id="rId187" display="https://www.ltedu.com.tw/web/prodDetail.aspx?ID=10431"/>
    <hyperlink ref="J355" r:id="rId188" display="https://www.ltedu.com.tw/web/prodDetail.aspx?ID=10431"/>
    <hyperlink ref="J356" r:id="rId189" display="https://www.ltedu.com.tw/web/prodDetail.aspx?ID=10431"/>
    <hyperlink ref="J357" r:id="rId190" display="https://www.ltedu.com.tw/web/prodDetail.aspx?ID=10431"/>
    <hyperlink ref="J362" r:id="rId191" display="https://www.ltedu.com.tw/Web/prodDetail.aspx?ID=10322"/>
    <hyperlink ref="J363" r:id="rId192" display="https://www.ltedu.com.tw/web/prodDetail.aspx?ID=10349"/>
    <hyperlink ref="J364" r:id="rId193" display="https://www.ltedu.com.tw/web/prodDetail.aspx?ID=10349"/>
    <hyperlink ref="J365" r:id="rId194" display="https://www.ltedu.com.tw/web/prodDetail.aspx?ID=10349"/>
    <hyperlink ref="J366" r:id="rId195" display="https://www.ltedu.com.tw/web/prodDetail.aspx?ID=10349"/>
    <hyperlink ref="J367" r:id="rId196" display="https://www.ltedu.com.tw/web/prodDetail.aspx?ID=10349"/>
    <hyperlink ref="J368" r:id="rId197" display="https://www.ltedu.com.tw/web/prodDetail.aspx?ID=10349"/>
    <hyperlink ref="J369" r:id="rId198" display="https://www.ltedu.com.tw/web/prodDetail.aspx?ID=10349"/>
    <hyperlink ref="J370" r:id="rId199" display="https://www.ltedu.com.tw/Web/mobile2/prodlist2.aspx?ID=10390&amp;SourceType=Subject&amp;SbjSubjectDesc=%E5%85%AC%E6%B0%91%E8%88%87%E7%A4%BE%E6%9C%83"/>
    <hyperlink ref="J371" r:id="rId200" display="https://www.ltedu.com.tw/Web/mobile2/prodlist2.aspx?ID=10390&amp;SourceType=Subject&amp;SbjSubjectDesc=%E5%85%AC%E6%B0%91%E8%88%87%E7%A4%BE%E6%9C%83"/>
    <hyperlink ref="J372" r:id="rId201" display="https://www.ltedu.com.tw/Web/mobile2/prodlist2.aspx?ID=10390&amp;SourceType=Subject&amp;SbjSubjectDesc=%E5%85%AC%E6%B0%91%E8%88%87%E7%A4%BE%E6%9C%83"/>
    <hyperlink ref="J373" r:id="rId202" display="https://www.ltedu.com.tw/Web/mobile2/prodlist2.aspx?ID=10390&amp;SourceType=Subject&amp;SbjSubjectDesc=%E5%85%AC%E6%B0%91%E8%88%87%E7%A4%BE%E6%9C%83"/>
    <hyperlink ref="J374" r:id="rId203" display="https://www.ltedu.com.tw/Web/Sharefile/EDM/curriculum-map/ghs/civ/index.html"/>
    <hyperlink ref="J375" r:id="rId204" display="https://www.ltedu.com.tw/Web/Sharefile/EDM/curriculum-map/ghs/civ/index.html"/>
    <hyperlink ref="J376" r:id="rId205" display="https://www.ltedu.com.tw/Web/Sharefile/EDM/curriculum-map/ghs/civ/index.html"/>
    <hyperlink ref="J377" r:id="rId206" display="https://www.ltedu.com.tw/Web/Sharefile/EDM/curriculum-map/ghs/civ/index.html"/>
    <hyperlink ref="J378" r:id="rId207" display="https://www.ltedu.com.tw/Web/Sharefile/EDM/curriculum-map/ghs/civ/index.html"/>
    <hyperlink ref="J379" r:id="rId208" display="https://www.ltedu.com.tw/Web/Sharefile/EDM/curriculum-map/ghs/civ/index.html"/>
    <hyperlink ref="J383" r:id="rId209" display="https://www.ltedu.com.tw/Web/Sharefile/EDM/curriculum-map/ghs/civ/map.pdf"/>
    <hyperlink ref="J384" r:id="rId210" display="https://www.ltedu.com.tw/Web/Sharefile/EDM/curriculum-map/ghs/civ/map.pdf"/>
    <hyperlink ref="J385" r:id="rId211" display="https://www.ltedu.com.tw/Web/Sharefile/EDM/curriculum-map/ghs/civ/map.pdf"/>
    <hyperlink ref="J386" r:id="rId212" display="https://www.ltedu.com.tw/Web/Sharefile/EDM/curriculum-map/ghs/civ/map.pdf"/>
    <hyperlink ref="J387" r:id="rId213" display="https://www.ltedu.com.tw/Web/Sharefile/EDM/curriculum-map/ghs/civ/map.pdf"/>
    <hyperlink ref="J421" r:id="rId214" display="https://www.pymhs.tyc.edu.tw/uploads/1677224026927kIufN9Qi.pdf"/>
    <hyperlink ref="J441" r:id="rId215" display="https://www.hs.ntnu.edu.tw/static/webroot/G162269151451663/application/NW174253993646046.pdf"/>
    <hyperlink ref="J494" r:id="rId216" display="https://www.hs.ntnu.edu.tw/static/webroot/G162269151451663/application/NW175876390615937.pdf"/>
    <hyperlink ref="J495" r:id="rId217" display="https://www.hs.ntnu.edu.tw/static/webroot/G162269151451663/application/NW175876390615937.pdf"/>
    <hyperlink ref="J498" r:id="rId218" display="https://www.hs.ntnu.edu.tw/static/webroot/G162269151451663/application/NW172662366015169.pdf"/>
    <hyperlink ref="J501" r:id="rId219" display="https://www.hs.ntnu.edu.tw/static/webroot/G162269151451663/application/NW172662342237371.pdf"/>
    <hyperlink ref="J502" r:id="rId220" display="https://www.hs.ntnu.edu.tw/static/webroot/G162269151451663/application/NW172662342237371.pdf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2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10"/>
    <col collapsed="false" customWidth="true" hidden="false" outlineLevel="0" max="4" min="4" style="0" width="6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10"/>
  </cols>
  <sheetData>
    <row r="1" customFormat="false" ht="28.35" hidden="false" customHeight="false" outlineLevel="0" collapsed="false">
      <c r="A1" s="5" t="s">
        <v>16</v>
      </c>
      <c r="B1" s="5" t="s">
        <v>15</v>
      </c>
      <c r="C1" s="5" t="s">
        <v>19</v>
      </c>
      <c r="D1" s="5" t="s">
        <v>17</v>
      </c>
      <c r="E1" s="5" t="s">
        <v>18</v>
      </c>
      <c r="F1" s="5" t="s">
        <v>811</v>
      </c>
      <c r="G1" s="5" t="s">
        <v>812</v>
      </c>
    </row>
    <row r="2" customFormat="false" ht="15" hidden="false" customHeight="false" outlineLevel="0" collapsed="false">
      <c r="A2" s="12" t="s">
        <v>27</v>
      </c>
      <c r="B2" s="12" t="s">
        <v>26</v>
      </c>
      <c r="C2" s="12" t="s">
        <v>30</v>
      </c>
      <c r="D2" s="13" t="s">
        <v>28</v>
      </c>
      <c r="E2" s="12" t="s">
        <v>29</v>
      </c>
      <c r="F2" s="13" t="n">
        <f aca="false">COUNTIFS(國中!$A:$A,$B2,國中!$E:$E,$C2,國中!$F:$F,"&lt;&gt;",國中!$C:$C,$D2,國中!$D:$D,$E2)</f>
        <v>15</v>
      </c>
      <c r="G2" s="13" t="str">
        <f aca="false">IF(F2&gt;0,"已查到","未查到")</f>
        <v>已查到</v>
      </c>
    </row>
    <row r="3" customFormat="false" ht="15" hidden="false" customHeight="false" outlineLevel="0" collapsed="false">
      <c r="A3" s="12" t="s">
        <v>27</v>
      </c>
      <c r="B3" s="12" t="s">
        <v>26</v>
      </c>
      <c r="C3" s="12" t="s">
        <v>30</v>
      </c>
      <c r="D3" s="13" t="s">
        <v>28</v>
      </c>
      <c r="E3" s="12" t="s">
        <v>51</v>
      </c>
      <c r="F3" s="13" t="n">
        <f aca="false">COUNTIFS(國中!$A:$A,$B3,國中!$E:$E,$C3,國中!$F:$F,"&lt;&gt;",國中!$C:$C,$D3,國中!$D:$D,$E3)</f>
        <v>14</v>
      </c>
      <c r="G3" s="13" t="str">
        <f aca="false">IF(F3&gt;0,"已查到","未查到")</f>
        <v>已查到</v>
      </c>
    </row>
    <row r="4" customFormat="false" ht="15" hidden="false" customHeight="false" outlineLevel="0" collapsed="false">
      <c r="A4" s="12" t="s">
        <v>27</v>
      </c>
      <c r="B4" s="12" t="s">
        <v>26</v>
      </c>
      <c r="C4" s="12" t="s">
        <v>30</v>
      </c>
      <c r="D4" s="13" t="s">
        <v>70</v>
      </c>
      <c r="E4" s="12" t="s">
        <v>29</v>
      </c>
      <c r="F4" s="13" t="n">
        <f aca="false">COUNTIFS(國中!$A:$A,$B4,國中!$E:$E,$C4,國中!$F:$F,"&lt;&gt;",國中!$C:$C,$D4,國中!$D:$D,$E4)</f>
        <v>15</v>
      </c>
      <c r="G4" s="13" t="str">
        <f aca="false">IF(F4&gt;0,"已查到","未查到")</f>
        <v>已查到</v>
      </c>
    </row>
    <row r="5" customFormat="false" ht="15" hidden="false" customHeight="false" outlineLevel="0" collapsed="false">
      <c r="A5" s="12" t="s">
        <v>27</v>
      </c>
      <c r="B5" s="12" t="s">
        <v>26</v>
      </c>
      <c r="C5" s="12" t="s">
        <v>30</v>
      </c>
      <c r="D5" s="13" t="s">
        <v>70</v>
      </c>
      <c r="E5" s="12" t="s">
        <v>51</v>
      </c>
      <c r="F5" s="13" t="n">
        <f aca="false">COUNTIFS(國中!$A:$A,$B5,國中!$E:$E,$C5,國中!$F:$F,"&lt;&gt;",國中!$C:$C,$D5,國中!$D:$D,$E5)</f>
        <v>15</v>
      </c>
      <c r="G5" s="13" t="str">
        <f aca="false">IF(F5&gt;0,"已查到","未查到")</f>
        <v>已查到</v>
      </c>
    </row>
    <row r="6" customFormat="false" ht="15" hidden="false" customHeight="false" outlineLevel="0" collapsed="false">
      <c r="A6" s="12" t="s">
        <v>27</v>
      </c>
      <c r="B6" s="12" t="s">
        <v>26</v>
      </c>
      <c r="C6" s="12" t="s">
        <v>30</v>
      </c>
      <c r="D6" s="13" t="s">
        <v>103</v>
      </c>
      <c r="E6" s="12" t="s">
        <v>29</v>
      </c>
      <c r="F6" s="13" t="n">
        <f aca="false">COUNTIFS(國中!$A:$A,$B6,國中!$E:$E,$C6,國中!$F:$F,"&lt;&gt;",國中!$C:$C,$D6,國中!$D:$D,$E6)</f>
        <v>13</v>
      </c>
      <c r="G6" s="13" t="str">
        <f aca="false">IF(F6&gt;0,"已查到","未查到")</f>
        <v>已查到</v>
      </c>
    </row>
    <row r="7" customFormat="false" ht="15" hidden="false" customHeight="false" outlineLevel="0" collapsed="false">
      <c r="A7" s="12" t="s">
        <v>27</v>
      </c>
      <c r="B7" s="12" t="s">
        <v>26</v>
      </c>
      <c r="C7" s="12" t="s">
        <v>30</v>
      </c>
      <c r="D7" s="13" t="s">
        <v>103</v>
      </c>
      <c r="E7" s="12" t="s">
        <v>51</v>
      </c>
      <c r="F7" s="13" t="n">
        <f aca="false">COUNTIFS(國中!$A:$A,$B7,國中!$E:$E,$C7,國中!$F:$F,"&lt;&gt;",國中!$C:$C,$D7,國中!$D:$D,$E7)</f>
        <v>9</v>
      </c>
      <c r="G7" s="13" t="str">
        <f aca="false">IF(F7&gt;0,"已查到","未查到")</f>
        <v>已查到</v>
      </c>
    </row>
    <row r="8" customFormat="false" ht="15" hidden="false" customHeight="false" outlineLevel="0" collapsed="false">
      <c r="A8" s="12" t="s">
        <v>27</v>
      </c>
      <c r="B8" s="12" t="s">
        <v>26</v>
      </c>
      <c r="C8" s="12" t="s">
        <v>132</v>
      </c>
      <c r="D8" s="13" t="s">
        <v>28</v>
      </c>
      <c r="E8" s="12" t="s">
        <v>29</v>
      </c>
      <c r="F8" s="13" t="n">
        <f aca="false">COUNTIFS(國中!$A:$A,$B8,國中!$E:$E,$C8,國中!$F:$F,"&lt;&gt;",國中!$C:$C,$D8,國中!$D:$D,$E8)</f>
        <v>7</v>
      </c>
      <c r="G8" s="13" t="str">
        <f aca="false">IF(F8&gt;0,"已查到","未查到")</f>
        <v>已查到</v>
      </c>
    </row>
    <row r="9" customFormat="false" ht="15" hidden="false" customHeight="false" outlineLevel="0" collapsed="false">
      <c r="A9" s="12" t="s">
        <v>27</v>
      </c>
      <c r="B9" s="12" t="s">
        <v>26</v>
      </c>
      <c r="C9" s="12" t="s">
        <v>132</v>
      </c>
      <c r="D9" s="13" t="s">
        <v>28</v>
      </c>
      <c r="E9" s="12" t="s">
        <v>51</v>
      </c>
      <c r="F9" s="13" t="n">
        <f aca="false">COUNTIFS(國中!$A:$A,$B9,國中!$E:$E,$C9,國中!$F:$F,"&lt;&gt;",國中!$C:$C,$D9,國中!$D:$D,$E9)</f>
        <v>0</v>
      </c>
      <c r="G9" s="13" t="str">
        <f aca="false">IF(F9&gt;0,"已查到","未查到")</f>
        <v>未查到</v>
      </c>
    </row>
    <row r="10" customFormat="false" ht="15" hidden="false" customHeight="false" outlineLevel="0" collapsed="false">
      <c r="A10" s="12" t="s">
        <v>27</v>
      </c>
      <c r="B10" s="12" t="s">
        <v>26</v>
      </c>
      <c r="C10" s="12" t="s">
        <v>132</v>
      </c>
      <c r="D10" s="13" t="s">
        <v>70</v>
      </c>
      <c r="E10" s="12" t="s">
        <v>29</v>
      </c>
      <c r="F10" s="13" t="n">
        <f aca="false">COUNTIFS(國中!$A:$A,$B10,國中!$E:$E,$C10,國中!$F:$F,"&lt;&gt;",國中!$C:$C,$D10,國中!$D:$D,$E10)</f>
        <v>0</v>
      </c>
      <c r="G10" s="13" t="str">
        <f aca="false">IF(F10&gt;0,"已查到","未查到")</f>
        <v>未查到</v>
      </c>
    </row>
    <row r="11" customFormat="false" ht="15" hidden="false" customHeight="false" outlineLevel="0" collapsed="false">
      <c r="A11" s="12" t="s">
        <v>27</v>
      </c>
      <c r="B11" s="12" t="s">
        <v>26</v>
      </c>
      <c r="C11" s="12" t="s">
        <v>132</v>
      </c>
      <c r="D11" s="13" t="s">
        <v>70</v>
      </c>
      <c r="E11" s="12" t="s">
        <v>51</v>
      </c>
      <c r="F11" s="13" t="n">
        <f aca="false">COUNTIFS(國中!$A:$A,$B11,國中!$E:$E,$C11,國中!$F:$F,"&lt;&gt;",國中!$C:$C,$D11,國中!$D:$D,$E11)</f>
        <v>0</v>
      </c>
      <c r="G11" s="13" t="str">
        <f aca="false">IF(F11&gt;0,"已查到","未查到")</f>
        <v>未查到</v>
      </c>
    </row>
    <row r="12" customFormat="false" ht="15" hidden="false" customHeight="false" outlineLevel="0" collapsed="false">
      <c r="A12" s="12" t="s">
        <v>27</v>
      </c>
      <c r="B12" s="12" t="s">
        <v>26</v>
      </c>
      <c r="C12" s="12" t="s">
        <v>132</v>
      </c>
      <c r="D12" s="13" t="s">
        <v>103</v>
      </c>
      <c r="E12" s="12" t="s">
        <v>29</v>
      </c>
      <c r="F12" s="13" t="n">
        <f aca="false">COUNTIFS(國中!$A:$A,$B12,國中!$E:$E,$C12,國中!$F:$F,"&lt;&gt;",國中!$C:$C,$D12,國中!$D:$D,$E12)</f>
        <v>0</v>
      </c>
      <c r="G12" s="13" t="str">
        <f aca="false">IF(F12&gt;0,"已查到","未查到")</f>
        <v>未查到</v>
      </c>
    </row>
    <row r="13" customFormat="false" ht="15" hidden="false" customHeight="false" outlineLevel="0" collapsed="false">
      <c r="A13" s="12" t="s">
        <v>27</v>
      </c>
      <c r="B13" s="12" t="s">
        <v>26</v>
      </c>
      <c r="C13" s="12" t="s">
        <v>132</v>
      </c>
      <c r="D13" s="13" t="s">
        <v>103</v>
      </c>
      <c r="E13" s="12" t="s">
        <v>51</v>
      </c>
      <c r="F13" s="13" t="n">
        <f aca="false">COUNTIFS(國中!$A:$A,$B13,國中!$E:$E,$C13,國中!$F:$F,"&lt;&gt;",國中!$C:$C,$D13,國中!$D:$D,$E13)</f>
        <v>0</v>
      </c>
      <c r="G13" s="13" t="str">
        <f aca="false">IF(F13&gt;0,"已查到","未查到")</f>
        <v>未查到</v>
      </c>
    </row>
    <row r="14" customFormat="false" ht="15" hidden="false" customHeight="false" outlineLevel="0" collapsed="false">
      <c r="A14" s="12" t="s">
        <v>27</v>
      </c>
      <c r="B14" s="12" t="s">
        <v>26</v>
      </c>
      <c r="C14" s="12" t="s">
        <v>146</v>
      </c>
      <c r="D14" s="13" t="s">
        <v>28</v>
      </c>
      <c r="E14" s="12" t="s">
        <v>29</v>
      </c>
      <c r="F14" s="13" t="n">
        <f aca="false">COUNTIFS(國中!$A:$A,$B14,國中!$E:$E,$C14,國中!$F:$F,"&lt;&gt;",國中!$C:$C,$D14,國中!$D:$D,$E14)</f>
        <v>3</v>
      </c>
      <c r="G14" s="13" t="str">
        <f aca="false">IF(F14&gt;0,"已查到","未查到")</f>
        <v>已查到</v>
      </c>
    </row>
    <row r="15" customFormat="false" ht="15" hidden="false" customHeight="false" outlineLevel="0" collapsed="false">
      <c r="A15" s="12" t="s">
        <v>27</v>
      </c>
      <c r="B15" s="12" t="s">
        <v>26</v>
      </c>
      <c r="C15" s="12" t="s">
        <v>146</v>
      </c>
      <c r="D15" s="13" t="s">
        <v>28</v>
      </c>
      <c r="E15" s="12" t="s">
        <v>51</v>
      </c>
      <c r="F15" s="13" t="n">
        <f aca="false">COUNTIFS(國中!$A:$A,$B15,國中!$E:$E,$C15,國中!$F:$F,"&lt;&gt;",國中!$C:$C,$D15,國中!$D:$D,$E15)</f>
        <v>0</v>
      </c>
      <c r="G15" s="13" t="str">
        <f aca="false">IF(F15&gt;0,"已查到","未查到")</f>
        <v>未查到</v>
      </c>
    </row>
    <row r="16" customFormat="false" ht="15" hidden="false" customHeight="false" outlineLevel="0" collapsed="false">
      <c r="A16" s="12" t="s">
        <v>27</v>
      </c>
      <c r="B16" s="12" t="s">
        <v>26</v>
      </c>
      <c r="C16" s="12" t="s">
        <v>146</v>
      </c>
      <c r="D16" s="13" t="s">
        <v>70</v>
      </c>
      <c r="E16" s="12" t="s">
        <v>29</v>
      </c>
      <c r="F16" s="13" t="n">
        <f aca="false">COUNTIFS(國中!$A:$A,$B16,國中!$E:$E,$C16,國中!$F:$F,"&lt;&gt;",國中!$C:$C,$D16,國中!$D:$D,$E16)</f>
        <v>0</v>
      </c>
      <c r="G16" s="13" t="str">
        <f aca="false">IF(F16&gt;0,"已查到","未查到")</f>
        <v>未查到</v>
      </c>
    </row>
    <row r="17" customFormat="false" ht="15" hidden="false" customHeight="false" outlineLevel="0" collapsed="false">
      <c r="A17" s="12" t="s">
        <v>27</v>
      </c>
      <c r="B17" s="12" t="s">
        <v>26</v>
      </c>
      <c r="C17" s="12" t="s">
        <v>146</v>
      </c>
      <c r="D17" s="13" t="s">
        <v>70</v>
      </c>
      <c r="E17" s="12" t="s">
        <v>51</v>
      </c>
      <c r="F17" s="13" t="n">
        <f aca="false">COUNTIFS(國中!$A:$A,$B17,國中!$E:$E,$C17,國中!$F:$F,"&lt;&gt;",國中!$C:$C,$D17,國中!$D:$D,$E17)</f>
        <v>0</v>
      </c>
      <c r="G17" s="13" t="str">
        <f aca="false">IF(F17&gt;0,"已查到","未查到")</f>
        <v>未查到</v>
      </c>
    </row>
    <row r="18" customFormat="false" ht="15" hidden="false" customHeight="false" outlineLevel="0" collapsed="false">
      <c r="A18" s="12" t="s">
        <v>27</v>
      </c>
      <c r="B18" s="12" t="s">
        <v>26</v>
      </c>
      <c r="C18" s="12" t="s">
        <v>146</v>
      </c>
      <c r="D18" s="13" t="s">
        <v>103</v>
      </c>
      <c r="E18" s="12" t="s">
        <v>29</v>
      </c>
      <c r="F18" s="13" t="n">
        <f aca="false">COUNTIFS(國中!$A:$A,$B18,國中!$E:$E,$C18,國中!$F:$F,"&lt;&gt;",國中!$C:$C,$D18,國中!$D:$D,$E18)</f>
        <v>0</v>
      </c>
      <c r="G18" s="13" t="str">
        <f aca="false">IF(F18&gt;0,"已查到","未查到")</f>
        <v>未查到</v>
      </c>
    </row>
    <row r="19" customFormat="false" ht="15" hidden="false" customHeight="false" outlineLevel="0" collapsed="false">
      <c r="A19" s="12" t="s">
        <v>27</v>
      </c>
      <c r="B19" s="12" t="s">
        <v>26</v>
      </c>
      <c r="C19" s="12" t="s">
        <v>146</v>
      </c>
      <c r="D19" s="13" t="s">
        <v>103</v>
      </c>
      <c r="E19" s="12" t="s">
        <v>51</v>
      </c>
      <c r="F19" s="13" t="n">
        <f aca="false">COUNTIFS(國中!$A:$A,$B19,國中!$E:$E,$C19,國中!$F:$F,"&lt;&gt;",國中!$C:$C,$D19,國中!$D:$D,$E19)</f>
        <v>0</v>
      </c>
      <c r="G19" s="13" t="str">
        <f aca="false">IF(F19&gt;0,"已查到","未查到")</f>
        <v>未查到</v>
      </c>
    </row>
    <row r="20" customFormat="false" ht="15" hidden="false" customHeight="false" outlineLevel="0" collapsed="false">
      <c r="A20" s="12" t="s">
        <v>27</v>
      </c>
      <c r="B20" s="12" t="s">
        <v>26</v>
      </c>
      <c r="C20" s="12" t="s">
        <v>155</v>
      </c>
      <c r="D20" s="13" t="s">
        <v>28</v>
      </c>
      <c r="E20" s="12" t="s">
        <v>29</v>
      </c>
      <c r="F20" s="13" t="n">
        <f aca="false">COUNTIFS(國中!$A:$A,$B20,國中!$E:$E,$C20,國中!$F:$F,"&lt;&gt;",國中!$C:$C,$D20,國中!$D:$D,$E20)</f>
        <v>0</v>
      </c>
      <c r="G20" s="13" t="str">
        <f aca="false">IF(F20&gt;0,"已查到","未查到")</f>
        <v>未查到</v>
      </c>
    </row>
    <row r="21" customFormat="false" ht="15" hidden="false" customHeight="false" outlineLevel="0" collapsed="false">
      <c r="A21" s="12" t="s">
        <v>27</v>
      </c>
      <c r="B21" s="12" t="s">
        <v>26</v>
      </c>
      <c r="C21" s="12" t="s">
        <v>155</v>
      </c>
      <c r="D21" s="13" t="s">
        <v>28</v>
      </c>
      <c r="E21" s="12" t="s">
        <v>51</v>
      </c>
      <c r="F21" s="13" t="n">
        <f aca="false">COUNTIFS(國中!$A:$A,$B21,國中!$E:$E,$C21,國中!$F:$F,"&lt;&gt;",國中!$C:$C,$D21,國中!$D:$D,$E21)</f>
        <v>5</v>
      </c>
      <c r="G21" s="13" t="str">
        <f aca="false">IF(F21&gt;0,"已查到","未查到")</f>
        <v>已查到</v>
      </c>
    </row>
    <row r="22" customFormat="false" ht="15" hidden="false" customHeight="false" outlineLevel="0" collapsed="false">
      <c r="A22" s="12" t="s">
        <v>27</v>
      </c>
      <c r="B22" s="12" t="s">
        <v>26</v>
      </c>
      <c r="C22" s="12" t="s">
        <v>165</v>
      </c>
      <c r="D22" s="13" t="s">
        <v>70</v>
      </c>
      <c r="E22" s="12" t="s">
        <v>29</v>
      </c>
      <c r="F22" s="13" t="n">
        <f aca="false">COUNTIFS(國中!$A:$A,$B22,國中!$E:$E,$C22,國中!$F:$F,"&lt;&gt;",國中!$C:$C,$D22,國中!$D:$D,$E22)</f>
        <v>0</v>
      </c>
      <c r="G22" s="13" t="str">
        <f aca="false">IF(F22&gt;0,"已查到","未查到")</f>
        <v>未查到</v>
      </c>
    </row>
    <row r="23" customFormat="false" ht="15" hidden="false" customHeight="false" outlineLevel="0" collapsed="false">
      <c r="A23" s="12" t="s">
        <v>27</v>
      </c>
      <c r="B23" s="12" t="s">
        <v>26</v>
      </c>
      <c r="C23" s="12" t="s">
        <v>165</v>
      </c>
      <c r="D23" s="13" t="s">
        <v>70</v>
      </c>
      <c r="E23" s="12" t="s">
        <v>51</v>
      </c>
      <c r="F23" s="13" t="n">
        <f aca="false">COUNTIFS(國中!$A:$A,$B23,國中!$E:$E,$C23,國中!$F:$F,"&lt;&gt;",國中!$C:$C,$D23,國中!$D:$D,$E23)</f>
        <v>0</v>
      </c>
      <c r="G23" s="13" t="str">
        <f aca="false">IF(F23&gt;0,"已查到","未查到")</f>
        <v>未查到</v>
      </c>
    </row>
    <row r="24" customFormat="false" ht="15" hidden="false" customHeight="false" outlineLevel="0" collapsed="false">
      <c r="A24" s="12" t="s">
        <v>27</v>
      </c>
      <c r="B24" s="12" t="s">
        <v>26</v>
      </c>
      <c r="C24" s="12" t="s">
        <v>165</v>
      </c>
      <c r="D24" s="13" t="s">
        <v>103</v>
      </c>
      <c r="E24" s="12" t="s">
        <v>29</v>
      </c>
      <c r="F24" s="13" t="n">
        <f aca="false">COUNTIFS(國中!$A:$A,$B24,國中!$E:$E,$C24,國中!$F:$F,"&lt;&gt;",國中!$C:$C,$D24,國中!$D:$D,$E24)</f>
        <v>0</v>
      </c>
      <c r="G24" s="13" t="str">
        <f aca="false">IF(F24&gt;0,"已查到","未查到")</f>
        <v>未查到</v>
      </c>
    </row>
    <row r="25" customFormat="false" ht="15" hidden="false" customHeight="false" outlineLevel="0" collapsed="false">
      <c r="A25" s="12" t="s">
        <v>27</v>
      </c>
      <c r="B25" s="12" t="s">
        <v>26</v>
      </c>
      <c r="C25" s="12" t="s">
        <v>165</v>
      </c>
      <c r="D25" s="13" t="s">
        <v>103</v>
      </c>
      <c r="E25" s="12" t="s">
        <v>51</v>
      </c>
      <c r="F25" s="13" t="n">
        <f aca="false">COUNTIFS(國中!$A:$A,$B25,國中!$E:$E,$C25,國中!$F:$F,"&lt;&gt;",國中!$C:$C,$D25,國中!$D:$D,$E25)</f>
        <v>0</v>
      </c>
      <c r="G25" s="13" t="str">
        <f aca="false">IF(F25&gt;0,"已查到","未查到")</f>
        <v>未查到</v>
      </c>
    </row>
    <row r="26" customFormat="false" ht="15" hidden="false" customHeight="false" outlineLevel="0" collapsed="false">
      <c r="A26" s="12" t="s">
        <v>27</v>
      </c>
      <c r="B26" s="12" t="s">
        <v>26</v>
      </c>
      <c r="C26" s="12" t="s">
        <v>166</v>
      </c>
      <c r="D26" s="13" t="s">
        <v>103</v>
      </c>
      <c r="E26" s="12" t="s">
        <v>29</v>
      </c>
      <c r="F26" s="13" t="n">
        <f aca="false">COUNTIFS(國中!$A:$A,$B26,國中!$E:$E,$C26,國中!$F:$F,"&lt;&gt;",國中!$C:$C,$D26,國中!$D:$D,$E26)</f>
        <v>0</v>
      </c>
      <c r="G26" s="13" t="str">
        <f aca="false">IF(F26&gt;0,"已查到","未查到")</f>
        <v>未查到</v>
      </c>
    </row>
    <row r="27" customFormat="false" ht="15" hidden="false" customHeight="false" outlineLevel="0" collapsed="false">
      <c r="A27" s="12" t="s">
        <v>27</v>
      </c>
      <c r="B27" s="12" t="s">
        <v>26</v>
      </c>
      <c r="C27" s="12" t="s">
        <v>166</v>
      </c>
      <c r="D27" s="13" t="s">
        <v>103</v>
      </c>
      <c r="E27" s="12" t="s">
        <v>51</v>
      </c>
      <c r="F27" s="13" t="n">
        <f aca="false">COUNTIFS(國中!$A:$A,$B27,國中!$E:$E,$C27,國中!$F:$F,"&lt;&gt;",國中!$C:$C,$D27,國中!$D:$D,$E27)</f>
        <v>0</v>
      </c>
      <c r="G27" s="13" t="str">
        <f aca="false">IF(F27&gt;0,"已查到","未查到")</f>
        <v>未查到</v>
      </c>
    </row>
    <row r="28" customFormat="false" ht="15" hidden="false" customHeight="false" outlineLevel="0" collapsed="false">
      <c r="A28" s="12" t="s">
        <v>27</v>
      </c>
      <c r="B28" s="12" t="s">
        <v>26</v>
      </c>
      <c r="C28" s="12" t="s">
        <v>167</v>
      </c>
      <c r="D28" s="13" t="s">
        <v>28</v>
      </c>
      <c r="E28" s="12" t="s">
        <v>29</v>
      </c>
      <c r="F28" s="13" t="n">
        <f aca="false">COUNTIFS(國中!$A:$A,$B28,國中!$E:$E,$C28,國中!$F:$F,"&lt;&gt;",國中!$C:$C,$D28,國中!$D:$D,$E28)</f>
        <v>0</v>
      </c>
      <c r="G28" s="13" t="str">
        <f aca="false">IF(F28&gt;0,"已查到","未查到")</f>
        <v>未查到</v>
      </c>
    </row>
    <row r="29" customFormat="false" ht="15" hidden="false" customHeight="false" outlineLevel="0" collapsed="false">
      <c r="A29" s="12" t="s">
        <v>27</v>
      </c>
      <c r="B29" s="12" t="s">
        <v>26</v>
      </c>
      <c r="C29" s="12" t="s">
        <v>167</v>
      </c>
      <c r="D29" s="13" t="s">
        <v>28</v>
      </c>
      <c r="E29" s="12" t="s">
        <v>51</v>
      </c>
      <c r="F29" s="13" t="n">
        <f aca="false">COUNTIFS(國中!$A:$A,$B29,國中!$E:$E,$C29,國中!$F:$F,"&lt;&gt;",國中!$C:$C,$D29,國中!$D:$D,$E29)</f>
        <v>0</v>
      </c>
      <c r="G29" s="13" t="str">
        <f aca="false">IF(F29&gt;0,"已查到","未查到")</f>
        <v>未查到</v>
      </c>
    </row>
    <row r="30" customFormat="false" ht="15" hidden="false" customHeight="false" outlineLevel="0" collapsed="false">
      <c r="A30" s="12" t="s">
        <v>27</v>
      </c>
      <c r="B30" s="12" t="s">
        <v>26</v>
      </c>
      <c r="C30" s="12" t="s">
        <v>167</v>
      </c>
      <c r="D30" s="13" t="s">
        <v>70</v>
      </c>
      <c r="E30" s="12" t="s">
        <v>29</v>
      </c>
      <c r="F30" s="13" t="n">
        <f aca="false">COUNTIFS(國中!$A:$A,$B30,國中!$E:$E,$C30,國中!$F:$F,"&lt;&gt;",國中!$C:$C,$D30,國中!$D:$D,$E30)</f>
        <v>0</v>
      </c>
      <c r="G30" s="13" t="str">
        <f aca="false">IF(F30&gt;0,"已查到","未查到")</f>
        <v>未查到</v>
      </c>
    </row>
    <row r="31" customFormat="false" ht="15" hidden="false" customHeight="false" outlineLevel="0" collapsed="false">
      <c r="A31" s="12" t="s">
        <v>27</v>
      </c>
      <c r="B31" s="12" t="s">
        <v>26</v>
      </c>
      <c r="C31" s="12" t="s">
        <v>167</v>
      </c>
      <c r="D31" s="13" t="s">
        <v>70</v>
      </c>
      <c r="E31" s="12" t="s">
        <v>51</v>
      </c>
      <c r="F31" s="13" t="n">
        <f aca="false">COUNTIFS(國中!$A:$A,$B31,國中!$E:$E,$C31,國中!$F:$F,"&lt;&gt;",國中!$C:$C,$D31,國中!$D:$D,$E31)</f>
        <v>0</v>
      </c>
      <c r="G31" s="13" t="str">
        <f aca="false">IF(F31&gt;0,"已查到","未查到")</f>
        <v>未查到</v>
      </c>
    </row>
    <row r="32" customFormat="false" ht="15" hidden="false" customHeight="false" outlineLevel="0" collapsed="false">
      <c r="A32" s="12" t="s">
        <v>27</v>
      </c>
      <c r="B32" s="12" t="s">
        <v>26</v>
      </c>
      <c r="C32" s="12" t="s">
        <v>167</v>
      </c>
      <c r="D32" s="13" t="s">
        <v>103</v>
      </c>
      <c r="E32" s="12" t="s">
        <v>29</v>
      </c>
      <c r="F32" s="13" t="n">
        <f aca="false">COUNTIFS(國中!$A:$A,$B32,國中!$E:$E,$C32,國中!$F:$F,"&lt;&gt;",國中!$C:$C,$D32,國中!$D:$D,$E32)</f>
        <v>0</v>
      </c>
      <c r="G32" s="13" t="str">
        <f aca="false">IF(F32&gt;0,"已查到","未查到")</f>
        <v>未查到</v>
      </c>
    </row>
    <row r="33" customFormat="false" ht="15" hidden="false" customHeight="false" outlineLevel="0" collapsed="false">
      <c r="A33" s="12" t="s">
        <v>27</v>
      </c>
      <c r="B33" s="12" t="s">
        <v>26</v>
      </c>
      <c r="C33" s="12" t="s">
        <v>167</v>
      </c>
      <c r="D33" s="13" t="s">
        <v>103</v>
      </c>
      <c r="E33" s="12" t="s">
        <v>51</v>
      </c>
      <c r="F33" s="13" t="n">
        <f aca="false">COUNTIFS(國中!$A:$A,$B33,國中!$E:$E,$C33,國中!$F:$F,"&lt;&gt;",國中!$C:$C,$D33,國中!$D:$D,$E33)</f>
        <v>0</v>
      </c>
      <c r="G33" s="13" t="str">
        <f aca="false">IF(F33&gt;0,"已查到","未查到")</f>
        <v>未查到</v>
      </c>
    </row>
    <row r="34" customFormat="false" ht="15" hidden="false" customHeight="false" outlineLevel="0" collapsed="false">
      <c r="A34" s="12" t="s">
        <v>27</v>
      </c>
      <c r="B34" s="12" t="s">
        <v>26</v>
      </c>
      <c r="C34" s="12" t="s">
        <v>169</v>
      </c>
      <c r="D34" s="13" t="s">
        <v>28</v>
      </c>
      <c r="E34" s="12" t="s">
        <v>29</v>
      </c>
      <c r="F34" s="13" t="n">
        <f aca="false">COUNTIFS(國中!$A:$A,$B34,國中!$E:$E,$C34,國中!$F:$F,"&lt;&gt;",國中!$C:$C,$D34,國中!$D:$D,$E34)</f>
        <v>0</v>
      </c>
      <c r="G34" s="13" t="str">
        <f aca="false">IF(F34&gt;0,"已查到","未查到")</f>
        <v>未查到</v>
      </c>
    </row>
    <row r="35" customFormat="false" ht="15" hidden="false" customHeight="false" outlineLevel="0" collapsed="false">
      <c r="A35" s="12" t="s">
        <v>27</v>
      </c>
      <c r="B35" s="12" t="s">
        <v>26</v>
      </c>
      <c r="C35" s="12" t="s">
        <v>169</v>
      </c>
      <c r="D35" s="13" t="s">
        <v>28</v>
      </c>
      <c r="E35" s="12" t="s">
        <v>51</v>
      </c>
      <c r="F35" s="13" t="n">
        <f aca="false">COUNTIFS(國中!$A:$A,$B35,國中!$E:$E,$C35,國中!$F:$F,"&lt;&gt;",國中!$C:$C,$D35,國中!$D:$D,$E35)</f>
        <v>0</v>
      </c>
      <c r="G35" s="13" t="str">
        <f aca="false">IF(F35&gt;0,"已查到","未查到")</f>
        <v>未查到</v>
      </c>
    </row>
    <row r="36" customFormat="false" ht="15" hidden="false" customHeight="false" outlineLevel="0" collapsed="false">
      <c r="A36" s="12" t="s">
        <v>27</v>
      </c>
      <c r="B36" s="12" t="s">
        <v>26</v>
      </c>
      <c r="C36" s="12" t="s">
        <v>169</v>
      </c>
      <c r="D36" s="13" t="s">
        <v>70</v>
      </c>
      <c r="E36" s="12" t="s">
        <v>29</v>
      </c>
      <c r="F36" s="13" t="n">
        <f aca="false">COUNTIFS(國中!$A:$A,$B36,國中!$E:$E,$C36,國中!$F:$F,"&lt;&gt;",國中!$C:$C,$D36,國中!$D:$D,$E36)</f>
        <v>0</v>
      </c>
      <c r="G36" s="13" t="str">
        <f aca="false">IF(F36&gt;0,"已查到","未查到")</f>
        <v>未查到</v>
      </c>
    </row>
    <row r="37" customFormat="false" ht="15" hidden="false" customHeight="false" outlineLevel="0" collapsed="false">
      <c r="A37" s="12" t="s">
        <v>27</v>
      </c>
      <c r="B37" s="12" t="s">
        <v>26</v>
      </c>
      <c r="C37" s="12" t="s">
        <v>169</v>
      </c>
      <c r="D37" s="13" t="s">
        <v>70</v>
      </c>
      <c r="E37" s="12" t="s">
        <v>51</v>
      </c>
      <c r="F37" s="13" t="n">
        <f aca="false">COUNTIFS(國中!$A:$A,$B37,國中!$E:$E,$C37,國中!$F:$F,"&lt;&gt;",國中!$C:$C,$D37,國中!$D:$D,$E37)</f>
        <v>0</v>
      </c>
      <c r="G37" s="13" t="str">
        <f aca="false">IF(F37&gt;0,"已查到","未查到")</f>
        <v>未查到</v>
      </c>
    </row>
    <row r="38" customFormat="false" ht="15" hidden="false" customHeight="false" outlineLevel="0" collapsed="false">
      <c r="A38" s="12" t="s">
        <v>27</v>
      </c>
      <c r="B38" s="12" t="s">
        <v>26</v>
      </c>
      <c r="C38" s="12" t="s">
        <v>169</v>
      </c>
      <c r="D38" s="13" t="s">
        <v>103</v>
      </c>
      <c r="E38" s="12" t="s">
        <v>29</v>
      </c>
      <c r="F38" s="13" t="n">
        <f aca="false">COUNTIFS(國中!$A:$A,$B38,國中!$E:$E,$C38,國中!$F:$F,"&lt;&gt;",國中!$C:$C,$D38,國中!$D:$D,$E38)</f>
        <v>0</v>
      </c>
      <c r="G38" s="13" t="str">
        <f aca="false">IF(F38&gt;0,"已查到","未查到")</f>
        <v>未查到</v>
      </c>
    </row>
    <row r="39" customFormat="false" ht="15" hidden="false" customHeight="false" outlineLevel="0" collapsed="false">
      <c r="A39" s="12" t="s">
        <v>27</v>
      </c>
      <c r="B39" s="12" t="s">
        <v>26</v>
      </c>
      <c r="C39" s="12" t="s">
        <v>169</v>
      </c>
      <c r="D39" s="13" t="s">
        <v>103</v>
      </c>
      <c r="E39" s="12" t="s">
        <v>51</v>
      </c>
      <c r="F39" s="13" t="n">
        <f aca="false">COUNTIFS(國中!$A:$A,$B39,國中!$E:$E,$C39,國中!$F:$F,"&lt;&gt;",國中!$C:$C,$D39,國中!$D:$D,$E39)</f>
        <v>0</v>
      </c>
      <c r="G39" s="13" t="str">
        <f aca="false">IF(F39&gt;0,"已查到","未查到")</f>
        <v>未查到</v>
      </c>
    </row>
    <row r="40" customFormat="false" ht="15" hidden="false" customHeight="false" outlineLevel="0" collapsed="false">
      <c r="A40" s="12" t="s">
        <v>27</v>
      </c>
      <c r="B40" s="12" t="s">
        <v>26</v>
      </c>
      <c r="C40" s="12" t="s">
        <v>170</v>
      </c>
      <c r="D40" s="13" t="s">
        <v>28</v>
      </c>
      <c r="E40" s="12" t="s">
        <v>29</v>
      </c>
      <c r="F40" s="13" t="n">
        <f aca="false">COUNTIFS(國中!$A:$A,$B40,國中!$E:$E,$C40,國中!$F:$F,"&lt;&gt;",國中!$C:$C,$D40,國中!$D:$D,$E40)</f>
        <v>0</v>
      </c>
      <c r="G40" s="13" t="str">
        <f aca="false">IF(F40&gt;0,"已查到","未查到")</f>
        <v>未查到</v>
      </c>
    </row>
    <row r="41" customFormat="false" ht="15" hidden="false" customHeight="false" outlineLevel="0" collapsed="false">
      <c r="A41" s="12" t="s">
        <v>27</v>
      </c>
      <c r="B41" s="12" t="s">
        <v>26</v>
      </c>
      <c r="C41" s="12" t="s">
        <v>170</v>
      </c>
      <c r="D41" s="13" t="s">
        <v>28</v>
      </c>
      <c r="E41" s="12" t="s">
        <v>51</v>
      </c>
      <c r="F41" s="13" t="n">
        <f aca="false">COUNTIFS(國中!$A:$A,$B41,國中!$E:$E,$C41,國中!$F:$F,"&lt;&gt;",國中!$C:$C,$D41,國中!$D:$D,$E41)</f>
        <v>0</v>
      </c>
      <c r="G41" s="13" t="str">
        <f aca="false">IF(F41&gt;0,"已查到","未查到")</f>
        <v>未查到</v>
      </c>
    </row>
    <row r="42" customFormat="false" ht="15" hidden="false" customHeight="false" outlineLevel="0" collapsed="false">
      <c r="A42" s="12" t="s">
        <v>27</v>
      </c>
      <c r="B42" s="12" t="s">
        <v>26</v>
      </c>
      <c r="C42" s="12" t="s">
        <v>170</v>
      </c>
      <c r="D42" s="13" t="s">
        <v>70</v>
      </c>
      <c r="E42" s="12" t="s">
        <v>29</v>
      </c>
      <c r="F42" s="13" t="n">
        <f aca="false">COUNTIFS(國中!$A:$A,$B42,國中!$E:$E,$C42,國中!$F:$F,"&lt;&gt;",國中!$C:$C,$D42,國中!$D:$D,$E42)</f>
        <v>0</v>
      </c>
      <c r="G42" s="13" t="str">
        <f aca="false">IF(F42&gt;0,"已查到","未查到")</f>
        <v>未查到</v>
      </c>
    </row>
    <row r="43" customFormat="false" ht="15" hidden="false" customHeight="false" outlineLevel="0" collapsed="false">
      <c r="A43" s="12" t="s">
        <v>27</v>
      </c>
      <c r="B43" s="12" t="s">
        <v>26</v>
      </c>
      <c r="C43" s="12" t="s">
        <v>170</v>
      </c>
      <c r="D43" s="13" t="s">
        <v>70</v>
      </c>
      <c r="E43" s="12" t="s">
        <v>51</v>
      </c>
      <c r="F43" s="13" t="n">
        <f aca="false">COUNTIFS(國中!$A:$A,$B43,國中!$E:$E,$C43,國中!$F:$F,"&lt;&gt;",國中!$C:$C,$D43,國中!$D:$D,$E43)</f>
        <v>0</v>
      </c>
      <c r="G43" s="13" t="str">
        <f aca="false">IF(F43&gt;0,"已查到","未查到")</f>
        <v>未查到</v>
      </c>
    </row>
    <row r="44" customFormat="false" ht="15" hidden="false" customHeight="false" outlineLevel="0" collapsed="false">
      <c r="A44" s="12" t="s">
        <v>27</v>
      </c>
      <c r="B44" s="12" t="s">
        <v>26</v>
      </c>
      <c r="C44" s="12" t="s">
        <v>170</v>
      </c>
      <c r="D44" s="13" t="s">
        <v>103</v>
      </c>
      <c r="E44" s="12" t="s">
        <v>29</v>
      </c>
      <c r="F44" s="13" t="n">
        <f aca="false">COUNTIFS(國中!$A:$A,$B44,國中!$E:$E,$C44,國中!$F:$F,"&lt;&gt;",國中!$C:$C,$D44,國中!$D:$D,$E44)</f>
        <v>0</v>
      </c>
      <c r="G44" s="13" t="str">
        <f aca="false">IF(F44&gt;0,"已查到","未查到")</f>
        <v>未查到</v>
      </c>
    </row>
    <row r="45" customFormat="false" ht="15" hidden="false" customHeight="false" outlineLevel="0" collapsed="false">
      <c r="A45" s="12" t="s">
        <v>27</v>
      </c>
      <c r="B45" s="12" t="s">
        <v>26</v>
      </c>
      <c r="C45" s="12" t="s">
        <v>170</v>
      </c>
      <c r="D45" s="13" t="s">
        <v>103</v>
      </c>
      <c r="E45" s="12" t="s">
        <v>51</v>
      </c>
      <c r="F45" s="13" t="n">
        <f aca="false">COUNTIFS(國中!$A:$A,$B45,國中!$E:$E,$C45,國中!$F:$F,"&lt;&gt;",國中!$C:$C,$D45,國中!$D:$D,$E45)</f>
        <v>0</v>
      </c>
      <c r="G45" s="13" t="str">
        <f aca="false">IF(F45&gt;0,"已查到","未查到")</f>
        <v>未查到</v>
      </c>
    </row>
    <row r="46" customFormat="false" ht="15" hidden="false" customHeight="false" outlineLevel="0" collapsed="false">
      <c r="A46" s="12" t="s">
        <v>27</v>
      </c>
      <c r="B46" s="12" t="s">
        <v>171</v>
      </c>
      <c r="C46" s="12" t="s">
        <v>30</v>
      </c>
      <c r="D46" s="13" t="s">
        <v>28</v>
      </c>
      <c r="E46" s="12" t="s">
        <v>29</v>
      </c>
      <c r="F46" s="13" t="n">
        <f aca="false">COUNTIFS(國中!$A:$A,$B46,國中!$E:$E,$C46,國中!$F:$F,"&lt;&gt;",國中!$C:$C,$D46,國中!$D:$D,$E46)</f>
        <v>4</v>
      </c>
      <c r="G46" s="13" t="str">
        <f aca="false">IF(F46&gt;0,"已查到","未查到")</f>
        <v>已查到</v>
      </c>
    </row>
    <row r="47" customFormat="false" ht="15" hidden="false" customHeight="false" outlineLevel="0" collapsed="false">
      <c r="A47" s="12" t="s">
        <v>27</v>
      </c>
      <c r="B47" s="12" t="s">
        <v>171</v>
      </c>
      <c r="C47" s="12" t="s">
        <v>30</v>
      </c>
      <c r="D47" s="13" t="s">
        <v>28</v>
      </c>
      <c r="E47" s="12" t="s">
        <v>51</v>
      </c>
      <c r="F47" s="13" t="n">
        <f aca="false">COUNTIFS(國中!$A:$A,$B47,國中!$E:$E,$C47,國中!$F:$F,"&lt;&gt;",國中!$C:$C,$D47,國中!$D:$D,$E47)</f>
        <v>0</v>
      </c>
      <c r="G47" s="13" t="str">
        <f aca="false">IF(F47&gt;0,"已查到","未查到")</f>
        <v>未查到</v>
      </c>
    </row>
    <row r="48" customFormat="false" ht="15" hidden="false" customHeight="false" outlineLevel="0" collapsed="false">
      <c r="A48" s="12" t="s">
        <v>27</v>
      </c>
      <c r="B48" s="12" t="s">
        <v>171</v>
      </c>
      <c r="C48" s="12" t="s">
        <v>30</v>
      </c>
      <c r="D48" s="13" t="s">
        <v>70</v>
      </c>
      <c r="E48" s="12" t="s">
        <v>29</v>
      </c>
      <c r="F48" s="13" t="n">
        <f aca="false">COUNTIFS(國中!$A:$A,$B48,國中!$E:$E,$C48,國中!$F:$F,"&lt;&gt;",國中!$C:$C,$D48,國中!$D:$D,$E48)</f>
        <v>0</v>
      </c>
      <c r="G48" s="13" t="str">
        <f aca="false">IF(F48&gt;0,"已查到","未查到")</f>
        <v>未查到</v>
      </c>
    </row>
    <row r="49" customFormat="false" ht="15" hidden="false" customHeight="false" outlineLevel="0" collapsed="false">
      <c r="A49" s="12" t="s">
        <v>27</v>
      </c>
      <c r="B49" s="12" t="s">
        <v>171</v>
      </c>
      <c r="C49" s="12" t="s">
        <v>30</v>
      </c>
      <c r="D49" s="13" t="s">
        <v>70</v>
      </c>
      <c r="E49" s="12" t="s">
        <v>51</v>
      </c>
      <c r="F49" s="13" t="n">
        <f aca="false">COUNTIFS(國中!$A:$A,$B49,國中!$E:$E,$C49,國中!$F:$F,"&lt;&gt;",國中!$C:$C,$D49,國中!$D:$D,$E49)</f>
        <v>1</v>
      </c>
      <c r="G49" s="13" t="str">
        <f aca="false">IF(F49&gt;0,"已查到","未查到")</f>
        <v>已查到</v>
      </c>
    </row>
    <row r="50" customFormat="false" ht="15" hidden="false" customHeight="false" outlineLevel="0" collapsed="false">
      <c r="A50" s="12" t="s">
        <v>27</v>
      </c>
      <c r="B50" s="12" t="s">
        <v>171</v>
      </c>
      <c r="C50" s="12" t="s">
        <v>30</v>
      </c>
      <c r="D50" s="13" t="s">
        <v>103</v>
      </c>
      <c r="E50" s="12" t="s">
        <v>29</v>
      </c>
      <c r="F50" s="13" t="n">
        <f aca="false">COUNTIFS(國中!$A:$A,$B50,國中!$E:$E,$C50,國中!$F:$F,"&lt;&gt;",國中!$C:$C,$D50,國中!$D:$D,$E50)</f>
        <v>0</v>
      </c>
      <c r="G50" s="13" t="str">
        <f aca="false">IF(F50&gt;0,"已查到","未查到")</f>
        <v>未查到</v>
      </c>
    </row>
    <row r="51" customFormat="false" ht="15" hidden="false" customHeight="false" outlineLevel="0" collapsed="false">
      <c r="A51" s="12" t="s">
        <v>27</v>
      </c>
      <c r="B51" s="12" t="s">
        <v>171</v>
      </c>
      <c r="C51" s="12" t="s">
        <v>30</v>
      </c>
      <c r="D51" s="13" t="s">
        <v>103</v>
      </c>
      <c r="E51" s="12" t="s">
        <v>51</v>
      </c>
      <c r="F51" s="13" t="n">
        <f aca="false">COUNTIFS(國中!$A:$A,$B51,國中!$E:$E,$C51,國中!$F:$F,"&lt;&gt;",國中!$C:$C,$D51,國中!$D:$D,$E51)</f>
        <v>0</v>
      </c>
      <c r="G51" s="13" t="str">
        <f aca="false">IF(F51&gt;0,"已查到","未查到")</f>
        <v>未查到</v>
      </c>
    </row>
    <row r="52" customFormat="false" ht="15" hidden="false" customHeight="false" outlineLevel="0" collapsed="false">
      <c r="A52" s="12" t="s">
        <v>27</v>
      </c>
      <c r="B52" s="12" t="s">
        <v>171</v>
      </c>
      <c r="C52" s="12" t="s">
        <v>132</v>
      </c>
      <c r="D52" s="13" t="s">
        <v>28</v>
      </c>
      <c r="E52" s="12" t="s">
        <v>29</v>
      </c>
      <c r="F52" s="13" t="n">
        <f aca="false">COUNTIFS(國中!$A:$A,$B52,國中!$E:$E,$C52,國中!$F:$F,"&lt;&gt;",國中!$C:$C,$D52,國中!$D:$D,$E52)</f>
        <v>0</v>
      </c>
      <c r="G52" s="13" t="str">
        <f aca="false">IF(F52&gt;0,"已查到","未查到")</f>
        <v>未查到</v>
      </c>
    </row>
    <row r="53" customFormat="false" ht="15" hidden="false" customHeight="false" outlineLevel="0" collapsed="false">
      <c r="A53" s="12" t="s">
        <v>27</v>
      </c>
      <c r="B53" s="12" t="s">
        <v>171</v>
      </c>
      <c r="C53" s="12" t="s">
        <v>132</v>
      </c>
      <c r="D53" s="13" t="s">
        <v>28</v>
      </c>
      <c r="E53" s="12" t="s">
        <v>51</v>
      </c>
      <c r="F53" s="13" t="n">
        <f aca="false">COUNTIFS(國中!$A:$A,$B53,國中!$E:$E,$C53,國中!$F:$F,"&lt;&gt;",國中!$C:$C,$D53,國中!$D:$D,$E53)</f>
        <v>0</v>
      </c>
      <c r="G53" s="13" t="str">
        <f aca="false">IF(F53&gt;0,"已查到","未查到")</f>
        <v>未查到</v>
      </c>
    </row>
    <row r="54" customFormat="false" ht="15" hidden="false" customHeight="false" outlineLevel="0" collapsed="false">
      <c r="A54" s="12" t="s">
        <v>27</v>
      </c>
      <c r="B54" s="12" t="s">
        <v>171</v>
      </c>
      <c r="C54" s="12" t="s">
        <v>132</v>
      </c>
      <c r="D54" s="13" t="s">
        <v>70</v>
      </c>
      <c r="E54" s="12" t="s">
        <v>29</v>
      </c>
      <c r="F54" s="13" t="n">
        <f aca="false">COUNTIFS(國中!$A:$A,$B54,國中!$E:$E,$C54,國中!$F:$F,"&lt;&gt;",國中!$C:$C,$D54,國中!$D:$D,$E54)</f>
        <v>0</v>
      </c>
      <c r="G54" s="13" t="str">
        <f aca="false">IF(F54&gt;0,"已查到","未查到")</f>
        <v>未查到</v>
      </c>
    </row>
    <row r="55" customFormat="false" ht="15" hidden="false" customHeight="false" outlineLevel="0" collapsed="false">
      <c r="A55" s="12" t="s">
        <v>27</v>
      </c>
      <c r="B55" s="12" t="s">
        <v>171</v>
      </c>
      <c r="C55" s="12" t="s">
        <v>132</v>
      </c>
      <c r="D55" s="13" t="s">
        <v>70</v>
      </c>
      <c r="E55" s="12" t="s">
        <v>51</v>
      </c>
      <c r="F55" s="13" t="n">
        <f aca="false">COUNTIFS(國中!$A:$A,$B55,國中!$E:$E,$C55,國中!$F:$F,"&lt;&gt;",國中!$C:$C,$D55,國中!$D:$D,$E55)</f>
        <v>0</v>
      </c>
      <c r="G55" s="13" t="str">
        <f aca="false">IF(F55&gt;0,"已查到","未查到")</f>
        <v>未查到</v>
      </c>
    </row>
    <row r="56" customFormat="false" ht="15" hidden="false" customHeight="false" outlineLevel="0" collapsed="false">
      <c r="A56" s="12" t="s">
        <v>27</v>
      </c>
      <c r="B56" s="12" t="s">
        <v>171</v>
      </c>
      <c r="C56" s="12" t="s">
        <v>132</v>
      </c>
      <c r="D56" s="13" t="s">
        <v>103</v>
      </c>
      <c r="E56" s="12" t="s">
        <v>29</v>
      </c>
      <c r="F56" s="13" t="n">
        <f aca="false">COUNTIFS(國中!$A:$A,$B56,國中!$E:$E,$C56,國中!$F:$F,"&lt;&gt;",國中!$C:$C,$D56,國中!$D:$D,$E56)</f>
        <v>0</v>
      </c>
      <c r="G56" s="13" t="str">
        <f aca="false">IF(F56&gt;0,"已查到","未查到")</f>
        <v>未查到</v>
      </c>
    </row>
    <row r="57" customFormat="false" ht="15" hidden="false" customHeight="false" outlineLevel="0" collapsed="false">
      <c r="A57" s="12" t="s">
        <v>27</v>
      </c>
      <c r="B57" s="12" t="s">
        <v>171</v>
      </c>
      <c r="C57" s="12" t="s">
        <v>132</v>
      </c>
      <c r="D57" s="13" t="s">
        <v>103</v>
      </c>
      <c r="E57" s="12" t="s">
        <v>51</v>
      </c>
      <c r="F57" s="13" t="n">
        <f aca="false">COUNTIFS(國中!$A:$A,$B57,國中!$E:$E,$C57,國中!$F:$F,"&lt;&gt;",國中!$C:$C,$D57,國中!$D:$D,$E57)</f>
        <v>0</v>
      </c>
      <c r="G57" s="13" t="str">
        <f aca="false">IF(F57&gt;0,"已查到","未查到")</f>
        <v>未查到</v>
      </c>
    </row>
    <row r="58" customFormat="false" ht="15" hidden="false" customHeight="false" outlineLevel="0" collapsed="false">
      <c r="A58" s="12" t="s">
        <v>27</v>
      </c>
      <c r="B58" s="12" t="s">
        <v>171</v>
      </c>
      <c r="C58" s="12" t="s">
        <v>146</v>
      </c>
      <c r="D58" s="13" t="s">
        <v>28</v>
      </c>
      <c r="E58" s="12" t="s">
        <v>29</v>
      </c>
      <c r="F58" s="13" t="n">
        <f aca="false">COUNTIFS(國中!$A:$A,$B58,國中!$E:$E,$C58,國中!$F:$F,"&lt;&gt;",國中!$C:$C,$D58,國中!$D:$D,$E58)</f>
        <v>3</v>
      </c>
      <c r="G58" s="13" t="str">
        <f aca="false">IF(F58&gt;0,"已查到","未查到")</f>
        <v>已查到</v>
      </c>
    </row>
    <row r="59" customFormat="false" ht="15" hidden="false" customHeight="false" outlineLevel="0" collapsed="false">
      <c r="A59" s="12" t="s">
        <v>27</v>
      </c>
      <c r="B59" s="12" t="s">
        <v>171</v>
      </c>
      <c r="C59" s="12" t="s">
        <v>146</v>
      </c>
      <c r="D59" s="13" t="s">
        <v>28</v>
      </c>
      <c r="E59" s="12" t="s">
        <v>51</v>
      </c>
      <c r="F59" s="13" t="n">
        <f aca="false">COUNTIFS(國中!$A:$A,$B59,國中!$E:$E,$C59,國中!$F:$F,"&lt;&gt;",國中!$C:$C,$D59,國中!$D:$D,$E59)</f>
        <v>6</v>
      </c>
      <c r="G59" s="13" t="str">
        <f aca="false">IF(F59&gt;0,"已查到","未查到")</f>
        <v>已查到</v>
      </c>
    </row>
    <row r="60" customFormat="false" ht="15" hidden="false" customHeight="false" outlineLevel="0" collapsed="false">
      <c r="A60" s="12" t="s">
        <v>27</v>
      </c>
      <c r="B60" s="12" t="s">
        <v>171</v>
      </c>
      <c r="C60" s="12" t="s">
        <v>146</v>
      </c>
      <c r="D60" s="13" t="s">
        <v>70</v>
      </c>
      <c r="E60" s="12" t="s">
        <v>29</v>
      </c>
      <c r="F60" s="13" t="n">
        <f aca="false">COUNTIFS(國中!$A:$A,$B60,國中!$E:$E,$C60,國中!$F:$F,"&lt;&gt;",國中!$C:$C,$D60,國中!$D:$D,$E60)</f>
        <v>5</v>
      </c>
      <c r="G60" s="13" t="str">
        <f aca="false">IF(F60&gt;0,"已查到","未查到")</f>
        <v>已查到</v>
      </c>
    </row>
    <row r="61" customFormat="false" ht="15" hidden="false" customHeight="false" outlineLevel="0" collapsed="false">
      <c r="A61" s="12" t="s">
        <v>27</v>
      </c>
      <c r="B61" s="12" t="s">
        <v>171</v>
      </c>
      <c r="C61" s="12" t="s">
        <v>146</v>
      </c>
      <c r="D61" s="13" t="s">
        <v>70</v>
      </c>
      <c r="E61" s="12" t="s">
        <v>51</v>
      </c>
      <c r="F61" s="13" t="n">
        <f aca="false">COUNTIFS(國中!$A:$A,$B61,國中!$E:$E,$C61,國中!$F:$F,"&lt;&gt;",國中!$C:$C,$D61,國中!$D:$D,$E61)</f>
        <v>4</v>
      </c>
      <c r="G61" s="13" t="str">
        <f aca="false">IF(F61&gt;0,"已查到","未查到")</f>
        <v>已查到</v>
      </c>
    </row>
    <row r="62" customFormat="false" ht="15" hidden="false" customHeight="false" outlineLevel="0" collapsed="false">
      <c r="A62" s="12" t="s">
        <v>27</v>
      </c>
      <c r="B62" s="12" t="s">
        <v>171</v>
      </c>
      <c r="C62" s="12" t="s">
        <v>146</v>
      </c>
      <c r="D62" s="13" t="s">
        <v>103</v>
      </c>
      <c r="E62" s="12" t="s">
        <v>29</v>
      </c>
      <c r="F62" s="13" t="n">
        <f aca="false">COUNTIFS(國中!$A:$A,$B62,國中!$E:$E,$C62,國中!$F:$F,"&lt;&gt;",國中!$C:$C,$D62,國中!$D:$D,$E62)</f>
        <v>3</v>
      </c>
      <c r="G62" s="13" t="str">
        <f aca="false">IF(F62&gt;0,"已查到","未查到")</f>
        <v>已查到</v>
      </c>
    </row>
    <row r="63" customFormat="false" ht="15" hidden="false" customHeight="false" outlineLevel="0" collapsed="false">
      <c r="A63" s="12" t="s">
        <v>27</v>
      </c>
      <c r="B63" s="12" t="s">
        <v>171</v>
      </c>
      <c r="C63" s="12" t="s">
        <v>146</v>
      </c>
      <c r="D63" s="13" t="s">
        <v>103</v>
      </c>
      <c r="E63" s="12" t="s">
        <v>51</v>
      </c>
      <c r="F63" s="13" t="n">
        <f aca="false">COUNTIFS(國中!$A:$A,$B63,國中!$E:$E,$C63,國中!$F:$F,"&lt;&gt;",國中!$C:$C,$D63,國中!$D:$D,$E63)</f>
        <v>3</v>
      </c>
      <c r="G63" s="13" t="str">
        <f aca="false">IF(F63&gt;0,"已查到","未查到")</f>
        <v>已查到</v>
      </c>
    </row>
    <row r="64" customFormat="false" ht="15" hidden="false" customHeight="false" outlineLevel="0" collapsed="false">
      <c r="A64" s="12" t="s">
        <v>27</v>
      </c>
      <c r="B64" s="12" t="s">
        <v>171</v>
      </c>
      <c r="C64" s="12" t="s">
        <v>155</v>
      </c>
      <c r="D64" s="13" t="s">
        <v>28</v>
      </c>
      <c r="E64" s="12" t="s">
        <v>29</v>
      </c>
      <c r="F64" s="13" t="n">
        <f aca="false">COUNTIFS(國中!$A:$A,$B64,國中!$E:$E,$C64,國中!$F:$F,"&lt;&gt;",國中!$C:$C,$D64,國中!$D:$D,$E64)</f>
        <v>0</v>
      </c>
      <c r="G64" s="13" t="str">
        <f aca="false">IF(F64&gt;0,"已查到","未查到")</f>
        <v>未查到</v>
      </c>
    </row>
    <row r="65" customFormat="false" ht="15" hidden="false" customHeight="false" outlineLevel="0" collapsed="false">
      <c r="A65" s="12" t="s">
        <v>27</v>
      </c>
      <c r="B65" s="12" t="s">
        <v>171</v>
      </c>
      <c r="C65" s="12" t="s">
        <v>155</v>
      </c>
      <c r="D65" s="13" t="s">
        <v>28</v>
      </c>
      <c r="E65" s="12" t="s">
        <v>51</v>
      </c>
      <c r="F65" s="13" t="n">
        <f aca="false">COUNTIFS(國中!$A:$A,$B65,國中!$E:$E,$C65,國中!$F:$F,"&lt;&gt;",國中!$C:$C,$D65,國中!$D:$D,$E65)</f>
        <v>0</v>
      </c>
      <c r="G65" s="13" t="str">
        <f aca="false">IF(F65&gt;0,"已查到","未查到")</f>
        <v>未查到</v>
      </c>
    </row>
    <row r="66" customFormat="false" ht="15" hidden="false" customHeight="false" outlineLevel="0" collapsed="false">
      <c r="A66" s="12" t="s">
        <v>27</v>
      </c>
      <c r="B66" s="12" t="s">
        <v>171</v>
      </c>
      <c r="C66" s="12" t="s">
        <v>165</v>
      </c>
      <c r="D66" s="13" t="s">
        <v>70</v>
      </c>
      <c r="E66" s="12" t="s">
        <v>29</v>
      </c>
      <c r="F66" s="13" t="n">
        <f aca="false">COUNTIFS(國中!$A:$A,$B66,國中!$E:$E,$C66,國中!$F:$F,"&lt;&gt;",國中!$C:$C,$D66,國中!$D:$D,$E66)</f>
        <v>0</v>
      </c>
      <c r="G66" s="13" t="str">
        <f aca="false">IF(F66&gt;0,"已查到","未查到")</f>
        <v>未查到</v>
      </c>
    </row>
    <row r="67" customFormat="false" ht="15" hidden="false" customHeight="false" outlineLevel="0" collapsed="false">
      <c r="A67" s="12" t="s">
        <v>27</v>
      </c>
      <c r="B67" s="12" t="s">
        <v>171</v>
      </c>
      <c r="C67" s="12" t="s">
        <v>165</v>
      </c>
      <c r="D67" s="13" t="s">
        <v>70</v>
      </c>
      <c r="E67" s="12" t="s">
        <v>51</v>
      </c>
      <c r="F67" s="13" t="n">
        <f aca="false">COUNTIFS(國中!$A:$A,$B67,國中!$E:$E,$C67,國中!$F:$F,"&lt;&gt;",國中!$C:$C,$D67,國中!$D:$D,$E67)</f>
        <v>0</v>
      </c>
      <c r="G67" s="13" t="str">
        <f aca="false">IF(F67&gt;0,"已查到","未查到")</f>
        <v>未查到</v>
      </c>
    </row>
    <row r="68" customFormat="false" ht="15" hidden="false" customHeight="false" outlineLevel="0" collapsed="false">
      <c r="A68" s="12" t="s">
        <v>27</v>
      </c>
      <c r="B68" s="12" t="s">
        <v>171</v>
      </c>
      <c r="C68" s="12" t="s">
        <v>165</v>
      </c>
      <c r="D68" s="13" t="s">
        <v>103</v>
      </c>
      <c r="E68" s="12" t="s">
        <v>29</v>
      </c>
      <c r="F68" s="13" t="n">
        <f aca="false">COUNTIFS(國中!$A:$A,$B68,國中!$E:$E,$C68,國中!$F:$F,"&lt;&gt;",國中!$C:$C,$D68,國中!$D:$D,$E68)</f>
        <v>0</v>
      </c>
      <c r="G68" s="13" t="str">
        <f aca="false">IF(F68&gt;0,"已查到","未查到")</f>
        <v>未查到</v>
      </c>
    </row>
    <row r="69" customFormat="false" ht="15" hidden="false" customHeight="false" outlineLevel="0" collapsed="false">
      <c r="A69" s="12" t="s">
        <v>27</v>
      </c>
      <c r="B69" s="12" t="s">
        <v>171</v>
      </c>
      <c r="C69" s="12" t="s">
        <v>165</v>
      </c>
      <c r="D69" s="13" t="s">
        <v>103</v>
      </c>
      <c r="E69" s="12" t="s">
        <v>51</v>
      </c>
      <c r="F69" s="13" t="n">
        <f aca="false">COUNTIFS(國中!$A:$A,$B69,國中!$E:$E,$C69,國中!$F:$F,"&lt;&gt;",國中!$C:$C,$D69,國中!$D:$D,$E69)</f>
        <v>0</v>
      </c>
      <c r="G69" s="13" t="str">
        <f aca="false">IF(F69&gt;0,"已查到","未查到")</f>
        <v>未查到</v>
      </c>
    </row>
    <row r="70" customFormat="false" ht="15" hidden="false" customHeight="false" outlineLevel="0" collapsed="false">
      <c r="A70" s="12" t="s">
        <v>27</v>
      </c>
      <c r="B70" s="12" t="s">
        <v>171</v>
      </c>
      <c r="C70" s="12" t="s">
        <v>166</v>
      </c>
      <c r="D70" s="13" t="s">
        <v>103</v>
      </c>
      <c r="E70" s="12" t="s">
        <v>29</v>
      </c>
      <c r="F70" s="13" t="n">
        <f aca="false">COUNTIFS(國中!$A:$A,$B70,國中!$E:$E,$C70,國中!$F:$F,"&lt;&gt;",國中!$C:$C,$D70,國中!$D:$D,$E70)</f>
        <v>0</v>
      </c>
      <c r="G70" s="13" t="str">
        <f aca="false">IF(F70&gt;0,"已查到","未查到")</f>
        <v>未查到</v>
      </c>
    </row>
    <row r="71" customFormat="false" ht="15" hidden="false" customHeight="false" outlineLevel="0" collapsed="false">
      <c r="A71" s="12" t="s">
        <v>27</v>
      </c>
      <c r="B71" s="12" t="s">
        <v>171</v>
      </c>
      <c r="C71" s="12" t="s">
        <v>166</v>
      </c>
      <c r="D71" s="13" t="s">
        <v>103</v>
      </c>
      <c r="E71" s="12" t="s">
        <v>51</v>
      </c>
      <c r="F71" s="13" t="n">
        <f aca="false">COUNTIFS(國中!$A:$A,$B71,國中!$E:$E,$C71,國中!$F:$F,"&lt;&gt;",國中!$C:$C,$D71,國中!$D:$D,$E71)</f>
        <v>0</v>
      </c>
      <c r="G71" s="13" t="str">
        <f aca="false">IF(F71&gt;0,"已查到","未查到")</f>
        <v>未查到</v>
      </c>
    </row>
    <row r="72" customFormat="false" ht="15" hidden="false" customHeight="false" outlineLevel="0" collapsed="false">
      <c r="A72" s="12" t="s">
        <v>27</v>
      </c>
      <c r="B72" s="12" t="s">
        <v>171</v>
      </c>
      <c r="C72" s="12" t="s">
        <v>256</v>
      </c>
      <c r="D72" s="13" t="s">
        <v>28</v>
      </c>
      <c r="E72" s="12" t="s">
        <v>29</v>
      </c>
      <c r="F72" s="13" t="n">
        <f aca="false">COUNTIFS(國中!$A:$A,$B72,國中!$E:$E,$C72,國中!$F:$F,"&lt;&gt;",國中!$C:$C,$D72,國中!$D:$D,$E72)</f>
        <v>0</v>
      </c>
      <c r="G72" s="13" t="str">
        <f aca="false">IF(F72&gt;0,"已查到","未查到")</f>
        <v>未查到</v>
      </c>
    </row>
    <row r="73" customFormat="false" ht="15" hidden="false" customHeight="false" outlineLevel="0" collapsed="false">
      <c r="A73" s="12" t="s">
        <v>27</v>
      </c>
      <c r="B73" s="12" t="s">
        <v>171</v>
      </c>
      <c r="C73" s="12" t="s">
        <v>256</v>
      </c>
      <c r="D73" s="13" t="s">
        <v>28</v>
      </c>
      <c r="E73" s="12" t="s">
        <v>51</v>
      </c>
      <c r="F73" s="13" t="n">
        <f aca="false">COUNTIFS(國中!$A:$A,$B73,國中!$E:$E,$C73,國中!$F:$F,"&lt;&gt;",國中!$C:$C,$D73,國中!$D:$D,$E73)</f>
        <v>0</v>
      </c>
      <c r="G73" s="13" t="str">
        <f aca="false">IF(F73&gt;0,"已查到","未查到")</f>
        <v>未查到</v>
      </c>
    </row>
    <row r="74" customFormat="false" ht="15" hidden="false" customHeight="false" outlineLevel="0" collapsed="false">
      <c r="A74" s="12" t="s">
        <v>27</v>
      </c>
      <c r="B74" s="12" t="s">
        <v>171</v>
      </c>
      <c r="C74" s="12" t="s">
        <v>256</v>
      </c>
      <c r="D74" s="13" t="s">
        <v>70</v>
      </c>
      <c r="E74" s="12" t="s">
        <v>29</v>
      </c>
      <c r="F74" s="13" t="n">
        <f aca="false">COUNTIFS(國中!$A:$A,$B74,國中!$E:$E,$C74,國中!$F:$F,"&lt;&gt;",國中!$C:$C,$D74,國中!$D:$D,$E74)</f>
        <v>0</v>
      </c>
      <c r="G74" s="13" t="str">
        <f aca="false">IF(F74&gt;0,"已查到","未查到")</f>
        <v>未查到</v>
      </c>
    </row>
    <row r="75" customFormat="false" ht="15" hidden="false" customHeight="false" outlineLevel="0" collapsed="false">
      <c r="A75" s="12" t="s">
        <v>27</v>
      </c>
      <c r="B75" s="12" t="s">
        <v>171</v>
      </c>
      <c r="C75" s="12" t="s">
        <v>256</v>
      </c>
      <c r="D75" s="13" t="s">
        <v>70</v>
      </c>
      <c r="E75" s="12" t="s">
        <v>51</v>
      </c>
      <c r="F75" s="13" t="n">
        <f aca="false">COUNTIFS(國中!$A:$A,$B75,國中!$E:$E,$C75,國中!$F:$F,"&lt;&gt;",國中!$C:$C,$D75,國中!$D:$D,$E75)</f>
        <v>0</v>
      </c>
      <c r="G75" s="13" t="str">
        <f aca="false">IF(F75&gt;0,"已查到","未查到")</f>
        <v>未查到</v>
      </c>
    </row>
    <row r="76" customFormat="false" ht="15" hidden="false" customHeight="false" outlineLevel="0" collapsed="false">
      <c r="A76" s="12" t="s">
        <v>27</v>
      </c>
      <c r="B76" s="12" t="s">
        <v>171</v>
      </c>
      <c r="C76" s="12" t="s">
        <v>256</v>
      </c>
      <c r="D76" s="13" t="s">
        <v>103</v>
      </c>
      <c r="E76" s="12" t="s">
        <v>29</v>
      </c>
      <c r="F76" s="13" t="n">
        <f aca="false">COUNTIFS(國中!$A:$A,$B76,國中!$E:$E,$C76,國中!$F:$F,"&lt;&gt;",國中!$C:$C,$D76,國中!$D:$D,$E76)</f>
        <v>0</v>
      </c>
      <c r="G76" s="13" t="str">
        <f aca="false">IF(F76&gt;0,"已查到","未查到")</f>
        <v>未查到</v>
      </c>
    </row>
    <row r="77" customFormat="false" ht="15" hidden="false" customHeight="false" outlineLevel="0" collapsed="false">
      <c r="A77" s="12" t="s">
        <v>27</v>
      </c>
      <c r="B77" s="12" t="s">
        <v>171</v>
      </c>
      <c r="C77" s="12" t="s">
        <v>256</v>
      </c>
      <c r="D77" s="13" t="s">
        <v>103</v>
      </c>
      <c r="E77" s="12" t="s">
        <v>51</v>
      </c>
      <c r="F77" s="13" t="n">
        <f aca="false">COUNTIFS(國中!$A:$A,$B77,國中!$E:$E,$C77,國中!$F:$F,"&lt;&gt;",國中!$C:$C,$D77,國中!$D:$D,$E77)</f>
        <v>0</v>
      </c>
      <c r="G77" s="13" t="str">
        <f aca="false">IF(F77&gt;0,"已查到","未查到")</f>
        <v>未查到</v>
      </c>
    </row>
    <row r="78" customFormat="false" ht="15" hidden="false" customHeight="false" outlineLevel="0" collapsed="false">
      <c r="A78" s="12" t="s">
        <v>27</v>
      </c>
      <c r="B78" s="12" t="s">
        <v>171</v>
      </c>
      <c r="C78" s="12" t="s">
        <v>257</v>
      </c>
      <c r="D78" s="13" t="s">
        <v>28</v>
      </c>
      <c r="E78" s="12" t="s">
        <v>29</v>
      </c>
      <c r="F78" s="13" t="n">
        <f aca="false">COUNTIFS(國中!$A:$A,$B78,國中!$E:$E,$C78,國中!$F:$F,"&lt;&gt;",國中!$C:$C,$D78,國中!$D:$D,$E78)</f>
        <v>0</v>
      </c>
      <c r="G78" s="13" t="str">
        <f aca="false">IF(F78&gt;0,"已查到","未查到")</f>
        <v>未查到</v>
      </c>
    </row>
    <row r="79" customFormat="false" ht="15" hidden="false" customHeight="false" outlineLevel="0" collapsed="false">
      <c r="A79" s="12" t="s">
        <v>27</v>
      </c>
      <c r="B79" s="12" t="s">
        <v>171</v>
      </c>
      <c r="C79" s="12" t="s">
        <v>257</v>
      </c>
      <c r="D79" s="13" t="s">
        <v>28</v>
      </c>
      <c r="E79" s="12" t="s">
        <v>51</v>
      </c>
      <c r="F79" s="13" t="n">
        <f aca="false">COUNTIFS(國中!$A:$A,$B79,國中!$E:$E,$C79,國中!$F:$F,"&lt;&gt;",國中!$C:$C,$D79,國中!$D:$D,$E79)</f>
        <v>0</v>
      </c>
      <c r="G79" s="13" t="str">
        <f aca="false">IF(F79&gt;0,"已查到","未查到")</f>
        <v>未查到</v>
      </c>
    </row>
    <row r="80" customFormat="false" ht="15" hidden="false" customHeight="false" outlineLevel="0" collapsed="false">
      <c r="A80" s="12" t="s">
        <v>27</v>
      </c>
      <c r="B80" s="12" t="s">
        <v>171</v>
      </c>
      <c r="C80" s="12" t="s">
        <v>257</v>
      </c>
      <c r="D80" s="13" t="s">
        <v>70</v>
      </c>
      <c r="E80" s="12" t="s">
        <v>29</v>
      </c>
      <c r="F80" s="13" t="n">
        <f aca="false">COUNTIFS(國中!$A:$A,$B80,國中!$E:$E,$C80,國中!$F:$F,"&lt;&gt;",國中!$C:$C,$D80,國中!$D:$D,$E80)</f>
        <v>0</v>
      </c>
      <c r="G80" s="13" t="str">
        <f aca="false">IF(F80&gt;0,"已查到","未查到")</f>
        <v>未查到</v>
      </c>
    </row>
    <row r="81" customFormat="false" ht="15" hidden="false" customHeight="false" outlineLevel="0" collapsed="false">
      <c r="A81" s="12" t="s">
        <v>27</v>
      </c>
      <c r="B81" s="12" t="s">
        <v>171</v>
      </c>
      <c r="C81" s="12" t="s">
        <v>257</v>
      </c>
      <c r="D81" s="13" t="s">
        <v>70</v>
      </c>
      <c r="E81" s="12" t="s">
        <v>51</v>
      </c>
      <c r="F81" s="13" t="n">
        <f aca="false">COUNTIFS(國中!$A:$A,$B81,國中!$E:$E,$C81,國中!$F:$F,"&lt;&gt;",國中!$C:$C,$D81,國中!$D:$D,$E81)</f>
        <v>0</v>
      </c>
      <c r="G81" s="13" t="str">
        <f aca="false">IF(F81&gt;0,"已查到","未查到")</f>
        <v>未查到</v>
      </c>
    </row>
    <row r="82" customFormat="false" ht="15" hidden="false" customHeight="false" outlineLevel="0" collapsed="false">
      <c r="A82" s="12" t="s">
        <v>27</v>
      </c>
      <c r="B82" s="12" t="s">
        <v>171</v>
      </c>
      <c r="C82" s="12" t="s">
        <v>257</v>
      </c>
      <c r="D82" s="13" t="s">
        <v>103</v>
      </c>
      <c r="E82" s="12" t="s">
        <v>29</v>
      </c>
      <c r="F82" s="13" t="n">
        <f aca="false">COUNTIFS(國中!$A:$A,$B82,國中!$E:$E,$C82,國中!$F:$F,"&lt;&gt;",國中!$C:$C,$D82,國中!$D:$D,$E82)</f>
        <v>0</v>
      </c>
      <c r="G82" s="13" t="str">
        <f aca="false">IF(F82&gt;0,"已查到","未查到")</f>
        <v>未查到</v>
      </c>
    </row>
    <row r="83" customFormat="false" ht="15" hidden="false" customHeight="false" outlineLevel="0" collapsed="false">
      <c r="A83" s="12" t="s">
        <v>27</v>
      </c>
      <c r="B83" s="12" t="s">
        <v>171</v>
      </c>
      <c r="C83" s="12" t="s">
        <v>257</v>
      </c>
      <c r="D83" s="13" t="s">
        <v>103</v>
      </c>
      <c r="E83" s="12" t="s">
        <v>51</v>
      </c>
      <c r="F83" s="13" t="n">
        <f aca="false">COUNTIFS(國中!$A:$A,$B83,國中!$E:$E,$C83,國中!$F:$F,"&lt;&gt;",國中!$C:$C,$D83,國中!$D:$D,$E83)</f>
        <v>0</v>
      </c>
      <c r="G83" s="13" t="str">
        <f aca="false">IF(F83&gt;0,"已查到","未查到")</f>
        <v>未查到</v>
      </c>
    </row>
    <row r="84" customFormat="false" ht="15" hidden="false" customHeight="false" outlineLevel="0" collapsed="false">
      <c r="A84" s="12" t="s">
        <v>27</v>
      </c>
      <c r="B84" s="12" t="s">
        <v>171</v>
      </c>
      <c r="C84" s="12" t="s">
        <v>258</v>
      </c>
      <c r="D84" s="13" t="s">
        <v>28</v>
      </c>
      <c r="E84" s="12" t="s">
        <v>29</v>
      </c>
      <c r="F84" s="13" t="n">
        <f aca="false">COUNTIFS(國中!$A:$A,$B84,國中!$E:$E,$C84,國中!$F:$F,"&lt;&gt;",國中!$C:$C,$D84,國中!$D:$D,$E84)</f>
        <v>0</v>
      </c>
      <c r="G84" s="13" t="str">
        <f aca="false">IF(F84&gt;0,"已查到","未查到")</f>
        <v>未查到</v>
      </c>
    </row>
    <row r="85" customFormat="false" ht="15" hidden="false" customHeight="false" outlineLevel="0" collapsed="false">
      <c r="A85" s="12" t="s">
        <v>27</v>
      </c>
      <c r="B85" s="12" t="s">
        <v>171</v>
      </c>
      <c r="C85" s="12" t="s">
        <v>258</v>
      </c>
      <c r="D85" s="13" t="s">
        <v>28</v>
      </c>
      <c r="E85" s="12" t="s">
        <v>51</v>
      </c>
      <c r="F85" s="13" t="n">
        <f aca="false">COUNTIFS(國中!$A:$A,$B85,國中!$E:$E,$C85,國中!$F:$F,"&lt;&gt;",國中!$C:$C,$D85,國中!$D:$D,$E85)</f>
        <v>0</v>
      </c>
      <c r="G85" s="13" t="str">
        <f aca="false">IF(F85&gt;0,"已查到","未查到")</f>
        <v>未查到</v>
      </c>
    </row>
    <row r="86" customFormat="false" ht="15" hidden="false" customHeight="false" outlineLevel="0" collapsed="false">
      <c r="A86" s="12" t="s">
        <v>27</v>
      </c>
      <c r="B86" s="12" t="s">
        <v>171</v>
      </c>
      <c r="C86" s="12" t="s">
        <v>258</v>
      </c>
      <c r="D86" s="13" t="s">
        <v>70</v>
      </c>
      <c r="E86" s="12" t="s">
        <v>29</v>
      </c>
      <c r="F86" s="13" t="n">
        <f aca="false">COUNTIFS(國中!$A:$A,$B86,國中!$E:$E,$C86,國中!$F:$F,"&lt;&gt;",國中!$C:$C,$D86,國中!$D:$D,$E86)</f>
        <v>0</v>
      </c>
      <c r="G86" s="13" t="str">
        <f aca="false">IF(F86&gt;0,"已查到","未查到")</f>
        <v>未查到</v>
      </c>
    </row>
    <row r="87" customFormat="false" ht="15" hidden="false" customHeight="false" outlineLevel="0" collapsed="false">
      <c r="A87" s="12" t="s">
        <v>27</v>
      </c>
      <c r="B87" s="12" t="s">
        <v>171</v>
      </c>
      <c r="C87" s="12" t="s">
        <v>258</v>
      </c>
      <c r="D87" s="13" t="s">
        <v>70</v>
      </c>
      <c r="E87" s="12" t="s">
        <v>51</v>
      </c>
      <c r="F87" s="13" t="n">
        <f aca="false">COUNTIFS(國中!$A:$A,$B87,國中!$E:$E,$C87,國中!$F:$F,"&lt;&gt;",國中!$C:$C,$D87,國中!$D:$D,$E87)</f>
        <v>1</v>
      </c>
      <c r="G87" s="13" t="str">
        <f aca="false">IF(F87&gt;0,"已查到","未查到")</f>
        <v>已查到</v>
      </c>
    </row>
    <row r="88" customFormat="false" ht="15" hidden="false" customHeight="false" outlineLevel="0" collapsed="false">
      <c r="A88" s="12" t="s">
        <v>27</v>
      </c>
      <c r="B88" s="12" t="s">
        <v>171</v>
      </c>
      <c r="C88" s="12" t="s">
        <v>258</v>
      </c>
      <c r="D88" s="13" t="s">
        <v>103</v>
      </c>
      <c r="E88" s="12" t="s">
        <v>29</v>
      </c>
      <c r="F88" s="13" t="n">
        <f aca="false">COUNTIFS(國中!$A:$A,$B88,國中!$E:$E,$C88,國中!$F:$F,"&lt;&gt;",國中!$C:$C,$D88,國中!$D:$D,$E88)</f>
        <v>0</v>
      </c>
      <c r="G88" s="13" t="str">
        <f aca="false">IF(F88&gt;0,"已查到","未查到")</f>
        <v>未查到</v>
      </c>
    </row>
    <row r="89" customFormat="false" ht="15" hidden="false" customHeight="false" outlineLevel="0" collapsed="false">
      <c r="A89" s="12" t="s">
        <v>27</v>
      </c>
      <c r="B89" s="12" t="s">
        <v>171</v>
      </c>
      <c r="C89" s="12" t="s">
        <v>258</v>
      </c>
      <c r="D89" s="13" t="s">
        <v>103</v>
      </c>
      <c r="E89" s="12" t="s">
        <v>51</v>
      </c>
      <c r="F89" s="13" t="n">
        <f aca="false">COUNTIFS(國中!$A:$A,$B89,國中!$E:$E,$C89,國中!$F:$F,"&lt;&gt;",國中!$C:$C,$D89,國中!$D:$D,$E89)</f>
        <v>0</v>
      </c>
      <c r="G89" s="13" t="str">
        <f aca="false">IF(F89&gt;0,"已查到","未查到")</f>
        <v>未查到</v>
      </c>
    </row>
    <row r="90" customFormat="false" ht="15" hidden="false" customHeight="false" outlineLevel="0" collapsed="false">
      <c r="A90" s="12" t="s">
        <v>27</v>
      </c>
      <c r="B90" s="12" t="s">
        <v>262</v>
      </c>
      <c r="C90" s="12" t="s">
        <v>30</v>
      </c>
      <c r="D90" s="13" t="s">
        <v>28</v>
      </c>
      <c r="E90" s="12" t="s">
        <v>29</v>
      </c>
      <c r="F90" s="13" t="n">
        <f aca="false">COUNTIFS(國中!$A:$A,$B90,國中!$E:$E,$C90,國中!$F:$F,"&lt;&gt;",國中!$C:$C,$D90,國中!$D:$D,$E90)</f>
        <v>9</v>
      </c>
      <c r="G90" s="13" t="str">
        <f aca="false">IF(F90&gt;0,"已查到","未查到")</f>
        <v>已查到</v>
      </c>
    </row>
    <row r="91" customFormat="false" ht="15" hidden="false" customHeight="false" outlineLevel="0" collapsed="false">
      <c r="A91" s="12" t="s">
        <v>27</v>
      </c>
      <c r="B91" s="12" t="s">
        <v>262</v>
      </c>
      <c r="C91" s="12" t="s">
        <v>30</v>
      </c>
      <c r="D91" s="13" t="s">
        <v>28</v>
      </c>
      <c r="E91" s="12" t="s">
        <v>51</v>
      </c>
      <c r="F91" s="13" t="n">
        <f aca="false">COUNTIFS(國中!$A:$A,$B91,國中!$E:$E,$C91,國中!$F:$F,"&lt;&gt;",國中!$C:$C,$D91,國中!$D:$D,$E91)</f>
        <v>0</v>
      </c>
      <c r="G91" s="13" t="str">
        <f aca="false">IF(F91&gt;0,"已查到","未查到")</f>
        <v>未查到</v>
      </c>
    </row>
    <row r="92" customFormat="false" ht="15" hidden="false" customHeight="false" outlineLevel="0" collapsed="false">
      <c r="A92" s="12" t="s">
        <v>27</v>
      </c>
      <c r="B92" s="12" t="s">
        <v>262</v>
      </c>
      <c r="C92" s="12" t="s">
        <v>30</v>
      </c>
      <c r="D92" s="13" t="s">
        <v>70</v>
      </c>
      <c r="E92" s="12" t="s">
        <v>29</v>
      </c>
      <c r="F92" s="13" t="n">
        <f aca="false">COUNTIFS(國中!$A:$A,$B92,國中!$E:$E,$C92,國中!$F:$F,"&lt;&gt;",國中!$C:$C,$D92,國中!$D:$D,$E92)</f>
        <v>0</v>
      </c>
      <c r="G92" s="13" t="str">
        <f aca="false">IF(F92&gt;0,"已查到","未查到")</f>
        <v>未查到</v>
      </c>
    </row>
    <row r="93" customFormat="false" ht="15" hidden="false" customHeight="false" outlineLevel="0" collapsed="false">
      <c r="A93" s="12" t="s">
        <v>27</v>
      </c>
      <c r="B93" s="12" t="s">
        <v>262</v>
      </c>
      <c r="C93" s="12" t="s">
        <v>30</v>
      </c>
      <c r="D93" s="13" t="s">
        <v>70</v>
      </c>
      <c r="E93" s="12" t="s">
        <v>51</v>
      </c>
      <c r="F93" s="13" t="n">
        <f aca="false">COUNTIFS(國中!$A:$A,$B93,國中!$E:$E,$C93,國中!$F:$F,"&lt;&gt;",國中!$C:$C,$D93,國中!$D:$D,$E93)</f>
        <v>0</v>
      </c>
      <c r="G93" s="13" t="str">
        <f aca="false">IF(F93&gt;0,"已查到","未查到")</f>
        <v>未查到</v>
      </c>
    </row>
    <row r="94" customFormat="false" ht="15" hidden="false" customHeight="false" outlineLevel="0" collapsed="false">
      <c r="A94" s="12" t="s">
        <v>27</v>
      </c>
      <c r="B94" s="12" t="s">
        <v>262</v>
      </c>
      <c r="C94" s="12" t="s">
        <v>30</v>
      </c>
      <c r="D94" s="13" t="s">
        <v>103</v>
      </c>
      <c r="E94" s="12" t="s">
        <v>29</v>
      </c>
      <c r="F94" s="13" t="n">
        <f aca="false">COUNTIFS(國中!$A:$A,$B94,國中!$E:$E,$C94,國中!$F:$F,"&lt;&gt;",國中!$C:$C,$D94,國中!$D:$D,$E94)</f>
        <v>0</v>
      </c>
      <c r="G94" s="13" t="str">
        <f aca="false">IF(F94&gt;0,"已查到","未查到")</f>
        <v>未查到</v>
      </c>
    </row>
    <row r="95" customFormat="false" ht="15" hidden="false" customHeight="false" outlineLevel="0" collapsed="false">
      <c r="A95" s="12" t="s">
        <v>27</v>
      </c>
      <c r="B95" s="12" t="s">
        <v>262</v>
      </c>
      <c r="C95" s="12" t="s">
        <v>30</v>
      </c>
      <c r="D95" s="13" t="s">
        <v>103</v>
      </c>
      <c r="E95" s="12" t="s">
        <v>51</v>
      </c>
      <c r="F95" s="13" t="n">
        <f aca="false">COUNTIFS(國中!$A:$A,$B95,國中!$E:$E,$C95,國中!$F:$F,"&lt;&gt;",國中!$C:$C,$D95,國中!$D:$D,$E95)</f>
        <v>0</v>
      </c>
      <c r="G95" s="13" t="str">
        <f aca="false">IF(F95&gt;0,"已查到","未查到")</f>
        <v>未查到</v>
      </c>
    </row>
    <row r="96" customFormat="false" ht="15" hidden="false" customHeight="false" outlineLevel="0" collapsed="false">
      <c r="A96" s="12" t="s">
        <v>325</v>
      </c>
      <c r="B96" s="12" t="s">
        <v>262</v>
      </c>
      <c r="C96" s="12" t="s">
        <v>30</v>
      </c>
      <c r="D96" s="13" t="s">
        <v>326</v>
      </c>
      <c r="E96" s="12" t="s">
        <v>327</v>
      </c>
      <c r="F96" s="13" t="n">
        <f aca="false">COUNTIFS(高中!$A:$A,$B96,高中!$E:$E,$C96,高中!$F:$F,"&lt;&gt;",高中!$C:$C,$D96,高中!$D:$D,$E96)</f>
        <v>0</v>
      </c>
      <c r="G96" s="13" t="str">
        <f aca="false">IF(F96&gt;0,"已查到","未查到")</f>
        <v>未查到</v>
      </c>
    </row>
    <row r="97" customFormat="false" ht="15" hidden="false" customHeight="false" outlineLevel="0" collapsed="false">
      <c r="A97" s="12" t="s">
        <v>325</v>
      </c>
      <c r="B97" s="12" t="s">
        <v>262</v>
      </c>
      <c r="C97" s="12" t="s">
        <v>30</v>
      </c>
      <c r="D97" s="13" t="s">
        <v>326</v>
      </c>
      <c r="E97" s="12" t="s">
        <v>328</v>
      </c>
      <c r="F97" s="13" t="n">
        <f aca="false">COUNTIFS(高中!$A:$A,$B97,高中!$E:$E,$C97,高中!$F:$F,"&lt;&gt;",高中!$C:$C,$D97,高中!$D:$D,$E97)</f>
        <v>0</v>
      </c>
      <c r="G97" s="13" t="str">
        <f aca="false">IF(F97&gt;0,"已查到","未查到")</f>
        <v>未查到</v>
      </c>
    </row>
    <row r="98" customFormat="false" ht="15" hidden="false" customHeight="false" outlineLevel="0" collapsed="false">
      <c r="A98" s="12" t="s">
        <v>325</v>
      </c>
      <c r="B98" s="12" t="s">
        <v>262</v>
      </c>
      <c r="C98" s="12" t="s">
        <v>30</v>
      </c>
      <c r="D98" s="13" t="s">
        <v>329</v>
      </c>
      <c r="E98" s="12" t="s">
        <v>330</v>
      </c>
      <c r="F98" s="13" t="n">
        <f aca="false">COUNTIFS(高中!$A:$A,$B98,高中!$E:$E,$C98,高中!$F:$F,"&lt;&gt;",高中!$C:$C,$D98,高中!$D:$D,$E98)</f>
        <v>0</v>
      </c>
      <c r="G98" s="13" t="str">
        <f aca="false">IF(F98&gt;0,"已查到","未查到")</f>
        <v>未查到</v>
      </c>
    </row>
    <row r="99" customFormat="false" ht="15" hidden="false" customHeight="false" outlineLevel="0" collapsed="false">
      <c r="A99" s="12" t="s">
        <v>325</v>
      </c>
      <c r="B99" s="12" t="s">
        <v>262</v>
      </c>
      <c r="C99" s="12" t="s">
        <v>30</v>
      </c>
      <c r="D99" s="13" t="s">
        <v>329</v>
      </c>
      <c r="E99" s="12" t="s">
        <v>331</v>
      </c>
      <c r="F99" s="13" t="n">
        <f aca="false">COUNTIFS(高中!$A:$A,$B99,高中!$E:$E,$C99,高中!$F:$F,"&lt;&gt;",高中!$C:$C,$D99,高中!$D:$D,$E99)</f>
        <v>0</v>
      </c>
      <c r="G99" s="13" t="str">
        <f aca="false">IF(F99&gt;0,"已查到","未查到")</f>
        <v>未查到</v>
      </c>
    </row>
    <row r="100" customFormat="false" ht="15" hidden="false" customHeight="false" outlineLevel="0" collapsed="false">
      <c r="A100" s="12" t="s">
        <v>325</v>
      </c>
      <c r="B100" s="12" t="s">
        <v>262</v>
      </c>
      <c r="C100" s="12" t="s">
        <v>30</v>
      </c>
      <c r="D100" s="13" t="s">
        <v>332</v>
      </c>
      <c r="E100" s="12" t="s">
        <v>333</v>
      </c>
      <c r="F100" s="13" t="n">
        <f aca="false">COUNTIFS(高中!$A:$A,$B100,高中!$E:$E,$C100,高中!$F:$F,"&lt;&gt;",高中!$C:$C,$D100,高中!$D:$D,$E100)</f>
        <v>0</v>
      </c>
      <c r="G100" s="13" t="str">
        <f aca="false">IF(F100&gt;0,"已查到","未查到")</f>
        <v>未查到</v>
      </c>
    </row>
    <row r="101" customFormat="false" ht="15" hidden="false" customHeight="false" outlineLevel="0" collapsed="false">
      <c r="A101" s="12" t="s">
        <v>325</v>
      </c>
      <c r="B101" s="12" t="s">
        <v>262</v>
      </c>
      <c r="C101" s="12" t="s">
        <v>30</v>
      </c>
      <c r="D101" s="13" t="s">
        <v>332</v>
      </c>
      <c r="E101" s="12" t="s">
        <v>334</v>
      </c>
      <c r="F101" s="13" t="n">
        <f aca="false">COUNTIFS(高中!$A:$A,$B101,高中!$E:$E,$C101,高中!$F:$F,"&lt;&gt;",高中!$C:$C,$D101,高中!$D:$D,$E101)</f>
        <v>0</v>
      </c>
      <c r="G101" s="13" t="str">
        <f aca="false">IF(F101&gt;0,"已查到","未查到")</f>
        <v>未查到</v>
      </c>
    </row>
    <row r="102" customFormat="false" ht="15" hidden="false" customHeight="false" outlineLevel="0" collapsed="false">
      <c r="A102" s="12" t="s">
        <v>325</v>
      </c>
      <c r="B102" s="12" t="s">
        <v>262</v>
      </c>
      <c r="C102" s="12" t="s">
        <v>30</v>
      </c>
      <c r="D102" s="13"/>
      <c r="E102" s="12" t="s">
        <v>335</v>
      </c>
      <c r="F102" s="13" t="n">
        <f aca="false">COUNTIFS(高中!$A:$A,$B102,高中!$E:$E,$C102,高中!$F:$F,"&lt;&gt;",高中!$C:$C,"",高中!$D:$D,$E102)</f>
        <v>0</v>
      </c>
      <c r="G102" s="13" t="str">
        <f aca="false">IF(F102&gt;0,"已查到","未查到")</f>
        <v>未查到</v>
      </c>
    </row>
    <row r="103" customFormat="false" ht="15" hidden="false" customHeight="false" outlineLevel="0" collapsed="false">
      <c r="A103" s="12" t="s">
        <v>325</v>
      </c>
      <c r="B103" s="12" t="s">
        <v>262</v>
      </c>
      <c r="C103" s="12" t="s">
        <v>30</v>
      </c>
      <c r="D103" s="13"/>
      <c r="E103" s="12" t="s">
        <v>336</v>
      </c>
      <c r="F103" s="13" t="n">
        <f aca="false">COUNTIFS(高中!$A:$A,$B103,高中!$E:$E,$C103,高中!$F:$F,"&lt;&gt;",高中!$C:$C,"",高中!$D:$D,$E103)</f>
        <v>0</v>
      </c>
      <c r="G103" s="13" t="str">
        <f aca="false">IF(F103&gt;0,"已查到","未查到")</f>
        <v>未查到</v>
      </c>
    </row>
    <row r="104" customFormat="false" ht="15" hidden="false" customHeight="false" outlineLevel="0" collapsed="false">
      <c r="A104" s="12" t="s">
        <v>325</v>
      </c>
      <c r="B104" s="12" t="s">
        <v>262</v>
      </c>
      <c r="C104" s="12" t="s">
        <v>30</v>
      </c>
      <c r="D104" s="13"/>
      <c r="E104" s="12" t="s">
        <v>337</v>
      </c>
      <c r="F104" s="13" t="n">
        <f aca="false">COUNTIFS(高中!$A:$A,$B104,高中!$E:$E,$C104,高中!$F:$F,"&lt;&gt;",高中!$C:$C,"",高中!$D:$D,$E104)</f>
        <v>0</v>
      </c>
      <c r="G104" s="13" t="str">
        <f aca="false">IF(F104&gt;0,"已查到","未查到")</f>
        <v>未查到</v>
      </c>
    </row>
    <row r="105" customFormat="false" ht="15" hidden="false" customHeight="false" outlineLevel="0" collapsed="false">
      <c r="A105" s="12" t="s">
        <v>325</v>
      </c>
      <c r="B105" s="12" t="s">
        <v>262</v>
      </c>
      <c r="C105" s="12" t="s">
        <v>30</v>
      </c>
      <c r="D105" s="13"/>
      <c r="E105" s="12" t="s">
        <v>338</v>
      </c>
      <c r="F105" s="13" t="n">
        <f aca="false">COUNTIFS(高中!$A:$A,$B105,高中!$E:$E,$C105,高中!$F:$F,"&lt;&gt;",高中!$C:$C,"",高中!$D:$D,$E105)</f>
        <v>0</v>
      </c>
      <c r="G105" s="13" t="str">
        <f aca="false">IF(F105&gt;0,"已查到","未查到")</f>
        <v>未查到</v>
      </c>
    </row>
    <row r="106" customFormat="false" ht="15" hidden="false" customHeight="false" outlineLevel="0" collapsed="false">
      <c r="A106" s="12" t="s">
        <v>27</v>
      </c>
      <c r="B106" s="12" t="s">
        <v>262</v>
      </c>
      <c r="C106" s="12" t="s">
        <v>132</v>
      </c>
      <c r="D106" s="13" t="s">
        <v>28</v>
      </c>
      <c r="E106" s="12" t="s">
        <v>29</v>
      </c>
      <c r="F106" s="13" t="n">
        <f aca="false">COUNTIFS(國中!$A:$A,$B106,國中!$E:$E,$C106,國中!$F:$F,"&lt;&gt;",國中!$C:$C,$D106,國中!$D:$D,$E106)</f>
        <v>0</v>
      </c>
      <c r="G106" s="13" t="str">
        <f aca="false">IF(F106&gt;0,"已查到","未查到")</f>
        <v>未查到</v>
      </c>
    </row>
    <row r="107" customFormat="false" ht="15" hidden="false" customHeight="false" outlineLevel="0" collapsed="false">
      <c r="A107" s="12" t="s">
        <v>27</v>
      </c>
      <c r="B107" s="12" t="s">
        <v>262</v>
      </c>
      <c r="C107" s="12" t="s">
        <v>132</v>
      </c>
      <c r="D107" s="13" t="s">
        <v>28</v>
      </c>
      <c r="E107" s="12" t="s">
        <v>51</v>
      </c>
      <c r="F107" s="13" t="n">
        <f aca="false">COUNTIFS(國中!$A:$A,$B107,國中!$E:$E,$C107,國中!$F:$F,"&lt;&gt;",國中!$C:$C,$D107,國中!$D:$D,$E107)</f>
        <v>0</v>
      </c>
      <c r="G107" s="13" t="str">
        <f aca="false">IF(F107&gt;0,"已查到","未查到")</f>
        <v>未查到</v>
      </c>
    </row>
    <row r="108" customFormat="false" ht="15" hidden="false" customHeight="false" outlineLevel="0" collapsed="false">
      <c r="A108" s="12" t="s">
        <v>27</v>
      </c>
      <c r="B108" s="12" t="s">
        <v>262</v>
      </c>
      <c r="C108" s="12" t="s">
        <v>132</v>
      </c>
      <c r="D108" s="13" t="s">
        <v>70</v>
      </c>
      <c r="E108" s="12" t="s">
        <v>29</v>
      </c>
      <c r="F108" s="13" t="n">
        <f aca="false">COUNTIFS(國中!$A:$A,$B108,國中!$E:$E,$C108,國中!$F:$F,"&lt;&gt;",國中!$C:$C,$D108,國中!$D:$D,$E108)</f>
        <v>0</v>
      </c>
      <c r="G108" s="13" t="str">
        <f aca="false">IF(F108&gt;0,"已查到","未查到")</f>
        <v>未查到</v>
      </c>
    </row>
    <row r="109" customFormat="false" ht="15" hidden="false" customHeight="false" outlineLevel="0" collapsed="false">
      <c r="A109" s="12" t="s">
        <v>27</v>
      </c>
      <c r="B109" s="12" t="s">
        <v>262</v>
      </c>
      <c r="C109" s="12" t="s">
        <v>132</v>
      </c>
      <c r="D109" s="13" t="s">
        <v>70</v>
      </c>
      <c r="E109" s="12" t="s">
        <v>51</v>
      </c>
      <c r="F109" s="13" t="n">
        <f aca="false">COUNTIFS(國中!$A:$A,$B109,國中!$E:$E,$C109,國中!$F:$F,"&lt;&gt;",國中!$C:$C,$D109,國中!$D:$D,$E109)</f>
        <v>0</v>
      </c>
      <c r="G109" s="13" t="str">
        <f aca="false">IF(F109&gt;0,"已查到","未查到")</f>
        <v>未查到</v>
      </c>
    </row>
    <row r="110" customFormat="false" ht="15" hidden="false" customHeight="false" outlineLevel="0" collapsed="false">
      <c r="A110" s="12" t="s">
        <v>27</v>
      </c>
      <c r="B110" s="12" t="s">
        <v>262</v>
      </c>
      <c r="C110" s="12" t="s">
        <v>132</v>
      </c>
      <c r="D110" s="13" t="s">
        <v>103</v>
      </c>
      <c r="E110" s="12" t="s">
        <v>29</v>
      </c>
      <c r="F110" s="13" t="n">
        <f aca="false">COUNTIFS(國中!$A:$A,$B110,國中!$E:$E,$C110,國中!$F:$F,"&lt;&gt;",國中!$C:$C,$D110,國中!$D:$D,$E110)</f>
        <v>0</v>
      </c>
      <c r="G110" s="13" t="str">
        <f aca="false">IF(F110&gt;0,"已查到","未查到")</f>
        <v>未查到</v>
      </c>
    </row>
    <row r="111" customFormat="false" ht="15" hidden="false" customHeight="false" outlineLevel="0" collapsed="false">
      <c r="A111" s="12" t="s">
        <v>27</v>
      </c>
      <c r="B111" s="12" t="s">
        <v>262</v>
      </c>
      <c r="C111" s="12" t="s">
        <v>132</v>
      </c>
      <c r="D111" s="13" t="s">
        <v>103</v>
      </c>
      <c r="E111" s="12" t="s">
        <v>51</v>
      </c>
      <c r="F111" s="13" t="n">
        <f aca="false">COUNTIFS(國中!$A:$A,$B111,國中!$E:$E,$C111,國中!$F:$F,"&lt;&gt;",國中!$C:$C,$D111,國中!$D:$D,$E111)</f>
        <v>0</v>
      </c>
      <c r="G111" s="13" t="str">
        <f aca="false">IF(F111&gt;0,"已查到","未查到")</f>
        <v>未查到</v>
      </c>
    </row>
    <row r="112" customFormat="false" ht="15" hidden="false" customHeight="false" outlineLevel="0" collapsed="false">
      <c r="A112" s="12" t="s">
        <v>325</v>
      </c>
      <c r="B112" s="12" t="s">
        <v>262</v>
      </c>
      <c r="C112" s="12" t="s">
        <v>132</v>
      </c>
      <c r="D112" s="13" t="s">
        <v>326</v>
      </c>
      <c r="E112" s="12" t="s">
        <v>327</v>
      </c>
      <c r="F112" s="13" t="n">
        <f aca="false">COUNTIFS(高中!$A:$A,$B112,高中!$E:$E,$C112,高中!$F:$F,"&lt;&gt;",高中!$C:$C,$D112,高中!$D:$D,$E112)</f>
        <v>0</v>
      </c>
      <c r="G112" s="13" t="str">
        <f aca="false">IF(F112&gt;0,"已查到","未查到")</f>
        <v>未查到</v>
      </c>
    </row>
    <row r="113" customFormat="false" ht="15" hidden="false" customHeight="false" outlineLevel="0" collapsed="false">
      <c r="A113" s="12" t="s">
        <v>325</v>
      </c>
      <c r="B113" s="12" t="s">
        <v>262</v>
      </c>
      <c r="C113" s="12" t="s">
        <v>132</v>
      </c>
      <c r="D113" s="13" t="s">
        <v>326</v>
      </c>
      <c r="E113" s="12" t="s">
        <v>328</v>
      </c>
      <c r="F113" s="13" t="n">
        <f aca="false">COUNTIFS(高中!$A:$A,$B113,高中!$E:$E,$C113,高中!$F:$F,"&lt;&gt;",高中!$C:$C,$D113,高中!$D:$D,$E113)</f>
        <v>0</v>
      </c>
      <c r="G113" s="13" t="str">
        <f aca="false">IF(F113&gt;0,"已查到","未查到")</f>
        <v>未查到</v>
      </c>
    </row>
    <row r="114" customFormat="false" ht="15" hidden="false" customHeight="false" outlineLevel="0" collapsed="false">
      <c r="A114" s="12" t="s">
        <v>325</v>
      </c>
      <c r="B114" s="12" t="s">
        <v>262</v>
      </c>
      <c r="C114" s="12" t="s">
        <v>132</v>
      </c>
      <c r="D114" s="13" t="s">
        <v>329</v>
      </c>
      <c r="E114" s="12" t="s">
        <v>330</v>
      </c>
      <c r="F114" s="13" t="n">
        <f aca="false">COUNTIFS(高中!$A:$A,$B114,高中!$E:$E,$C114,高中!$F:$F,"&lt;&gt;",高中!$C:$C,$D114,高中!$D:$D,$E114)</f>
        <v>0</v>
      </c>
      <c r="G114" s="13" t="str">
        <f aca="false">IF(F114&gt;0,"已查到","未查到")</f>
        <v>未查到</v>
      </c>
    </row>
    <row r="115" customFormat="false" ht="15" hidden="false" customHeight="false" outlineLevel="0" collapsed="false">
      <c r="A115" s="12" t="s">
        <v>325</v>
      </c>
      <c r="B115" s="12" t="s">
        <v>262</v>
      </c>
      <c r="C115" s="12" t="s">
        <v>132</v>
      </c>
      <c r="D115" s="13" t="s">
        <v>329</v>
      </c>
      <c r="E115" s="12" t="s">
        <v>331</v>
      </c>
      <c r="F115" s="13" t="n">
        <f aca="false">COUNTIFS(高中!$A:$A,$B115,高中!$E:$E,$C115,高中!$F:$F,"&lt;&gt;",高中!$C:$C,$D115,高中!$D:$D,$E115)</f>
        <v>0</v>
      </c>
      <c r="G115" s="13" t="str">
        <f aca="false">IF(F115&gt;0,"已查到","未查到")</f>
        <v>未查到</v>
      </c>
    </row>
    <row r="116" customFormat="false" ht="15" hidden="false" customHeight="false" outlineLevel="0" collapsed="false">
      <c r="A116" s="12" t="s">
        <v>325</v>
      </c>
      <c r="B116" s="12" t="s">
        <v>262</v>
      </c>
      <c r="C116" s="12" t="s">
        <v>132</v>
      </c>
      <c r="D116" s="13" t="s">
        <v>332</v>
      </c>
      <c r="E116" s="12" t="s">
        <v>333</v>
      </c>
      <c r="F116" s="13" t="n">
        <f aca="false">COUNTIFS(高中!$A:$A,$B116,高中!$E:$E,$C116,高中!$F:$F,"&lt;&gt;",高中!$C:$C,$D116,高中!$D:$D,$E116)</f>
        <v>0</v>
      </c>
      <c r="G116" s="13" t="str">
        <f aca="false">IF(F116&gt;0,"已查到","未查到")</f>
        <v>未查到</v>
      </c>
    </row>
    <row r="117" customFormat="false" ht="15" hidden="false" customHeight="false" outlineLevel="0" collapsed="false">
      <c r="A117" s="12" t="s">
        <v>325</v>
      </c>
      <c r="B117" s="12" t="s">
        <v>262</v>
      </c>
      <c r="C117" s="12" t="s">
        <v>132</v>
      </c>
      <c r="D117" s="13" t="s">
        <v>332</v>
      </c>
      <c r="E117" s="12" t="s">
        <v>334</v>
      </c>
      <c r="F117" s="13" t="n">
        <f aca="false">COUNTIFS(高中!$A:$A,$B117,高中!$E:$E,$C117,高中!$F:$F,"&lt;&gt;",高中!$C:$C,$D117,高中!$D:$D,$E117)</f>
        <v>0</v>
      </c>
      <c r="G117" s="13" t="str">
        <f aca="false">IF(F117&gt;0,"已查到","未查到")</f>
        <v>未查到</v>
      </c>
    </row>
    <row r="118" customFormat="false" ht="15" hidden="false" customHeight="false" outlineLevel="0" collapsed="false">
      <c r="A118" s="12" t="s">
        <v>325</v>
      </c>
      <c r="B118" s="12" t="s">
        <v>262</v>
      </c>
      <c r="C118" s="12" t="s">
        <v>132</v>
      </c>
      <c r="D118" s="13"/>
      <c r="E118" s="12" t="s">
        <v>339</v>
      </c>
      <c r="F118" s="13" t="n">
        <f aca="false">COUNTIFS(高中!$A:$A,$B118,高中!$E:$E,$C118,高中!$F:$F,"&lt;&gt;",高中!$C:$C,"",高中!$D:$D,$E118)</f>
        <v>0</v>
      </c>
      <c r="G118" s="13" t="str">
        <f aca="false">IF(F118&gt;0,"已查到","未查到")</f>
        <v>未查到</v>
      </c>
    </row>
    <row r="119" customFormat="false" ht="15" hidden="false" customHeight="false" outlineLevel="0" collapsed="false">
      <c r="A119" s="12" t="s">
        <v>325</v>
      </c>
      <c r="B119" s="12" t="s">
        <v>262</v>
      </c>
      <c r="C119" s="12" t="s">
        <v>132</v>
      </c>
      <c r="D119" s="13"/>
      <c r="E119" s="12" t="s">
        <v>340</v>
      </c>
      <c r="F119" s="13" t="n">
        <f aca="false">COUNTIFS(高中!$A:$A,$B119,高中!$E:$E,$C119,高中!$F:$F,"&lt;&gt;",高中!$C:$C,"",高中!$D:$D,$E119)</f>
        <v>0</v>
      </c>
      <c r="G119" s="13" t="str">
        <f aca="false">IF(F119&gt;0,"已查到","未查到")</f>
        <v>未查到</v>
      </c>
    </row>
    <row r="120" customFormat="false" ht="15" hidden="false" customHeight="false" outlineLevel="0" collapsed="false">
      <c r="A120" s="12" t="s">
        <v>27</v>
      </c>
      <c r="B120" s="12" t="s">
        <v>262</v>
      </c>
      <c r="C120" s="12" t="s">
        <v>146</v>
      </c>
      <c r="D120" s="13" t="s">
        <v>28</v>
      </c>
      <c r="E120" s="12" t="s">
        <v>29</v>
      </c>
      <c r="F120" s="13" t="n">
        <f aca="false">COUNTIFS(國中!$A:$A,$B120,國中!$E:$E,$C120,國中!$F:$F,"&lt;&gt;",國中!$C:$C,$D120,國中!$D:$D,$E120)</f>
        <v>3</v>
      </c>
      <c r="G120" s="13" t="str">
        <f aca="false">IF(F120&gt;0,"已查到","未查到")</f>
        <v>已查到</v>
      </c>
    </row>
    <row r="121" customFormat="false" ht="15" hidden="false" customHeight="false" outlineLevel="0" collapsed="false">
      <c r="A121" s="12" t="s">
        <v>27</v>
      </c>
      <c r="B121" s="12" t="s">
        <v>262</v>
      </c>
      <c r="C121" s="12" t="s">
        <v>146</v>
      </c>
      <c r="D121" s="13" t="s">
        <v>28</v>
      </c>
      <c r="E121" s="12" t="s">
        <v>51</v>
      </c>
      <c r="F121" s="13" t="n">
        <f aca="false">COUNTIFS(國中!$A:$A,$B121,國中!$E:$E,$C121,國中!$F:$F,"&lt;&gt;",國中!$C:$C,$D121,國中!$D:$D,$E121)</f>
        <v>6</v>
      </c>
      <c r="G121" s="13" t="str">
        <f aca="false">IF(F121&gt;0,"已查到","未查到")</f>
        <v>已查到</v>
      </c>
    </row>
    <row r="122" customFormat="false" ht="15" hidden="false" customHeight="false" outlineLevel="0" collapsed="false">
      <c r="A122" s="12" t="s">
        <v>27</v>
      </c>
      <c r="B122" s="12" t="s">
        <v>262</v>
      </c>
      <c r="C122" s="12" t="s">
        <v>146</v>
      </c>
      <c r="D122" s="13" t="s">
        <v>70</v>
      </c>
      <c r="E122" s="12" t="s">
        <v>29</v>
      </c>
      <c r="F122" s="13" t="n">
        <f aca="false">COUNTIFS(國中!$A:$A,$B122,國中!$E:$E,$C122,國中!$F:$F,"&lt;&gt;",國中!$C:$C,$D122,國中!$D:$D,$E122)</f>
        <v>4</v>
      </c>
      <c r="G122" s="13" t="str">
        <f aca="false">IF(F122&gt;0,"已查到","未查到")</f>
        <v>已查到</v>
      </c>
    </row>
    <row r="123" customFormat="false" ht="15" hidden="false" customHeight="false" outlineLevel="0" collapsed="false">
      <c r="A123" s="12" t="s">
        <v>27</v>
      </c>
      <c r="B123" s="12" t="s">
        <v>262</v>
      </c>
      <c r="C123" s="12" t="s">
        <v>146</v>
      </c>
      <c r="D123" s="13" t="s">
        <v>70</v>
      </c>
      <c r="E123" s="12" t="s">
        <v>51</v>
      </c>
      <c r="F123" s="13" t="n">
        <f aca="false">COUNTIFS(國中!$A:$A,$B123,國中!$E:$E,$C123,國中!$F:$F,"&lt;&gt;",國中!$C:$C,$D123,國中!$D:$D,$E123)</f>
        <v>4</v>
      </c>
      <c r="G123" s="13" t="str">
        <f aca="false">IF(F123&gt;0,"已查到","未查到")</f>
        <v>已查到</v>
      </c>
    </row>
    <row r="124" customFormat="false" ht="15" hidden="false" customHeight="false" outlineLevel="0" collapsed="false">
      <c r="A124" s="12" t="s">
        <v>27</v>
      </c>
      <c r="B124" s="12" t="s">
        <v>262</v>
      </c>
      <c r="C124" s="12" t="s">
        <v>146</v>
      </c>
      <c r="D124" s="13" t="s">
        <v>103</v>
      </c>
      <c r="E124" s="12" t="s">
        <v>29</v>
      </c>
      <c r="F124" s="13" t="n">
        <f aca="false">COUNTIFS(國中!$A:$A,$B124,國中!$E:$E,$C124,國中!$F:$F,"&lt;&gt;",國中!$C:$C,$D124,國中!$D:$D,$E124)</f>
        <v>3</v>
      </c>
      <c r="G124" s="13" t="str">
        <f aca="false">IF(F124&gt;0,"已查到","未查到")</f>
        <v>已查到</v>
      </c>
    </row>
    <row r="125" customFormat="false" ht="15" hidden="false" customHeight="false" outlineLevel="0" collapsed="false">
      <c r="A125" s="12" t="s">
        <v>27</v>
      </c>
      <c r="B125" s="12" t="s">
        <v>262</v>
      </c>
      <c r="C125" s="12" t="s">
        <v>146</v>
      </c>
      <c r="D125" s="13" t="s">
        <v>103</v>
      </c>
      <c r="E125" s="12" t="s">
        <v>51</v>
      </c>
      <c r="F125" s="13" t="n">
        <f aca="false">COUNTIFS(國中!$A:$A,$B125,國中!$E:$E,$C125,國中!$F:$F,"&lt;&gt;",國中!$C:$C,$D125,國中!$D:$D,$E125)</f>
        <v>2</v>
      </c>
      <c r="G125" s="13" t="str">
        <f aca="false">IF(F125&gt;0,"已查到","未查到")</f>
        <v>已查到</v>
      </c>
    </row>
    <row r="126" customFormat="false" ht="15" hidden="false" customHeight="false" outlineLevel="0" collapsed="false">
      <c r="A126" s="12" t="s">
        <v>325</v>
      </c>
      <c r="B126" s="12" t="s">
        <v>262</v>
      </c>
      <c r="C126" s="12" t="s">
        <v>146</v>
      </c>
      <c r="D126" s="13" t="s">
        <v>326</v>
      </c>
      <c r="E126" s="12" t="s">
        <v>327</v>
      </c>
      <c r="F126" s="13" t="n">
        <f aca="false">COUNTIFS(高中!$A:$A,$B126,高中!$E:$E,$C126,高中!$F:$F,"&lt;&gt;",高中!$C:$C,$D126,高中!$D:$D,$E126)</f>
        <v>0</v>
      </c>
      <c r="G126" s="13" t="str">
        <f aca="false">IF(F126&gt;0,"已查到","未查到")</f>
        <v>未查到</v>
      </c>
    </row>
    <row r="127" customFormat="false" ht="15" hidden="false" customHeight="false" outlineLevel="0" collapsed="false">
      <c r="A127" s="12" t="s">
        <v>325</v>
      </c>
      <c r="B127" s="12" t="s">
        <v>262</v>
      </c>
      <c r="C127" s="12" t="s">
        <v>146</v>
      </c>
      <c r="D127" s="13" t="s">
        <v>326</v>
      </c>
      <c r="E127" s="12" t="s">
        <v>328</v>
      </c>
      <c r="F127" s="13" t="n">
        <f aca="false">COUNTIFS(高中!$A:$A,$B127,高中!$E:$E,$C127,高中!$F:$F,"&lt;&gt;",高中!$C:$C,$D127,高中!$D:$D,$E127)</f>
        <v>0</v>
      </c>
      <c r="G127" s="13" t="str">
        <f aca="false">IF(F127&gt;0,"已查到","未查到")</f>
        <v>未查到</v>
      </c>
    </row>
    <row r="128" customFormat="false" ht="15" hidden="false" customHeight="false" outlineLevel="0" collapsed="false">
      <c r="A128" s="12" t="s">
        <v>325</v>
      </c>
      <c r="B128" s="12" t="s">
        <v>262</v>
      </c>
      <c r="C128" s="12" t="s">
        <v>146</v>
      </c>
      <c r="D128" s="13" t="s">
        <v>329</v>
      </c>
      <c r="E128" s="12" t="s">
        <v>343</v>
      </c>
      <c r="F128" s="13" t="n">
        <f aca="false">COUNTIFS(高中!$A:$A,$B128,高中!$E:$E,$C128,高中!$F:$F,"&lt;&gt;",高中!$C:$C,$D128,高中!$D:$D,$E128)</f>
        <v>0</v>
      </c>
      <c r="G128" s="13" t="str">
        <f aca="false">IF(F128&gt;0,"已查到","未查到")</f>
        <v>未查到</v>
      </c>
    </row>
    <row r="129" customFormat="false" ht="15" hidden="false" customHeight="false" outlineLevel="0" collapsed="false">
      <c r="A129" s="12" t="s">
        <v>325</v>
      </c>
      <c r="B129" s="12" t="s">
        <v>262</v>
      </c>
      <c r="C129" s="12" t="s">
        <v>146</v>
      </c>
      <c r="D129" s="13" t="s">
        <v>329</v>
      </c>
      <c r="E129" s="12" t="s">
        <v>344</v>
      </c>
      <c r="F129" s="13" t="n">
        <f aca="false">COUNTIFS(高中!$A:$A,$B129,高中!$E:$E,$C129,高中!$F:$F,"&lt;&gt;",高中!$C:$C,$D129,高中!$D:$D,$E129)</f>
        <v>0</v>
      </c>
      <c r="G129" s="13" t="str">
        <f aca="false">IF(F129&gt;0,"已查到","未查到")</f>
        <v>未查到</v>
      </c>
    </row>
    <row r="130" customFormat="false" ht="15" hidden="false" customHeight="false" outlineLevel="0" collapsed="false">
      <c r="A130" s="12" t="s">
        <v>325</v>
      </c>
      <c r="B130" s="12" t="s">
        <v>262</v>
      </c>
      <c r="C130" s="12" t="s">
        <v>146</v>
      </c>
      <c r="D130" s="13" t="s">
        <v>329</v>
      </c>
      <c r="E130" s="12" t="s">
        <v>345</v>
      </c>
      <c r="F130" s="13" t="n">
        <f aca="false">COUNTIFS(高中!$A:$A,$B130,高中!$E:$E,$C130,高中!$F:$F,"&lt;&gt;",高中!$C:$C,$D130,高中!$D:$D,$E130)</f>
        <v>0</v>
      </c>
      <c r="G130" s="13" t="str">
        <f aca="false">IF(F130&gt;0,"已查到","未查到")</f>
        <v>未查到</v>
      </c>
    </row>
    <row r="131" customFormat="false" ht="15" hidden="false" customHeight="false" outlineLevel="0" collapsed="false">
      <c r="A131" s="12" t="s">
        <v>325</v>
      </c>
      <c r="B131" s="12" t="s">
        <v>262</v>
      </c>
      <c r="C131" s="12" t="s">
        <v>146</v>
      </c>
      <c r="D131" s="13" t="s">
        <v>329</v>
      </c>
      <c r="E131" s="12" t="s">
        <v>346</v>
      </c>
      <c r="F131" s="13" t="n">
        <f aca="false">COUNTIFS(高中!$A:$A,$B131,高中!$E:$E,$C131,高中!$F:$F,"&lt;&gt;",高中!$C:$C,$D131,高中!$D:$D,$E131)</f>
        <v>0</v>
      </c>
      <c r="G131" s="13" t="str">
        <f aca="false">IF(F131&gt;0,"已查到","未查到")</f>
        <v>未查到</v>
      </c>
    </row>
    <row r="132" customFormat="false" ht="15" hidden="false" customHeight="false" outlineLevel="0" collapsed="false">
      <c r="A132" s="12" t="s">
        <v>325</v>
      </c>
      <c r="B132" s="12" t="s">
        <v>262</v>
      </c>
      <c r="C132" s="12" t="s">
        <v>146</v>
      </c>
      <c r="D132" s="13" t="s">
        <v>332</v>
      </c>
      <c r="E132" s="12" t="s">
        <v>347</v>
      </c>
      <c r="F132" s="13" t="n">
        <f aca="false">COUNTIFS(高中!$A:$A,$B132,高中!$E:$E,$C132,高中!$F:$F,"&lt;&gt;",高中!$C:$C,$D132,高中!$D:$D,$E132)</f>
        <v>0</v>
      </c>
      <c r="G132" s="13" t="str">
        <f aca="false">IF(F132&gt;0,"已查到","未查到")</f>
        <v>未查到</v>
      </c>
    </row>
    <row r="133" customFormat="false" ht="15" hidden="false" customHeight="false" outlineLevel="0" collapsed="false">
      <c r="A133" s="12" t="s">
        <v>325</v>
      </c>
      <c r="B133" s="12" t="s">
        <v>262</v>
      </c>
      <c r="C133" s="12" t="s">
        <v>146</v>
      </c>
      <c r="D133" s="13" t="s">
        <v>332</v>
      </c>
      <c r="E133" s="12" t="s">
        <v>348</v>
      </c>
      <c r="F133" s="13" t="n">
        <f aca="false">COUNTIFS(高中!$A:$A,$B133,高中!$E:$E,$C133,高中!$F:$F,"&lt;&gt;",高中!$C:$C,$D133,高中!$D:$D,$E133)</f>
        <v>0</v>
      </c>
      <c r="G133" s="13" t="str">
        <f aca="false">IF(F133&gt;0,"已查到","未查到")</f>
        <v>未查到</v>
      </c>
    </row>
    <row r="134" customFormat="false" ht="15" hidden="false" customHeight="false" outlineLevel="0" collapsed="false">
      <c r="A134" s="12" t="s">
        <v>325</v>
      </c>
      <c r="B134" s="12" t="s">
        <v>262</v>
      </c>
      <c r="C134" s="12" t="s">
        <v>146</v>
      </c>
      <c r="D134" s="13" t="s">
        <v>332</v>
      </c>
      <c r="E134" s="12" t="s">
        <v>349</v>
      </c>
      <c r="F134" s="13" t="n">
        <f aca="false">COUNTIFS(高中!$A:$A,$B134,高中!$E:$E,$C134,高中!$F:$F,"&lt;&gt;",高中!$C:$C,$D134,高中!$D:$D,$E134)</f>
        <v>0</v>
      </c>
      <c r="G134" s="13" t="str">
        <f aca="false">IF(F134&gt;0,"已查到","未查到")</f>
        <v>未查到</v>
      </c>
    </row>
    <row r="135" customFormat="false" ht="15" hidden="false" customHeight="false" outlineLevel="0" collapsed="false">
      <c r="A135" s="12" t="s">
        <v>325</v>
      </c>
      <c r="B135" s="12" t="s">
        <v>262</v>
      </c>
      <c r="C135" s="12" t="s">
        <v>146</v>
      </c>
      <c r="D135" s="13" t="s">
        <v>332</v>
      </c>
      <c r="E135" s="12" t="s">
        <v>350</v>
      </c>
      <c r="F135" s="13" t="n">
        <f aca="false">COUNTIFS(高中!$A:$A,$B135,高中!$E:$E,$C135,高中!$F:$F,"&lt;&gt;",高中!$C:$C,$D135,高中!$D:$D,$E135)</f>
        <v>0</v>
      </c>
      <c r="G135" s="13" t="str">
        <f aca="false">IF(F135&gt;0,"已查到","未查到")</f>
        <v>未查到</v>
      </c>
    </row>
    <row r="136" customFormat="false" ht="15" hidden="false" customHeight="false" outlineLevel="0" collapsed="false">
      <c r="A136" s="12" t="s">
        <v>27</v>
      </c>
      <c r="B136" s="12" t="s">
        <v>262</v>
      </c>
      <c r="C136" s="12" t="s">
        <v>155</v>
      </c>
      <c r="D136" s="13" t="s">
        <v>28</v>
      </c>
      <c r="E136" s="12" t="s">
        <v>29</v>
      </c>
      <c r="F136" s="13" t="n">
        <f aca="false">COUNTIFS(國中!$A:$A,$B136,國中!$E:$E,$C136,國中!$F:$F,"&lt;&gt;",國中!$C:$C,$D136,國中!$D:$D,$E136)</f>
        <v>1</v>
      </c>
      <c r="G136" s="13" t="str">
        <f aca="false">IF(F136&gt;0,"已查到","未查到")</f>
        <v>已查到</v>
      </c>
    </row>
    <row r="137" customFormat="false" ht="15" hidden="false" customHeight="false" outlineLevel="0" collapsed="false">
      <c r="A137" s="12" t="s">
        <v>27</v>
      </c>
      <c r="B137" s="12" t="s">
        <v>262</v>
      </c>
      <c r="C137" s="12" t="s">
        <v>155</v>
      </c>
      <c r="D137" s="13" t="s">
        <v>28</v>
      </c>
      <c r="E137" s="12" t="s">
        <v>51</v>
      </c>
      <c r="F137" s="13" t="n">
        <f aca="false">COUNTIFS(國中!$A:$A,$B137,國中!$E:$E,$C137,國中!$F:$F,"&lt;&gt;",國中!$C:$C,$D137,國中!$D:$D,$E137)</f>
        <v>0</v>
      </c>
      <c r="G137" s="13" t="str">
        <f aca="false">IF(F137&gt;0,"已查到","未查到")</f>
        <v>未查到</v>
      </c>
    </row>
    <row r="138" customFormat="false" ht="15" hidden="false" customHeight="false" outlineLevel="0" collapsed="false">
      <c r="A138" s="12" t="s">
        <v>325</v>
      </c>
      <c r="B138" s="12" t="s">
        <v>262</v>
      </c>
      <c r="C138" s="12" t="s">
        <v>155</v>
      </c>
      <c r="D138" s="13"/>
      <c r="E138" s="12" t="s">
        <v>352</v>
      </c>
      <c r="F138" s="13" t="n">
        <f aca="false">COUNTIFS(高中!$A:$A,$B138,高中!$E:$E,$C138,高中!$F:$F,"&lt;&gt;",高中!$C:$C,"",高中!$D:$D,$E138)</f>
        <v>0</v>
      </c>
      <c r="G138" s="13" t="str">
        <f aca="false">IF(F138&gt;0,"已查到","未查到")</f>
        <v>未查到</v>
      </c>
    </row>
    <row r="139" customFormat="false" ht="15" hidden="false" customHeight="false" outlineLevel="0" collapsed="false">
      <c r="A139" s="12" t="s">
        <v>325</v>
      </c>
      <c r="B139" s="12" t="s">
        <v>262</v>
      </c>
      <c r="C139" s="12" t="s">
        <v>155</v>
      </c>
      <c r="D139" s="13"/>
      <c r="E139" s="12" t="s">
        <v>354</v>
      </c>
      <c r="F139" s="13" t="n">
        <f aca="false">COUNTIFS(高中!$A:$A,$B139,高中!$E:$E,$C139,高中!$F:$F,"&lt;&gt;",高中!$C:$C,"",高中!$D:$D,$E139)</f>
        <v>0</v>
      </c>
      <c r="G139" s="13" t="str">
        <f aca="false">IF(F139&gt;0,"已查到","未查到")</f>
        <v>未查到</v>
      </c>
    </row>
    <row r="140" customFormat="false" ht="15" hidden="false" customHeight="false" outlineLevel="0" collapsed="false">
      <c r="A140" s="12" t="s">
        <v>325</v>
      </c>
      <c r="B140" s="12" t="s">
        <v>262</v>
      </c>
      <c r="C140" s="12" t="s">
        <v>155</v>
      </c>
      <c r="D140" s="13"/>
      <c r="E140" s="12" t="s">
        <v>355</v>
      </c>
      <c r="F140" s="13" t="n">
        <f aca="false">COUNTIFS(高中!$A:$A,$B140,高中!$E:$E,$C140,高中!$F:$F,"&lt;&gt;",高中!$C:$C,"",高中!$D:$D,$E140)</f>
        <v>0</v>
      </c>
      <c r="G140" s="13" t="str">
        <f aca="false">IF(F140&gt;0,"已查到","未查到")</f>
        <v>未查到</v>
      </c>
    </row>
    <row r="141" customFormat="false" ht="15" hidden="false" customHeight="false" outlineLevel="0" collapsed="false">
      <c r="A141" s="12" t="s">
        <v>325</v>
      </c>
      <c r="B141" s="12" t="s">
        <v>262</v>
      </c>
      <c r="C141" s="12" t="s">
        <v>155</v>
      </c>
      <c r="D141" s="13"/>
      <c r="E141" s="12" t="s">
        <v>357</v>
      </c>
      <c r="F141" s="13" t="n">
        <f aca="false">COUNTIFS(高中!$A:$A,$B141,高中!$E:$E,$C141,高中!$F:$F,"&lt;&gt;",高中!$C:$C,"",高中!$D:$D,$E141)</f>
        <v>0</v>
      </c>
      <c r="G141" s="13" t="str">
        <f aca="false">IF(F141&gt;0,"已查到","未查到")</f>
        <v>未查到</v>
      </c>
    </row>
    <row r="142" customFormat="false" ht="15" hidden="false" customHeight="false" outlineLevel="0" collapsed="false">
      <c r="A142" s="12" t="s">
        <v>325</v>
      </c>
      <c r="B142" s="12" t="s">
        <v>262</v>
      </c>
      <c r="C142" s="12" t="s">
        <v>155</v>
      </c>
      <c r="D142" s="13"/>
      <c r="E142" s="12" t="s">
        <v>358</v>
      </c>
      <c r="F142" s="13" t="n">
        <f aca="false">COUNTIFS(高中!$A:$A,$B142,高中!$E:$E,$C142,高中!$F:$F,"&lt;&gt;",高中!$C:$C,"",高中!$D:$D,$E142)</f>
        <v>0</v>
      </c>
      <c r="G142" s="13" t="str">
        <f aca="false">IF(F142&gt;0,"已查到","未查到")</f>
        <v>未查到</v>
      </c>
    </row>
    <row r="143" customFormat="false" ht="15" hidden="false" customHeight="false" outlineLevel="0" collapsed="false">
      <c r="A143" s="12" t="s">
        <v>325</v>
      </c>
      <c r="B143" s="12" t="s">
        <v>262</v>
      </c>
      <c r="C143" s="12" t="s">
        <v>155</v>
      </c>
      <c r="D143" s="13"/>
      <c r="E143" s="12" t="s">
        <v>359</v>
      </c>
      <c r="F143" s="13" t="n">
        <f aca="false">COUNTIFS(高中!$A:$A,$B143,高中!$E:$E,$C143,高中!$F:$F,"&lt;&gt;",高中!$C:$C,"",高中!$D:$D,$E143)</f>
        <v>0</v>
      </c>
      <c r="G143" s="13" t="str">
        <f aca="false">IF(F143&gt;0,"已查到","未查到")</f>
        <v>未查到</v>
      </c>
    </row>
    <row r="144" customFormat="false" ht="15" hidden="false" customHeight="false" outlineLevel="0" collapsed="false">
      <c r="A144" s="12" t="s">
        <v>27</v>
      </c>
      <c r="B144" s="12" t="s">
        <v>262</v>
      </c>
      <c r="C144" s="12" t="s">
        <v>165</v>
      </c>
      <c r="D144" s="13" t="s">
        <v>70</v>
      </c>
      <c r="E144" s="12" t="s">
        <v>29</v>
      </c>
      <c r="F144" s="13" t="n">
        <f aca="false">COUNTIFS(國中!$A:$A,$B144,國中!$E:$E,$C144,國中!$F:$F,"&lt;&gt;",國中!$C:$C,$D144,國中!$D:$D,$E144)</f>
        <v>0</v>
      </c>
      <c r="G144" s="13" t="str">
        <f aca="false">IF(F144&gt;0,"已查到","未查到")</f>
        <v>未查到</v>
      </c>
    </row>
    <row r="145" customFormat="false" ht="15" hidden="false" customHeight="false" outlineLevel="0" collapsed="false">
      <c r="A145" s="12" t="s">
        <v>27</v>
      </c>
      <c r="B145" s="12" t="s">
        <v>262</v>
      </c>
      <c r="C145" s="12" t="s">
        <v>165</v>
      </c>
      <c r="D145" s="13" t="s">
        <v>70</v>
      </c>
      <c r="E145" s="12" t="s">
        <v>51</v>
      </c>
      <c r="F145" s="13" t="n">
        <f aca="false">COUNTIFS(國中!$A:$A,$B145,國中!$E:$E,$C145,國中!$F:$F,"&lt;&gt;",國中!$C:$C,$D145,國中!$D:$D,$E145)</f>
        <v>0</v>
      </c>
      <c r="G145" s="13" t="str">
        <f aca="false">IF(F145&gt;0,"已查到","未查到")</f>
        <v>未查到</v>
      </c>
    </row>
    <row r="146" customFormat="false" ht="15" hidden="false" customHeight="false" outlineLevel="0" collapsed="false">
      <c r="A146" s="12" t="s">
        <v>27</v>
      </c>
      <c r="B146" s="12" t="s">
        <v>262</v>
      </c>
      <c r="C146" s="12" t="s">
        <v>165</v>
      </c>
      <c r="D146" s="13" t="s">
        <v>103</v>
      </c>
      <c r="E146" s="12" t="s">
        <v>29</v>
      </c>
      <c r="F146" s="13" t="n">
        <f aca="false">COUNTIFS(國中!$A:$A,$B146,國中!$E:$E,$C146,國中!$F:$F,"&lt;&gt;",國中!$C:$C,$D146,國中!$D:$D,$E146)</f>
        <v>0</v>
      </c>
      <c r="G146" s="13" t="str">
        <f aca="false">IF(F146&gt;0,"已查到","未查到")</f>
        <v>未查到</v>
      </c>
    </row>
    <row r="147" customFormat="false" ht="15" hidden="false" customHeight="false" outlineLevel="0" collapsed="false">
      <c r="A147" s="12" t="s">
        <v>27</v>
      </c>
      <c r="B147" s="12" t="s">
        <v>262</v>
      </c>
      <c r="C147" s="12" t="s">
        <v>165</v>
      </c>
      <c r="D147" s="13" t="s">
        <v>103</v>
      </c>
      <c r="E147" s="12" t="s">
        <v>51</v>
      </c>
      <c r="F147" s="13" t="n">
        <f aca="false">COUNTIFS(國中!$A:$A,$B147,國中!$E:$E,$C147,國中!$F:$F,"&lt;&gt;",國中!$C:$C,$D147,國中!$D:$D,$E147)</f>
        <v>0</v>
      </c>
      <c r="G147" s="13" t="str">
        <f aca="false">IF(F147&gt;0,"已查到","未查到")</f>
        <v>未查到</v>
      </c>
    </row>
    <row r="148" customFormat="false" ht="15" hidden="false" customHeight="false" outlineLevel="0" collapsed="false">
      <c r="A148" s="12" t="s">
        <v>325</v>
      </c>
      <c r="B148" s="12" t="s">
        <v>262</v>
      </c>
      <c r="C148" s="12" t="s">
        <v>361</v>
      </c>
      <c r="D148" s="13"/>
      <c r="E148" s="12" t="s">
        <v>360</v>
      </c>
      <c r="F148" s="13" t="n">
        <f aca="false">COUNTIFS(高中!$A:$A,$B148,高中!$E:$E,$C148,高中!$F:$F,"&lt;&gt;",高中!$C:$C,"",高中!$D:$D,$E148)</f>
        <v>0</v>
      </c>
      <c r="G148" s="13" t="str">
        <f aca="false">IF(F148&gt;0,"已查到","未查到")</f>
        <v>未查到</v>
      </c>
    </row>
    <row r="149" customFormat="false" ht="15" hidden="false" customHeight="false" outlineLevel="0" collapsed="false">
      <c r="A149" s="12" t="s">
        <v>325</v>
      </c>
      <c r="B149" s="12" t="s">
        <v>262</v>
      </c>
      <c r="C149" s="12" t="s">
        <v>361</v>
      </c>
      <c r="D149" s="13"/>
      <c r="E149" s="12" t="s">
        <v>362</v>
      </c>
      <c r="F149" s="13" t="n">
        <f aca="false">COUNTIFS(高中!$A:$A,$B149,高中!$E:$E,$C149,高中!$F:$F,"&lt;&gt;",高中!$C:$C,"",高中!$D:$D,$E149)</f>
        <v>0</v>
      </c>
      <c r="G149" s="13" t="str">
        <f aca="false">IF(F149&gt;0,"已查到","未查到")</f>
        <v>未查到</v>
      </c>
    </row>
    <row r="150" customFormat="false" ht="15" hidden="false" customHeight="false" outlineLevel="0" collapsed="false">
      <c r="A150" s="12" t="s">
        <v>325</v>
      </c>
      <c r="B150" s="12" t="s">
        <v>262</v>
      </c>
      <c r="C150" s="12" t="s">
        <v>361</v>
      </c>
      <c r="D150" s="13"/>
      <c r="E150" s="12" t="s">
        <v>363</v>
      </c>
      <c r="F150" s="13" t="n">
        <f aca="false">COUNTIFS(高中!$A:$A,$B150,高中!$E:$E,$C150,高中!$F:$F,"&lt;&gt;",高中!$C:$C,"",高中!$D:$D,$E150)</f>
        <v>0</v>
      </c>
      <c r="G150" s="13" t="str">
        <f aca="false">IF(F150&gt;0,"已查到","未查到")</f>
        <v>未查到</v>
      </c>
    </row>
    <row r="151" customFormat="false" ht="15" hidden="false" customHeight="false" outlineLevel="0" collapsed="false">
      <c r="A151" s="12" t="s">
        <v>325</v>
      </c>
      <c r="B151" s="12" t="s">
        <v>262</v>
      </c>
      <c r="C151" s="12" t="s">
        <v>361</v>
      </c>
      <c r="D151" s="13"/>
      <c r="E151" s="12" t="s">
        <v>364</v>
      </c>
      <c r="F151" s="13" t="n">
        <f aca="false">COUNTIFS(高中!$A:$A,$B151,高中!$E:$E,$C151,高中!$F:$F,"&lt;&gt;",高中!$C:$C,"",高中!$D:$D,$E151)</f>
        <v>0</v>
      </c>
      <c r="G151" s="13" t="str">
        <f aca="false">IF(F151&gt;0,"已查到","未查到")</f>
        <v>未查到</v>
      </c>
    </row>
    <row r="152" customFormat="false" ht="15" hidden="false" customHeight="false" outlineLevel="0" collapsed="false">
      <c r="A152" s="12" t="s">
        <v>325</v>
      </c>
      <c r="B152" s="12" t="s">
        <v>262</v>
      </c>
      <c r="C152" s="12" t="s">
        <v>361</v>
      </c>
      <c r="D152" s="13"/>
      <c r="E152" s="12" t="s">
        <v>365</v>
      </c>
      <c r="F152" s="13" t="n">
        <f aca="false">COUNTIFS(高中!$A:$A,$B152,高中!$E:$E,$C152,高中!$F:$F,"&lt;&gt;",高中!$C:$C,"",高中!$D:$D,$E152)</f>
        <v>0</v>
      </c>
      <c r="G152" s="13" t="str">
        <f aca="false">IF(F152&gt;0,"已查到","未查到")</f>
        <v>未查到</v>
      </c>
    </row>
    <row r="153" customFormat="false" ht="15" hidden="false" customHeight="false" outlineLevel="0" collapsed="false">
      <c r="A153" s="12" t="s">
        <v>325</v>
      </c>
      <c r="B153" s="12" t="s">
        <v>262</v>
      </c>
      <c r="C153" s="12" t="s">
        <v>361</v>
      </c>
      <c r="D153" s="13"/>
      <c r="E153" s="12" t="s">
        <v>366</v>
      </c>
      <c r="F153" s="13" t="n">
        <f aca="false">COUNTIFS(高中!$A:$A,$B153,高中!$E:$E,$C153,高中!$F:$F,"&lt;&gt;",高中!$C:$C,"",高中!$D:$D,$E153)</f>
        <v>0</v>
      </c>
      <c r="G153" s="13" t="str">
        <f aca="false">IF(F153&gt;0,"已查到","未查到")</f>
        <v>未查到</v>
      </c>
    </row>
    <row r="154" customFormat="false" ht="15" hidden="false" customHeight="false" outlineLevel="0" collapsed="false">
      <c r="A154" s="12" t="s">
        <v>325</v>
      </c>
      <c r="B154" s="12" t="s">
        <v>262</v>
      </c>
      <c r="C154" s="12" t="s">
        <v>368</v>
      </c>
      <c r="D154" s="13" t="s">
        <v>326</v>
      </c>
      <c r="E154" s="12" t="s">
        <v>367</v>
      </c>
      <c r="F154" s="13" t="n">
        <f aca="false">COUNTIFS(高中!$A:$A,$B154,高中!$E:$E,$C154,高中!$F:$F,"&lt;&gt;",高中!$C:$C,$D154,高中!$D:$D,$E154)</f>
        <v>4</v>
      </c>
      <c r="G154" s="13" t="str">
        <f aca="false">IF(F154&gt;0,"已查到","未查到")</f>
        <v>已查到</v>
      </c>
    </row>
    <row r="155" customFormat="false" ht="15" hidden="false" customHeight="false" outlineLevel="0" collapsed="false">
      <c r="A155" s="12" t="s">
        <v>325</v>
      </c>
      <c r="B155" s="12" t="s">
        <v>262</v>
      </c>
      <c r="C155" s="12" t="s">
        <v>368</v>
      </c>
      <c r="D155" s="13" t="s">
        <v>332</v>
      </c>
      <c r="E155" s="12" t="s">
        <v>376</v>
      </c>
      <c r="F155" s="13" t="n">
        <f aca="false">COUNTIFS(高中!$A:$A,$B155,高中!$E:$E,$C155,高中!$F:$F,"&lt;&gt;",高中!$C:$C,$D155,高中!$D:$D,$E155)</f>
        <v>2</v>
      </c>
      <c r="G155" s="13" t="str">
        <f aca="false">IF(F155&gt;0,"已查到","未查到")</f>
        <v>已查到</v>
      </c>
    </row>
    <row r="156" customFormat="false" ht="15" hidden="false" customHeight="false" outlineLevel="0" collapsed="false">
      <c r="A156" s="12" t="s">
        <v>325</v>
      </c>
      <c r="B156" s="12" t="s">
        <v>262</v>
      </c>
      <c r="C156" s="12" t="s">
        <v>368</v>
      </c>
      <c r="D156" s="13"/>
      <c r="E156" s="12" t="s">
        <v>384</v>
      </c>
      <c r="F156" s="13" t="n">
        <f aca="false">COUNTIFS(高中!$A:$A,$B156,高中!$E:$E,$C156,高中!$F:$F,"&lt;&gt;",高中!$C:$C,"",高中!$D:$D,$E156)</f>
        <v>0</v>
      </c>
      <c r="G156" s="13" t="str">
        <f aca="false">IF(F156&gt;0,"已查到","未查到")</f>
        <v>未查到</v>
      </c>
    </row>
    <row r="157" customFormat="false" ht="15" hidden="false" customHeight="false" outlineLevel="0" collapsed="false">
      <c r="A157" s="12" t="s">
        <v>325</v>
      </c>
      <c r="B157" s="12" t="s">
        <v>262</v>
      </c>
      <c r="C157" s="12" t="s">
        <v>368</v>
      </c>
      <c r="D157" s="13"/>
      <c r="E157" s="12" t="s">
        <v>385</v>
      </c>
      <c r="F157" s="13" t="n">
        <f aca="false">COUNTIFS(高中!$A:$A,$B157,高中!$E:$E,$C157,高中!$F:$F,"&lt;&gt;",高中!$C:$C,"",高中!$D:$D,$E157)</f>
        <v>0</v>
      </c>
      <c r="G157" s="13" t="str">
        <f aca="false">IF(F157&gt;0,"已查到","未查到")</f>
        <v>未查到</v>
      </c>
    </row>
    <row r="158" customFormat="false" ht="15" hidden="false" customHeight="false" outlineLevel="0" collapsed="false">
      <c r="A158" s="12" t="s">
        <v>325</v>
      </c>
      <c r="B158" s="12" t="s">
        <v>262</v>
      </c>
      <c r="C158" s="12" t="s">
        <v>368</v>
      </c>
      <c r="D158" s="13"/>
      <c r="E158" s="12" t="s">
        <v>386</v>
      </c>
      <c r="F158" s="13" t="n">
        <f aca="false">COUNTIFS(高中!$A:$A,$B158,高中!$E:$E,$C158,高中!$F:$F,"&lt;&gt;",高中!$C:$C,"",高中!$D:$D,$E158)</f>
        <v>0</v>
      </c>
      <c r="G158" s="13" t="str">
        <f aca="false">IF(F158&gt;0,"已查到","未查到")</f>
        <v>未查到</v>
      </c>
    </row>
    <row r="159" customFormat="false" ht="15" hidden="false" customHeight="false" outlineLevel="0" collapsed="false">
      <c r="A159" s="12" t="s">
        <v>325</v>
      </c>
      <c r="B159" s="12" t="s">
        <v>262</v>
      </c>
      <c r="C159" s="12" t="s">
        <v>368</v>
      </c>
      <c r="D159" s="13"/>
      <c r="E159" s="12" t="s">
        <v>387</v>
      </c>
      <c r="F159" s="13" t="n">
        <f aca="false">COUNTIFS(高中!$A:$A,$B159,高中!$E:$E,$C159,高中!$F:$F,"&lt;&gt;",高中!$C:$C,"",高中!$D:$D,$E159)</f>
        <v>0</v>
      </c>
      <c r="G159" s="13" t="str">
        <f aca="false">IF(F159&gt;0,"已查到","未查到")</f>
        <v>未查到</v>
      </c>
    </row>
    <row r="160" customFormat="false" ht="15" hidden="false" customHeight="false" outlineLevel="0" collapsed="false">
      <c r="A160" s="12" t="s">
        <v>325</v>
      </c>
      <c r="B160" s="12" t="s">
        <v>262</v>
      </c>
      <c r="C160" s="12" t="s">
        <v>368</v>
      </c>
      <c r="D160" s="13"/>
      <c r="E160" s="12" t="s">
        <v>388</v>
      </c>
      <c r="F160" s="13" t="n">
        <f aca="false">COUNTIFS(高中!$A:$A,$B160,高中!$E:$E,$C160,高中!$F:$F,"&lt;&gt;",高中!$C:$C,"",高中!$D:$D,$E160)</f>
        <v>0</v>
      </c>
      <c r="G160" s="13" t="str">
        <f aca="false">IF(F160&gt;0,"已查到","未查到")</f>
        <v>未查到</v>
      </c>
    </row>
    <row r="161" customFormat="false" ht="15" hidden="false" customHeight="false" outlineLevel="0" collapsed="false">
      <c r="A161" s="12" t="s">
        <v>325</v>
      </c>
      <c r="B161" s="12" t="s">
        <v>262</v>
      </c>
      <c r="C161" s="12" t="s">
        <v>368</v>
      </c>
      <c r="D161" s="13"/>
      <c r="E161" s="12" t="s">
        <v>389</v>
      </c>
      <c r="F161" s="13" t="n">
        <f aca="false">COUNTIFS(高中!$A:$A,$B161,高中!$E:$E,$C161,高中!$F:$F,"&lt;&gt;",高中!$C:$C,"",高中!$D:$D,$E161)</f>
        <v>0</v>
      </c>
      <c r="G161" s="13" t="str">
        <f aca="false">IF(F161&gt;0,"已查到","未查到")</f>
        <v>未查到</v>
      </c>
    </row>
    <row r="162" customFormat="false" ht="15" hidden="false" customHeight="false" outlineLevel="0" collapsed="false">
      <c r="A162" s="12" t="s">
        <v>27</v>
      </c>
      <c r="B162" s="12" t="s">
        <v>262</v>
      </c>
      <c r="C162" s="12" t="s">
        <v>166</v>
      </c>
      <c r="D162" s="13" t="s">
        <v>103</v>
      </c>
      <c r="E162" s="12" t="s">
        <v>29</v>
      </c>
      <c r="F162" s="13" t="n">
        <f aca="false">COUNTIFS(國中!$A:$A,$B162,國中!$E:$E,$C162,國中!$F:$F,"&lt;&gt;",國中!$C:$C,$D162,國中!$D:$D,$E162)</f>
        <v>0</v>
      </c>
      <c r="G162" s="13" t="str">
        <f aca="false">IF(F162&gt;0,"已查到","未查到")</f>
        <v>未查到</v>
      </c>
    </row>
    <row r="163" customFormat="false" ht="15" hidden="false" customHeight="false" outlineLevel="0" collapsed="false">
      <c r="A163" s="12" t="s">
        <v>27</v>
      </c>
      <c r="B163" s="12" t="s">
        <v>262</v>
      </c>
      <c r="C163" s="12" t="s">
        <v>166</v>
      </c>
      <c r="D163" s="13" t="s">
        <v>103</v>
      </c>
      <c r="E163" s="12" t="s">
        <v>51</v>
      </c>
      <c r="F163" s="13" t="n">
        <f aca="false">COUNTIFS(國中!$A:$A,$B163,國中!$E:$E,$C163,國中!$F:$F,"&lt;&gt;",國中!$C:$C,$D163,國中!$D:$D,$E163)</f>
        <v>0</v>
      </c>
      <c r="G163" s="13" t="str">
        <f aca="false">IF(F163&gt;0,"已查到","未查到")</f>
        <v>未查到</v>
      </c>
    </row>
    <row r="164" customFormat="false" ht="15" hidden="false" customHeight="false" outlineLevel="0" collapsed="false">
      <c r="A164" s="12" t="s">
        <v>325</v>
      </c>
      <c r="B164" s="12" t="s">
        <v>262</v>
      </c>
      <c r="C164" s="12" t="s">
        <v>166</v>
      </c>
      <c r="D164" s="13"/>
      <c r="E164" s="12" t="s">
        <v>390</v>
      </c>
      <c r="F164" s="13" t="n">
        <f aca="false">COUNTIFS(高中!$A:$A,$B164,高中!$E:$E,$C164,高中!$F:$F,"&lt;&gt;",高中!$C:$C,"",高中!$D:$D,$E164)</f>
        <v>0</v>
      </c>
      <c r="G164" s="13" t="str">
        <f aca="false">IF(F164&gt;0,"已查到","未查到")</f>
        <v>未查到</v>
      </c>
    </row>
    <row r="165" customFormat="false" ht="15" hidden="false" customHeight="false" outlineLevel="0" collapsed="false">
      <c r="A165" s="12" t="s">
        <v>325</v>
      </c>
      <c r="B165" s="12" t="s">
        <v>262</v>
      </c>
      <c r="C165" s="12" t="s">
        <v>166</v>
      </c>
      <c r="D165" s="13"/>
      <c r="E165" s="12" t="s">
        <v>391</v>
      </c>
      <c r="F165" s="13" t="n">
        <f aca="false">COUNTIFS(高中!$A:$A,$B165,高中!$E:$E,$C165,高中!$F:$F,"&lt;&gt;",高中!$C:$C,"",高中!$D:$D,$E165)</f>
        <v>0</v>
      </c>
      <c r="G165" s="13" t="str">
        <f aca="false">IF(F165&gt;0,"已查到","未查到")</f>
        <v>未查到</v>
      </c>
    </row>
    <row r="166" customFormat="false" ht="15" hidden="false" customHeight="false" outlineLevel="0" collapsed="false">
      <c r="A166" s="12" t="s">
        <v>325</v>
      </c>
      <c r="B166" s="12" t="s">
        <v>262</v>
      </c>
      <c r="C166" s="12" t="s">
        <v>166</v>
      </c>
      <c r="D166" s="13"/>
      <c r="E166" s="12" t="s">
        <v>392</v>
      </c>
      <c r="F166" s="13" t="n">
        <f aca="false">COUNTIFS(高中!$A:$A,$B166,高中!$E:$E,$C166,高中!$F:$F,"&lt;&gt;",高中!$C:$C,"",高中!$D:$D,$E166)</f>
        <v>0</v>
      </c>
      <c r="G166" s="13" t="str">
        <f aca="false">IF(F166&gt;0,"已查到","未查到")</f>
        <v>未查到</v>
      </c>
    </row>
    <row r="167" customFormat="false" ht="15" hidden="false" customHeight="false" outlineLevel="0" collapsed="false">
      <c r="A167" s="12" t="s">
        <v>325</v>
      </c>
      <c r="B167" s="12" t="s">
        <v>262</v>
      </c>
      <c r="C167" s="12" t="s">
        <v>166</v>
      </c>
      <c r="D167" s="13"/>
      <c r="E167" s="12" t="s">
        <v>393</v>
      </c>
      <c r="F167" s="13" t="n">
        <f aca="false">COUNTIFS(高中!$A:$A,$B167,高中!$E:$E,$C167,高中!$F:$F,"&lt;&gt;",高中!$C:$C,"",高中!$D:$D,$E167)</f>
        <v>0</v>
      </c>
      <c r="G167" s="13" t="str">
        <f aca="false">IF(F167&gt;0,"已查到","未查到")</f>
        <v>未查到</v>
      </c>
    </row>
    <row r="168" customFormat="false" ht="15" hidden="false" customHeight="false" outlineLevel="0" collapsed="false">
      <c r="A168" s="12" t="s">
        <v>325</v>
      </c>
      <c r="B168" s="12" t="s">
        <v>262</v>
      </c>
      <c r="C168" s="12" t="s">
        <v>166</v>
      </c>
      <c r="D168" s="13"/>
      <c r="E168" s="12" t="s">
        <v>394</v>
      </c>
      <c r="F168" s="13" t="n">
        <f aca="false">COUNTIFS(高中!$A:$A,$B168,高中!$E:$E,$C168,高中!$F:$F,"&lt;&gt;",高中!$C:$C,"",高中!$D:$D,$E168)</f>
        <v>0</v>
      </c>
      <c r="G168" s="13" t="str">
        <f aca="false">IF(F168&gt;0,"已查到","未查到")</f>
        <v>未查到</v>
      </c>
    </row>
    <row r="169" customFormat="false" ht="15" hidden="false" customHeight="false" outlineLevel="0" collapsed="false">
      <c r="A169" s="12" t="s">
        <v>325</v>
      </c>
      <c r="B169" s="12" t="s">
        <v>262</v>
      </c>
      <c r="C169" s="12" t="s">
        <v>166</v>
      </c>
      <c r="D169" s="13"/>
      <c r="E169" s="12" t="s">
        <v>395</v>
      </c>
      <c r="F169" s="13" t="n">
        <f aca="false">COUNTIFS(高中!$A:$A,$B169,高中!$E:$E,$C169,高中!$F:$F,"&lt;&gt;",高中!$C:$C,"",高中!$D:$D,$E169)</f>
        <v>0</v>
      </c>
      <c r="G169" s="13" t="str">
        <f aca="false">IF(F169&gt;0,"已查到","未查到")</f>
        <v>未查到</v>
      </c>
    </row>
    <row r="170" customFormat="false" ht="15" hidden="false" customHeight="false" outlineLevel="0" collapsed="false">
      <c r="A170" s="12" t="s">
        <v>27</v>
      </c>
      <c r="B170" s="12" t="s">
        <v>262</v>
      </c>
      <c r="C170" s="12" t="s">
        <v>256</v>
      </c>
      <c r="D170" s="13" t="s">
        <v>28</v>
      </c>
      <c r="E170" s="12" t="s">
        <v>29</v>
      </c>
      <c r="F170" s="13" t="n">
        <f aca="false">COUNTIFS(國中!$A:$A,$B170,國中!$E:$E,$C170,國中!$F:$F,"&lt;&gt;",國中!$C:$C,$D170,國中!$D:$D,$E170)</f>
        <v>0</v>
      </c>
      <c r="G170" s="13" t="str">
        <f aca="false">IF(F170&gt;0,"已查到","未查到")</f>
        <v>未查到</v>
      </c>
    </row>
    <row r="171" customFormat="false" ht="15" hidden="false" customHeight="false" outlineLevel="0" collapsed="false">
      <c r="A171" s="12" t="s">
        <v>27</v>
      </c>
      <c r="B171" s="12" t="s">
        <v>262</v>
      </c>
      <c r="C171" s="12" t="s">
        <v>256</v>
      </c>
      <c r="D171" s="13" t="s">
        <v>28</v>
      </c>
      <c r="E171" s="12" t="s">
        <v>51</v>
      </c>
      <c r="F171" s="13" t="n">
        <f aca="false">COUNTIFS(國中!$A:$A,$B171,國中!$E:$E,$C171,國中!$F:$F,"&lt;&gt;",國中!$C:$C,$D171,國中!$D:$D,$E171)</f>
        <v>0</v>
      </c>
      <c r="G171" s="13" t="str">
        <f aca="false">IF(F171&gt;0,"已查到","未查到")</f>
        <v>未查到</v>
      </c>
    </row>
    <row r="172" customFormat="false" ht="15" hidden="false" customHeight="false" outlineLevel="0" collapsed="false">
      <c r="A172" s="12" t="s">
        <v>27</v>
      </c>
      <c r="B172" s="12" t="s">
        <v>262</v>
      </c>
      <c r="C172" s="12" t="s">
        <v>256</v>
      </c>
      <c r="D172" s="13" t="s">
        <v>70</v>
      </c>
      <c r="E172" s="12" t="s">
        <v>29</v>
      </c>
      <c r="F172" s="13" t="n">
        <f aca="false">COUNTIFS(國中!$A:$A,$B172,國中!$E:$E,$C172,國中!$F:$F,"&lt;&gt;",國中!$C:$C,$D172,國中!$D:$D,$E172)</f>
        <v>0</v>
      </c>
      <c r="G172" s="13" t="str">
        <f aca="false">IF(F172&gt;0,"已查到","未查到")</f>
        <v>未查到</v>
      </c>
    </row>
    <row r="173" customFormat="false" ht="15" hidden="false" customHeight="false" outlineLevel="0" collapsed="false">
      <c r="A173" s="12" t="s">
        <v>27</v>
      </c>
      <c r="B173" s="12" t="s">
        <v>262</v>
      </c>
      <c r="C173" s="12" t="s">
        <v>256</v>
      </c>
      <c r="D173" s="13" t="s">
        <v>70</v>
      </c>
      <c r="E173" s="12" t="s">
        <v>51</v>
      </c>
      <c r="F173" s="13" t="n">
        <f aca="false">COUNTIFS(國中!$A:$A,$B173,國中!$E:$E,$C173,國中!$F:$F,"&lt;&gt;",國中!$C:$C,$D173,國中!$D:$D,$E173)</f>
        <v>0</v>
      </c>
      <c r="G173" s="13" t="str">
        <f aca="false">IF(F173&gt;0,"已查到","未查到")</f>
        <v>未查到</v>
      </c>
    </row>
    <row r="174" customFormat="false" ht="15" hidden="false" customHeight="false" outlineLevel="0" collapsed="false">
      <c r="A174" s="12" t="s">
        <v>27</v>
      </c>
      <c r="B174" s="12" t="s">
        <v>262</v>
      </c>
      <c r="C174" s="12" t="s">
        <v>256</v>
      </c>
      <c r="D174" s="13" t="s">
        <v>103</v>
      </c>
      <c r="E174" s="12" t="s">
        <v>29</v>
      </c>
      <c r="F174" s="13" t="n">
        <f aca="false">COUNTIFS(國中!$A:$A,$B174,國中!$E:$E,$C174,國中!$F:$F,"&lt;&gt;",國中!$C:$C,$D174,國中!$D:$D,$E174)</f>
        <v>0</v>
      </c>
      <c r="G174" s="13" t="str">
        <f aca="false">IF(F174&gt;0,"已查到","未查到")</f>
        <v>未查到</v>
      </c>
    </row>
    <row r="175" customFormat="false" ht="15" hidden="false" customHeight="false" outlineLevel="0" collapsed="false">
      <c r="A175" s="12" t="s">
        <v>27</v>
      </c>
      <c r="B175" s="12" t="s">
        <v>262</v>
      </c>
      <c r="C175" s="12" t="s">
        <v>256</v>
      </c>
      <c r="D175" s="13" t="s">
        <v>103</v>
      </c>
      <c r="E175" s="12" t="s">
        <v>51</v>
      </c>
      <c r="F175" s="13" t="n">
        <f aca="false">COUNTIFS(國中!$A:$A,$B175,國中!$E:$E,$C175,國中!$F:$F,"&lt;&gt;",國中!$C:$C,$D175,國中!$D:$D,$E175)</f>
        <v>0</v>
      </c>
      <c r="G175" s="13" t="str">
        <f aca="false">IF(F175&gt;0,"已查到","未查到")</f>
        <v>未查到</v>
      </c>
    </row>
    <row r="176" customFormat="false" ht="15" hidden="false" customHeight="false" outlineLevel="0" collapsed="false">
      <c r="A176" s="12" t="s">
        <v>325</v>
      </c>
      <c r="B176" s="12" t="s">
        <v>262</v>
      </c>
      <c r="C176" s="12" t="s">
        <v>256</v>
      </c>
      <c r="D176" s="13" t="s">
        <v>326</v>
      </c>
      <c r="E176" s="12" t="s">
        <v>327</v>
      </c>
      <c r="F176" s="13" t="n">
        <f aca="false">COUNTIFS(高中!$A:$A,$B176,高中!$E:$E,$C176,高中!$F:$F,"&lt;&gt;",高中!$C:$C,$D176,高中!$D:$D,$E176)</f>
        <v>0</v>
      </c>
      <c r="G176" s="13" t="str">
        <f aca="false">IF(F176&gt;0,"已查到","未查到")</f>
        <v>未查到</v>
      </c>
    </row>
    <row r="177" customFormat="false" ht="15" hidden="false" customHeight="false" outlineLevel="0" collapsed="false">
      <c r="A177" s="12" t="s">
        <v>325</v>
      </c>
      <c r="B177" s="12" t="s">
        <v>262</v>
      </c>
      <c r="C177" s="12" t="s">
        <v>256</v>
      </c>
      <c r="D177" s="13" t="s">
        <v>326</v>
      </c>
      <c r="E177" s="12" t="s">
        <v>328</v>
      </c>
      <c r="F177" s="13" t="n">
        <f aca="false">COUNTIFS(高中!$A:$A,$B177,高中!$E:$E,$C177,高中!$F:$F,"&lt;&gt;",高中!$C:$C,$D177,高中!$D:$D,$E177)</f>
        <v>0</v>
      </c>
      <c r="G177" s="13" t="str">
        <f aca="false">IF(F177&gt;0,"已查到","未查到")</f>
        <v>未查到</v>
      </c>
    </row>
    <row r="178" customFormat="false" ht="15" hidden="false" customHeight="false" outlineLevel="0" collapsed="false">
      <c r="A178" s="12" t="s">
        <v>325</v>
      </c>
      <c r="B178" s="12" t="s">
        <v>262</v>
      </c>
      <c r="C178" s="12" t="s">
        <v>256</v>
      </c>
      <c r="D178" s="13" t="s">
        <v>329</v>
      </c>
      <c r="E178" s="12" t="s">
        <v>330</v>
      </c>
      <c r="F178" s="13" t="n">
        <f aca="false">COUNTIFS(高中!$A:$A,$B178,高中!$E:$E,$C178,高中!$F:$F,"&lt;&gt;",高中!$C:$C,$D178,高中!$D:$D,$E178)</f>
        <v>0</v>
      </c>
      <c r="G178" s="13" t="str">
        <f aca="false">IF(F178&gt;0,"已查到","未查到")</f>
        <v>未查到</v>
      </c>
    </row>
    <row r="179" customFormat="false" ht="15" hidden="false" customHeight="false" outlineLevel="0" collapsed="false">
      <c r="A179" s="12" t="s">
        <v>325</v>
      </c>
      <c r="B179" s="12" t="s">
        <v>262</v>
      </c>
      <c r="C179" s="12" t="s">
        <v>256</v>
      </c>
      <c r="D179" s="13"/>
      <c r="E179" s="12" t="s">
        <v>397</v>
      </c>
      <c r="F179" s="13" t="n">
        <f aca="false">COUNTIFS(高中!$A:$A,$B179,高中!$E:$E,$C179,高中!$F:$F,"&lt;&gt;",高中!$C:$C,"",高中!$D:$D,$E179)</f>
        <v>0</v>
      </c>
      <c r="G179" s="13" t="str">
        <f aca="false">IF(F179&gt;0,"已查到","未查到")</f>
        <v>未查到</v>
      </c>
    </row>
    <row r="180" customFormat="false" ht="15" hidden="false" customHeight="false" outlineLevel="0" collapsed="false">
      <c r="A180" s="12" t="s">
        <v>325</v>
      </c>
      <c r="B180" s="12" t="s">
        <v>262</v>
      </c>
      <c r="C180" s="12" t="s">
        <v>256</v>
      </c>
      <c r="D180" s="13"/>
      <c r="E180" s="12" t="s">
        <v>398</v>
      </c>
      <c r="F180" s="13" t="n">
        <f aca="false">COUNTIFS(高中!$A:$A,$B180,高中!$E:$E,$C180,高中!$F:$F,"&lt;&gt;",高中!$C:$C,"",高中!$D:$D,$E180)</f>
        <v>0</v>
      </c>
      <c r="G180" s="13" t="str">
        <f aca="false">IF(F180&gt;0,"已查到","未查到")</f>
        <v>未查到</v>
      </c>
    </row>
    <row r="181" customFormat="false" ht="15" hidden="false" customHeight="false" outlineLevel="0" collapsed="false">
      <c r="A181" s="12" t="s">
        <v>325</v>
      </c>
      <c r="B181" s="12" t="s">
        <v>262</v>
      </c>
      <c r="C181" s="12" t="s">
        <v>256</v>
      </c>
      <c r="D181" s="13"/>
      <c r="E181" s="12" t="s">
        <v>399</v>
      </c>
      <c r="F181" s="13" t="n">
        <f aca="false">COUNTIFS(高中!$A:$A,$B181,高中!$E:$E,$C181,高中!$F:$F,"&lt;&gt;",高中!$C:$C,"",高中!$D:$D,$E181)</f>
        <v>0</v>
      </c>
      <c r="G181" s="13" t="str">
        <f aca="false">IF(F181&gt;0,"已查到","未查到")</f>
        <v>未查到</v>
      </c>
    </row>
    <row r="182" customFormat="false" ht="15" hidden="false" customHeight="false" outlineLevel="0" collapsed="false">
      <c r="A182" s="12" t="s">
        <v>27</v>
      </c>
      <c r="B182" s="12" t="s">
        <v>262</v>
      </c>
      <c r="C182" s="12" t="s">
        <v>257</v>
      </c>
      <c r="D182" s="13" t="s">
        <v>28</v>
      </c>
      <c r="E182" s="12" t="s">
        <v>29</v>
      </c>
      <c r="F182" s="13" t="n">
        <f aca="false">COUNTIFS(國中!$A:$A,$B182,國中!$E:$E,$C182,國中!$F:$F,"&lt;&gt;",國中!$C:$C,$D182,國中!$D:$D,$E182)</f>
        <v>0</v>
      </c>
      <c r="G182" s="13" t="str">
        <f aca="false">IF(F182&gt;0,"已查到","未查到")</f>
        <v>未查到</v>
      </c>
    </row>
    <row r="183" customFormat="false" ht="15" hidden="false" customHeight="false" outlineLevel="0" collapsed="false">
      <c r="A183" s="12" t="s">
        <v>27</v>
      </c>
      <c r="B183" s="12" t="s">
        <v>262</v>
      </c>
      <c r="C183" s="12" t="s">
        <v>257</v>
      </c>
      <c r="D183" s="13" t="s">
        <v>28</v>
      </c>
      <c r="E183" s="12" t="s">
        <v>51</v>
      </c>
      <c r="F183" s="13" t="n">
        <f aca="false">COUNTIFS(國中!$A:$A,$B183,國中!$E:$E,$C183,國中!$F:$F,"&lt;&gt;",國中!$C:$C,$D183,國中!$D:$D,$E183)</f>
        <v>0</v>
      </c>
      <c r="G183" s="13" t="str">
        <f aca="false">IF(F183&gt;0,"已查到","未查到")</f>
        <v>未查到</v>
      </c>
    </row>
    <row r="184" customFormat="false" ht="15" hidden="false" customHeight="false" outlineLevel="0" collapsed="false">
      <c r="A184" s="12" t="s">
        <v>27</v>
      </c>
      <c r="B184" s="12" t="s">
        <v>262</v>
      </c>
      <c r="C184" s="12" t="s">
        <v>257</v>
      </c>
      <c r="D184" s="13" t="s">
        <v>70</v>
      </c>
      <c r="E184" s="12" t="s">
        <v>29</v>
      </c>
      <c r="F184" s="13" t="n">
        <f aca="false">COUNTIFS(國中!$A:$A,$B184,國中!$E:$E,$C184,國中!$F:$F,"&lt;&gt;",國中!$C:$C,$D184,國中!$D:$D,$E184)</f>
        <v>0</v>
      </c>
      <c r="G184" s="13" t="str">
        <f aca="false">IF(F184&gt;0,"已查到","未查到")</f>
        <v>未查到</v>
      </c>
    </row>
    <row r="185" customFormat="false" ht="15" hidden="false" customHeight="false" outlineLevel="0" collapsed="false">
      <c r="A185" s="12" t="s">
        <v>27</v>
      </c>
      <c r="B185" s="12" t="s">
        <v>262</v>
      </c>
      <c r="C185" s="12" t="s">
        <v>257</v>
      </c>
      <c r="D185" s="13" t="s">
        <v>70</v>
      </c>
      <c r="E185" s="12" t="s">
        <v>51</v>
      </c>
      <c r="F185" s="13" t="n">
        <f aca="false">COUNTIFS(國中!$A:$A,$B185,國中!$E:$E,$C185,國中!$F:$F,"&lt;&gt;",國中!$C:$C,$D185,國中!$D:$D,$E185)</f>
        <v>0</v>
      </c>
      <c r="G185" s="13" t="str">
        <f aca="false">IF(F185&gt;0,"已查到","未查到")</f>
        <v>未查到</v>
      </c>
    </row>
    <row r="186" customFormat="false" ht="15" hidden="false" customHeight="false" outlineLevel="0" collapsed="false">
      <c r="A186" s="12" t="s">
        <v>27</v>
      </c>
      <c r="B186" s="12" t="s">
        <v>262</v>
      </c>
      <c r="C186" s="12" t="s">
        <v>257</v>
      </c>
      <c r="D186" s="13" t="s">
        <v>103</v>
      </c>
      <c r="E186" s="12" t="s">
        <v>29</v>
      </c>
      <c r="F186" s="13" t="n">
        <f aca="false">COUNTIFS(國中!$A:$A,$B186,國中!$E:$E,$C186,國中!$F:$F,"&lt;&gt;",國中!$C:$C,$D186,國中!$D:$D,$E186)</f>
        <v>0</v>
      </c>
      <c r="G186" s="13" t="str">
        <f aca="false">IF(F186&gt;0,"已查到","未查到")</f>
        <v>未查到</v>
      </c>
    </row>
    <row r="187" customFormat="false" ht="15" hidden="false" customHeight="false" outlineLevel="0" collapsed="false">
      <c r="A187" s="12" t="s">
        <v>27</v>
      </c>
      <c r="B187" s="12" t="s">
        <v>262</v>
      </c>
      <c r="C187" s="12" t="s">
        <v>257</v>
      </c>
      <c r="D187" s="13" t="s">
        <v>103</v>
      </c>
      <c r="E187" s="12" t="s">
        <v>51</v>
      </c>
      <c r="F187" s="13" t="n">
        <f aca="false">COUNTIFS(國中!$A:$A,$B187,國中!$E:$E,$C187,國中!$F:$F,"&lt;&gt;",國中!$C:$C,$D187,國中!$D:$D,$E187)</f>
        <v>0</v>
      </c>
      <c r="G187" s="13" t="str">
        <f aca="false">IF(F187&gt;0,"已查到","未查到")</f>
        <v>未查到</v>
      </c>
    </row>
    <row r="188" customFormat="false" ht="15" hidden="false" customHeight="false" outlineLevel="0" collapsed="false">
      <c r="A188" s="12" t="s">
        <v>325</v>
      </c>
      <c r="B188" s="12" t="s">
        <v>262</v>
      </c>
      <c r="C188" s="12" t="s">
        <v>257</v>
      </c>
      <c r="D188" s="13" t="s">
        <v>326</v>
      </c>
      <c r="E188" s="12" t="s">
        <v>327</v>
      </c>
      <c r="F188" s="13" t="n">
        <f aca="false">COUNTIFS(高中!$A:$A,$B188,高中!$E:$E,$C188,高中!$F:$F,"&lt;&gt;",高中!$C:$C,$D188,高中!$D:$D,$E188)</f>
        <v>0</v>
      </c>
      <c r="G188" s="13" t="str">
        <f aca="false">IF(F188&gt;0,"已查到","未查到")</f>
        <v>未查到</v>
      </c>
    </row>
    <row r="189" customFormat="false" ht="15" hidden="false" customHeight="false" outlineLevel="0" collapsed="false">
      <c r="A189" s="12" t="s">
        <v>325</v>
      </c>
      <c r="B189" s="12" t="s">
        <v>262</v>
      </c>
      <c r="C189" s="12" t="s">
        <v>257</v>
      </c>
      <c r="D189" s="13" t="s">
        <v>326</v>
      </c>
      <c r="E189" s="12" t="s">
        <v>328</v>
      </c>
      <c r="F189" s="13" t="n">
        <f aca="false">COUNTIFS(高中!$A:$A,$B189,高中!$E:$E,$C189,高中!$F:$F,"&lt;&gt;",高中!$C:$C,$D189,高中!$D:$D,$E189)</f>
        <v>0</v>
      </c>
      <c r="G189" s="13" t="str">
        <f aca="false">IF(F189&gt;0,"已查到","未查到")</f>
        <v>未查到</v>
      </c>
    </row>
    <row r="190" customFormat="false" ht="15" hidden="false" customHeight="false" outlineLevel="0" collapsed="false">
      <c r="A190" s="12" t="s">
        <v>325</v>
      </c>
      <c r="B190" s="12" t="s">
        <v>262</v>
      </c>
      <c r="C190" s="12" t="s">
        <v>257</v>
      </c>
      <c r="D190" s="13" t="s">
        <v>329</v>
      </c>
      <c r="E190" s="12" t="s">
        <v>330</v>
      </c>
      <c r="F190" s="13" t="n">
        <f aca="false">COUNTIFS(高中!$A:$A,$B190,高中!$E:$E,$C190,高中!$F:$F,"&lt;&gt;",高中!$C:$C,$D190,高中!$D:$D,$E190)</f>
        <v>0</v>
      </c>
      <c r="G190" s="13" t="str">
        <f aca="false">IF(F190&gt;0,"已查到","未查到")</f>
        <v>未查到</v>
      </c>
    </row>
    <row r="191" customFormat="false" ht="15" hidden="false" customHeight="false" outlineLevel="0" collapsed="false">
      <c r="A191" s="12" t="s">
        <v>325</v>
      </c>
      <c r="B191" s="12" t="s">
        <v>262</v>
      </c>
      <c r="C191" s="12" t="s">
        <v>257</v>
      </c>
      <c r="D191" s="13"/>
      <c r="E191" s="12" t="s">
        <v>400</v>
      </c>
      <c r="F191" s="13" t="n">
        <f aca="false">COUNTIFS(高中!$A:$A,$B191,高中!$E:$E,$C191,高中!$F:$F,"&lt;&gt;",高中!$C:$C,"",高中!$D:$D,$E191)</f>
        <v>0</v>
      </c>
      <c r="G191" s="13" t="str">
        <f aca="false">IF(F191&gt;0,"已查到","未查到")</f>
        <v>未查到</v>
      </c>
    </row>
    <row r="192" customFormat="false" ht="15" hidden="false" customHeight="false" outlineLevel="0" collapsed="false">
      <c r="A192" s="12" t="s">
        <v>325</v>
      </c>
      <c r="B192" s="12" t="s">
        <v>262</v>
      </c>
      <c r="C192" s="12" t="s">
        <v>257</v>
      </c>
      <c r="D192" s="13"/>
      <c r="E192" s="12" t="s">
        <v>401</v>
      </c>
      <c r="F192" s="13" t="n">
        <f aca="false">COUNTIFS(高中!$A:$A,$B192,高中!$E:$E,$C192,高中!$F:$F,"&lt;&gt;",高中!$C:$C,"",高中!$D:$D,$E192)</f>
        <v>0</v>
      </c>
      <c r="G192" s="13" t="str">
        <f aca="false">IF(F192&gt;0,"已查到","未查到")</f>
        <v>未查到</v>
      </c>
    </row>
    <row r="193" customFormat="false" ht="15" hidden="false" customHeight="false" outlineLevel="0" collapsed="false">
      <c r="A193" s="12" t="s">
        <v>325</v>
      </c>
      <c r="B193" s="12" t="s">
        <v>262</v>
      </c>
      <c r="C193" s="12" t="s">
        <v>257</v>
      </c>
      <c r="D193" s="13"/>
      <c r="E193" s="12" t="s">
        <v>402</v>
      </c>
      <c r="F193" s="13" t="n">
        <f aca="false">COUNTIFS(高中!$A:$A,$B193,高中!$E:$E,$C193,高中!$F:$F,"&lt;&gt;",高中!$C:$C,"",高中!$D:$D,$E193)</f>
        <v>0</v>
      </c>
      <c r="G193" s="13" t="str">
        <f aca="false">IF(F193&gt;0,"已查到","未查到")</f>
        <v>未查到</v>
      </c>
    </row>
    <row r="194" customFormat="false" ht="15" hidden="false" customHeight="false" outlineLevel="0" collapsed="false">
      <c r="A194" s="12" t="s">
        <v>27</v>
      </c>
      <c r="B194" s="12" t="s">
        <v>262</v>
      </c>
      <c r="C194" s="12" t="s">
        <v>258</v>
      </c>
      <c r="D194" s="13" t="s">
        <v>28</v>
      </c>
      <c r="E194" s="12" t="s">
        <v>29</v>
      </c>
      <c r="F194" s="13" t="n">
        <f aca="false">COUNTIFS(國中!$A:$A,$B194,國中!$E:$E,$C194,國中!$F:$F,"&lt;&gt;",國中!$C:$C,$D194,國中!$D:$D,$E194)</f>
        <v>0</v>
      </c>
      <c r="G194" s="13" t="str">
        <f aca="false">IF(F194&gt;0,"已查到","未查到")</f>
        <v>未查到</v>
      </c>
    </row>
    <row r="195" customFormat="false" ht="15" hidden="false" customHeight="false" outlineLevel="0" collapsed="false">
      <c r="A195" s="12" t="s">
        <v>27</v>
      </c>
      <c r="B195" s="12" t="s">
        <v>262</v>
      </c>
      <c r="C195" s="12" t="s">
        <v>258</v>
      </c>
      <c r="D195" s="13" t="s">
        <v>28</v>
      </c>
      <c r="E195" s="12" t="s">
        <v>51</v>
      </c>
      <c r="F195" s="13" t="n">
        <f aca="false">COUNTIFS(國中!$A:$A,$B195,國中!$E:$E,$C195,國中!$F:$F,"&lt;&gt;",國中!$C:$C,$D195,國中!$D:$D,$E195)</f>
        <v>0</v>
      </c>
      <c r="G195" s="13" t="str">
        <f aca="false">IF(F195&gt;0,"已查到","未查到")</f>
        <v>未查到</v>
      </c>
    </row>
    <row r="196" customFormat="false" ht="15" hidden="false" customHeight="false" outlineLevel="0" collapsed="false">
      <c r="A196" s="12" t="s">
        <v>27</v>
      </c>
      <c r="B196" s="12" t="s">
        <v>262</v>
      </c>
      <c r="C196" s="12" t="s">
        <v>258</v>
      </c>
      <c r="D196" s="13" t="s">
        <v>70</v>
      </c>
      <c r="E196" s="12" t="s">
        <v>29</v>
      </c>
      <c r="F196" s="13" t="n">
        <f aca="false">COUNTIFS(國中!$A:$A,$B196,國中!$E:$E,$C196,國中!$F:$F,"&lt;&gt;",國中!$C:$C,$D196,國中!$D:$D,$E196)</f>
        <v>0</v>
      </c>
      <c r="G196" s="13" t="str">
        <f aca="false">IF(F196&gt;0,"已查到","未查到")</f>
        <v>未查到</v>
      </c>
    </row>
    <row r="197" customFormat="false" ht="15" hidden="false" customHeight="false" outlineLevel="0" collapsed="false">
      <c r="A197" s="12" t="s">
        <v>27</v>
      </c>
      <c r="B197" s="12" t="s">
        <v>262</v>
      </c>
      <c r="C197" s="12" t="s">
        <v>258</v>
      </c>
      <c r="D197" s="13" t="s">
        <v>70</v>
      </c>
      <c r="E197" s="12" t="s">
        <v>51</v>
      </c>
      <c r="F197" s="13" t="n">
        <f aca="false">COUNTIFS(國中!$A:$A,$B197,國中!$E:$E,$C197,國中!$F:$F,"&lt;&gt;",國中!$C:$C,$D197,國中!$D:$D,$E197)</f>
        <v>0</v>
      </c>
      <c r="G197" s="13" t="str">
        <f aca="false">IF(F197&gt;0,"已查到","未查到")</f>
        <v>未查到</v>
      </c>
    </row>
    <row r="198" customFormat="false" ht="15" hidden="false" customHeight="false" outlineLevel="0" collapsed="false">
      <c r="A198" s="12" t="s">
        <v>27</v>
      </c>
      <c r="B198" s="12" t="s">
        <v>262</v>
      </c>
      <c r="C198" s="12" t="s">
        <v>258</v>
      </c>
      <c r="D198" s="13" t="s">
        <v>103</v>
      </c>
      <c r="E198" s="12" t="s">
        <v>29</v>
      </c>
      <c r="F198" s="13" t="n">
        <f aca="false">COUNTIFS(國中!$A:$A,$B198,國中!$E:$E,$C198,國中!$F:$F,"&lt;&gt;",國中!$C:$C,$D198,國中!$D:$D,$E198)</f>
        <v>0</v>
      </c>
      <c r="G198" s="13" t="str">
        <f aca="false">IF(F198&gt;0,"已查到","未查到")</f>
        <v>未查到</v>
      </c>
    </row>
    <row r="199" customFormat="false" ht="15" hidden="false" customHeight="false" outlineLevel="0" collapsed="false">
      <c r="A199" s="12" t="s">
        <v>27</v>
      </c>
      <c r="B199" s="12" t="s">
        <v>262</v>
      </c>
      <c r="C199" s="12" t="s">
        <v>258</v>
      </c>
      <c r="D199" s="13" t="s">
        <v>103</v>
      </c>
      <c r="E199" s="12" t="s">
        <v>51</v>
      </c>
      <c r="F199" s="13" t="n">
        <f aca="false">COUNTIFS(國中!$A:$A,$B199,國中!$E:$E,$C199,國中!$F:$F,"&lt;&gt;",國中!$C:$C,$D199,國中!$D:$D,$E199)</f>
        <v>0</v>
      </c>
      <c r="G199" s="13" t="str">
        <f aca="false">IF(F199&gt;0,"已查到","未查到")</f>
        <v>未查到</v>
      </c>
    </row>
    <row r="200" customFormat="false" ht="15" hidden="false" customHeight="false" outlineLevel="0" collapsed="false">
      <c r="A200" s="12" t="s">
        <v>325</v>
      </c>
      <c r="B200" s="12" t="s">
        <v>262</v>
      </c>
      <c r="C200" s="12" t="s">
        <v>403</v>
      </c>
      <c r="D200" s="13" t="s">
        <v>326</v>
      </c>
      <c r="E200" s="12" t="s">
        <v>327</v>
      </c>
      <c r="F200" s="13" t="n">
        <f aca="false">COUNTIFS(高中!$A:$A,$B200,高中!$E:$E,$C200,高中!$F:$F,"&lt;&gt;",高中!$C:$C,$D200,高中!$D:$D,$E200)</f>
        <v>0</v>
      </c>
      <c r="G200" s="13" t="str">
        <f aca="false">IF(F200&gt;0,"已查到","未查到")</f>
        <v>未查到</v>
      </c>
    </row>
    <row r="201" customFormat="false" ht="15" hidden="false" customHeight="false" outlineLevel="0" collapsed="false">
      <c r="A201" s="12" t="s">
        <v>325</v>
      </c>
      <c r="B201" s="12" t="s">
        <v>262</v>
      </c>
      <c r="C201" s="12" t="s">
        <v>403</v>
      </c>
      <c r="D201" s="13" t="s">
        <v>326</v>
      </c>
      <c r="E201" s="12" t="s">
        <v>328</v>
      </c>
      <c r="F201" s="13" t="n">
        <f aca="false">COUNTIFS(高中!$A:$A,$B201,高中!$E:$E,$C201,高中!$F:$F,"&lt;&gt;",高中!$C:$C,$D201,高中!$D:$D,$E201)</f>
        <v>0</v>
      </c>
      <c r="G201" s="13" t="str">
        <f aca="false">IF(F201&gt;0,"已查到","未查到")</f>
        <v>未查到</v>
      </c>
    </row>
    <row r="202" customFormat="false" ht="15" hidden="false" customHeight="false" outlineLevel="0" collapsed="false">
      <c r="A202" s="12" t="s">
        <v>325</v>
      </c>
      <c r="B202" s="12" t="s">
        <v>262</v>
      </c>
      <c r="C202" s="12" t="s">
        <v>403</v>
      </c>
      <c r="D202" s="13" t="s">
        <v>329</v>
      </c>
      <c r="E202" s="12" t="s">
        <v>330</v>
      </c>
      <c r="F202" s="13" t="n">
        <f aca="false">COUNTIFS(高中!$A:$A,$B202,高中!$E:$E,$C202,高中!$F:$F,"&lt;&gt;",高中!$C:$C,$D202,高中!$D:$D,$E202)</f>
        <v>0</v>
      </c>
      <c r="G202" s="13" t="str">
        <f aca="false">IF(F202&gt;0,"已查到","未查到")</f>
        <v>未查到</v>
      </c>
    </row>
    <row r="203" customFormat="false" ht="15" hidden="false" customHeight="false" outlineLevel="0" collapsed="false">
      <c r="A203" s="12" t="s">
        <v>325</v>
      </c>
      <c r="B203" s="12" t="s">
        <v>262</v>
      </c>
      <c r="C203" s="12" t="s">
        <v>403</v>
      </c>
      <c r="D203" s="13"/>
      <c r="E203" s="12" t="s">
        <v>404</v>
      </c>
      <c r="F203" s="13" t="n">
        <f aca="false">COUNTIFS(高中!$A:$A,$B203,高中!$E:$E,$C203,高中!$F:$F,"&lt;&gt;",高中!$C:$C,"",高中!$D:$D,$E203)</f>
        <v>0</v>
      </c>
      <c r="G203" s="13" t="str">
        <f aca="false">IF(F203&gt;0,"已查到","未查到")</f>
        <v>未查到</v>
      </c>
    </row>
    <row r="204" customFormat="false" ht="15" hidden="false" customHeight="false" outlineLevel="0" collapsed="false">
      <c r="A204" s="12" t="s">
        <v>325</v>
      </c>
      <c r="B204" s="12" t="s">
        <v>262</v>
      </c>
      <c r="C204" s="12" t="s">
        <v>403</v>
      </c>
      <c r="D204" s="13"/>
      <c r="E204" s="12" t="s">
        <v>405</v>
      </c>
      <c r="F204" s="13" t="n">
        <f aca="false">COUNTIFS(高中!$A:$A,$B204,高中!$E:$E,$C204,高中!$F:$F,"&lt;&gt;",高中!$C:$C,"",高中!$D:$D,$E204)</f>
        <v>0</v>
      </c>
      <c r="G204" s="13" t="str">
        <f aca="false">IF(F204&gt;0,"已查到","未查到")</f>
        <v>未查到</v>
      </c>
    </row>
    <row r="205" customFormat="false" ht="15" hidden="false" customHeight="false" outlineLevel="0" collapsed="false">
      <c r="A205" s="12" t="s">
        <v>325</v>
      </c>
      <c r="B205" s="12" t="s">
        <v>262</v>
      </c>
      <c r="C205" s="12" t="s">
        <v>403</v>
      </c>
      <c r="D205" s="13"/>
      <c r="E205" s="12" t="s">
        <v>406</v>
      </c>
      <c r="F205" s="13" t="n">
        <f aca="false">COUNTIFS(高中!$A:$A,$B205,高中!$E:$E,$C205,高中!$F:$F,"&lt;&gt;",高中!$C:$C,"",高中!$D:$D,$E205)</f>
        <v>0</v>
      </c>
      <c r="G205" s="13" t="str">
        <f aca="false">IF(F205&gt;0,"已查到","未查到")</f>
        <v>未查到</v>
      </c>
    </row>
    <row r="206" customFormat="false" ht="15" hidden="false" customHeight="false" outlineLevel="0" collapsed="false">
      <c r="A206" s="12" t="s">
        <v>325</v>
      </c>
      <c r="B206" s="12" t="s">
        <v>407</v>
      </c>
      <c r="C206" s="12" t="s">
        <v>30</v>
      </c>
      <c r="D206" s="13" t="s">
        <v>326</v>
      </c>
      <c r="E206" s="12" t="s">
        <v>327</v>
      </c>
      <c r="F206" s="13" t="n">
        <f aca="false">COUNTIFS(高中!$A:$A,$B206,高中!$E:$E,$C206,高中!$F:$F,"&lt;&gt;",高中!$C:$C,$D206,高中!$D:$D,$E206)</f>
        <v>0</v>
      </c>
      <c r="G206" s="13" t="str">
        <f aca="false">IF(F206&gt;0,"已查到","未查到")</f>
        <v>未查到</v>
      </c>
    </row>
    <row r="207" customFormat="false" ht="15" hidden="false" customHeight="false" outlineLevel="0" collapsed="false">
      <c r="A207" s="12" t="s">
        <v>325</v>
      </c>
      <c r="B207" s="12" t="s">
        <v>407</v>
      </c>
      <c r="C207" s="12" t="s">
        <v>30</v>
      </c>
      <c r="D207" s="13" t="s">
        <v>326</v>
      </c>
      <c r="E207" s="12" t="s">
        <v>328</v>
      </c>
      <c r="F207" s="13" t="n">
        <f aca="false">COUNTIFS(高中!$A:$A,$B207,高中!$E:$E,$C207,高中!$F:$F,"&lt;&gt;",高中!$C:$C,$D207,高中!$D:$D,$E207)</f>
        <v>0</v>
      </c>
      <c r="G207" s="13" t="str">
        <f aca="false">IF(F207&gt;0,"已查到","未查到")</f>
        <v>未查到</v>
      </c>
    </row>
    <row r="208" customFormat="false" ht="15" hidden="false" customHeight="false" outlineLevel="0" collapsed="false">
      <c r="A208" s="12" t="s">
        <v>325</v>
      </c>
      <c r="B208" s="12" t="s">
        <v>407</v>
      </c>
      <c r="C208" s="12" t="s">
        <v>30</v>
      </c>
      <c r="D208" s="13" t="s">
        <v>329</v>
      </c>
      <c r="E208" s="12" t="s">
        <v>330</v>
      </c>
      <c r="F208" s="13" t="n">
        <f aca="false">COUNTIFS(高中!$A:$A,$B208,高中!$E:$E,$C208,高中!$F:$F,"&lt;&gt;",高中!$C:$C,$D208,高中!$D:$D,$E208)</f>
        <v>0</v>
      </c>
      <c r="G208" s="13" t="str">
        <f aca="false">IF(F208&gt;0,"已查到","未查到")</f>
        <v>未查到</v>
      </c>
    </row>
    <row r="209" customFormat="false" ht="15" hidden="false" customHeight="false" outlineLevel="0" collapsed="false">
      <c r="A209" s="12" t="s">
        <v>325</v>
      </c>
      <c r="B209" s="12" t="s">
        <v>407</v>
      </c>
      <c r="C209" s="12" t="s">
        <v>30</v>
      </c>
      <c r="D209" s="13" t="s">
        <v>329</v>
      </c>
      <c r="E209" s="12" t="s">
        <v>331</v>
      </c>
      <c r="F209" s="13" t="n">
        <f aca="false">COUNTIFS(高中!$A:$A,$B209,高中!$E:$E,$C209,高中!$F:$F,"&lt;&gt;",高中!$C:$C,$D209,高中!$D:$D,$E209)</f>
        <v>0</v>
      </c>
      <c r="G209" s="13" t="str">
        <f aca="false">IF(F209&gt;0,"已查到","未查到")</f>
        <v>未查到</v>
      </c>
    </row>
    <row r="210" customFormat="false" ht="15" hidden="false" customHeight="false" outlineLevel="0" collapsed="false">
      <c r="A210" s="12" t="s">
        <v>325</v>
      </c>
      <c r="B210" s="12" t="s">
        <v>407</v>
      </c>
      <c r="C210" s="12" t="s">
        <v>30</v>
      </c>
      <c r="D210" s="13" t="s">
        <v>332</v>
      </c>
      <c r="E210" s="12" t="s">
        <v>333</v>
      </c>
      <c r="F210" s="13" t="n">
        <f aca="false">COUNTIFS(高中!$A:$A,$B210,高中!$E:$E,$C210,高中!$F:$F,"&lt;&gt;",高中!$C:$C,$D210,高中!$D:$D,$E210)</f>
        <v>0</v>
      </c>
      <c r="G210" s="13" t="str">
        <f aca="false">IF(F210&gt;0,"已查到","未查到")</f>
        <v>未查到</v>
      </c>
    </row>
    <row r="211" customFormat="false" ht="15" hidden="false" customHeight="false" outlineLevel="0" collapsed="false">
      <c r="A211" s="12" t="s">
        <v>325</v>
      </c>
      <c r="B211" s="12" t="s">
        <v>407</v>
      </c>
      <c r="C211" s="12" t="s">
        <v>30</v>
      </c>
      <c r="D211" s="13" t="s">
        <v>332</v>
      </c>
      <c r="E211" s="12" t="s">
        <v>334</v>
      </c>
      <c r="F211" s="13" t="n">
        <f aca="false">COUNTIFS(高中!$A:$A,$B211,高中!$E:$E,$C211,高中!$F:$F,"&lt;&gt;",高中!$C:$C,$D211,高中!$D:$D,$E211)</f>
        <v>0</v>
      </c>
      <c r="G211" s="13" t="str">
        <f aca="false">IF(F211&gt;0,"已查到","未查到")</f>
        <v>未查到</v>
      </c>
    </row>
    <row r="212" customFormat="false" ht="15" hidden="false" customHeight="false" outlineLevel="0" collapsed="false">
      <c r="A212" s="12" t="s">
        <v>325</v>
      </c>
      <c r="B212" s="12" t="s">
        <v>407</v>
      </c>
      <c r="C212" s="12" t="s">
        <v>30</v>
      </c>
      <c r="D212" s="13"/>
      <c r="E212" s="12" t="s">
        <v>335</v>
      </c>
      <c r="F212" s="13" t="n">
        <f aca="false">COUNTIFS(高中!$A:$A,$B212,高中!$E:$E,$C212,高中!$F:$F,"&lt;&gt;",高中!$C:$C,"",高中!$D:$D,$E212)</f>
        <v>0</v>
      </c>
      <c r="G212" s="13" t="str">
        <f aca="false">IF(F212&gt;0,"已查到","未查到")</f>
        <v>未查到</v>
      </c>
    </row>
    <row r="213" customFormat="false" ht="15" hidden="false" customHeight="false" outlineLevel="0" collapsed="false">
      <c r="A213" s="12" t="s">
        <v>325</v>
      </c>
      <c r="B213" s="12" t="s">
        <v>407</v>
      </c>
      <c r="C213" s="12" t="s">
        <v>30</v>
      </c>
      <c r="D213" s="13"/>
      <c r="E213" s="12" t="s">
        <v>336</v>
      </c>
      <c r="F213" s="13" t="n">
        <f aca="false">COUNTIFS(高中!$A:$A,$B213,高中!$E:$E,$C213,高中!$F:$F,"&lt;&gt;",高中!$C:$C,"",高中!$D:$D,$E213)</f>
        <v>0</v>
      </c>
      <c r="G213" s="13" t="str">
        <f aca="false">IF(F213&gt;0,"已查到","未查到")</f>
        <v>未查到</v>
      </c>
    </row>
    <row r="214" customFormat="false" ht="15" hidden="false" customHeight="false" outlineLevel="0" collapsed="false">
      <c r="A214" s="12" t="s">
        <v>325</v>
      </c>
      <c r="B214" s="12" t="s">
        <v>407</v>
      </c>
      <c r="C214" s="12" t="s">
        <v>30</v>
      </c>
      <c r="D214" s="13"/>
      <c r="E214" s="12" t="s">
        <v>337</v>
      </c>
      <c r="F214" s="13" t="n">
        <f aca="false">COUNTIFS(高中!$A:$A,$B214,高中!$E:$E,$C214,高中!$F:$F,"&lt;&gt;",高中!$C:$C,"",高中!$D:$D,$E214)</f>
        <v>0</v>
      </c>
      <c r="G214" s="13" t="str">
        <f aca="false">IF(F214&gt;0,"已查到","未查到")</f>
        <v>未查到</v>
      </c>
    </row>
    <row r="215" customFormat="false" ht="15" hidden="false" customHeight="false" outlineLevel="0" collapsed="false">
      <c r="A215" s="12" t="s">
        <v>325</v>
      </c>
      <c r="B215" s="12" t="s">
        <v>407</v>
      </c>
      <c r="C215" s="12" t="s">
        <v>30</v>
      </c>
      <c r="D215" s="13"/>
      <c r="E215" s="12" t="s">
        <v>338</v>
      </c>
      <c r="F215" s="13" t="n">
        <f aca="false">COUNTIFS(高中!$A:$A,$B215,高中!$E:$E,$C215,高中!$F:$F,"&lt;&gt;",高中!$C:$C,"",高中!$D:$D,$E215)</f>
        <v>0</v>
      </c>
      <c r="G215" s="13" t="str">
        <f aca="false">IF(F215&gt;0,"已查到","未查到")</f>
        <v>未查到</v>
      </c>
    </row>
    <row r="216" customFormat="false" ht="15" hidden="false" customHeight="false" outlineLevel="0" collapsed="false">
      <c r="A216" s="12" t="s">
        <v>325</v>
      </c>
      <c r="B216" s="12" t="s">
        <v>407</v>
      </c>
      <c r="C216" s="12" t="s">
        <v>132</v>
      </c>
      <c r="D216" s="13" t="s">
        <v>326</v>
      </c>
      <c r="E216" s="12" t="s">
        <v>327</v>
      </c>
      <c r="F216" s="13" t="n">
        <f aca="false">COUNTIFS(高中!$A:$A,$B216,高中!$E:$E,$C216,高中!$F:$F,"&lt;&gt;",高中!$C:$C,$D216,高中!$D:$D,$E216)</f>
        <v>0</v>
      </c>
      <c r="G216" s="13" t="str">
        <f aca="false">IF(F216&gt;0,"已查到","未查到")</f>
        <v>未查到</v>
      </c>
    </row>
    <row r="217" customFormat="false" ht="15" hidden="false" customHeight="false" outlineLevel="0" collapsed="false">
      <c r="A217" s="12" t="s">
        <v>325</v>
      </c>
      <c r="B217" s="12" t="s">
        <v>407</v>
      </c>
      <c r="C217" s="12" t="s">
        <v>132</v>
      </c>
      <c r="D217" s="13" t="s">
        <v>326</v>
      </c>
      <c r="E217" s="12" t="s">
        <v>328</v>
      </c>
      <c r="F217" s="13" t="n">
        <f aca="false">COUNTIFS(高中!$A:$A,$B217,高中!$E:$E,$C217,高中!$F:$F,"&lt;&gt;",高中!$C:$C,$D217,高中!$D:$D,$E217)</f>
        <v>0</v>
      </c>
      <c r="G217" s="13" t="str">
        <f aca="false">IF(F217&gt;0,"已查到","未查到")</f>
        <v>未查到</v>
      </c>
    </row>
    <row r="218" customFormat="false" ht="15" hidden="false" customHeight="false" outlineLevel="0" collapsed="false">
      <c r="A218" s="12" t="s">
        <v>325</v>
      </c>
      <c r="B218" s="12" t="s">
        <v>407</v>
      </c>
      <c r="C218" s="12" t="s">
        <v>132</v>
      </c>
      <c r="D218" s="13" t="s">
        <v>329</v>
      </c>
      <c r="E218" s="12" t="s">
        <v>330</v>
      </c>
      <c r="F218" s="13" t="n">
        <f aca="false">COUNTIFS(高中!$A:$A,$B218,高中!$E:$E,$C218,高中!$F:$F,"&lt;&gt;",高中!$C:$C,$D218,高中!$D:$D,$E218)</f>
        <v>0</v>
      </c>
      <c r="G218" s="13" t="str">
        <f aca="false">IF(F218&gt;0,"已查到","未查到")</f>
        <v>未查到</v>
      </c>
    </row>
    <row r="219" customFormat="false" ht="15" hidden="false" customHeight="false" outlineLevel="0" collapsed="false">
      <c r="A219" s="12" t="s">
        <v>325</v>
      </c>
      <c r="B219" s="12" t="s">
        <v>407</v>
      </c>
      <c r="C219" s="12" t="s">
        <v>132</v>
      </c>
      <c r="D219" s="13" t="s">
        <v>329</v>
      </c>
      <c r="E219" s="12" t="s">
        <v>331</v>
      </c>
      <c r="F219" s="13" t="n">
        <f aca="false">COUNTIFS(高中!$A:$A,$B219,高中!$E:$E,$C219,高中!$F:$F,"&lt;&gt;",高中!$C:$C,$D219,高中!$D:$D,$E219)</f>
        <v>0</v>
      </c>
      <c r="G219" s="13" t="str">
        <f aca="false">IF(F219&gt;0,"已查到","未查到")</f>
        <v>未查到</v>
      </c>
    </row>
    <row r="220" customFormat="false" ht="15" hidden="false" customHeight="false" outlineLevel="0" collapsed="false">
      <c r="A220" s="12" t="s">
        <v>325</v>
      </c>
      <c r="B220" s="12" t="s">
        <v>407</v>
      </c>
      <c r="C220" s="12" t="s">
        <v>132</v>
      </c>
      <c r="D220" s="13" t="s">
        <v>332</v>
      </c>
      <c r="E220" s="12" t="s">
        <v>333</v>
      </c>
      <c r="F220" s="13" t="n">
        <f aca="false">COUNTIFS(高中!$A:$A,$B220,高中!$E:$E,$C220,高中!$F:$F,"&lt;&gt;",高中!$C:$C,$D220,高中!$D:$D,$E220)</f>
        <v>0</v>
      </c>
      <c r="G220" s="13" t="str">
        <f aca="false">IF(F220&gt;0,"已查到","未查到")</f>
        <v>未查到</v>
      </c>
    </row>
    <row r="221" customFormat="false" ht="15" hidden="false" customHeight="false" outlineLevel="0" collapsed="false">
      <c r="A221" s="12" t="s">
        <v>325</v>
      </c>
      <c r="B221" s="12" t="s">
        <v>407</v>
      </c>
      <c r="C221" s="12" t="s">
        <v>132</v>
      </c>
      <c r="D221" s="13" t="s">
        <v>332</v>
      </c>
      <c r="E221" s="12" t="s">
        <v>334</v>
      </c>
      <c r="F221" s="13" t="n">
        <f aca="false">COUNTIFS(高中!$A:$A,$B221,高中!$E:$E,$C221,高中!$F:$F,"&lt;&gt;",高中!$C:$C,$D221,高中!$D:$D,$E221)</f>
        <v>0</v>
      </c>
      <c r="G221" s="13" t="str">
        <f aca="false">IF(F221&gt;0,"已查到","未查到")</f>
        <v>未查到</v>
      </c>
    </row>
    <row r="222" customFormat="false" ht="15" hidden="false" customHeight="false" outlineLevel="0" collapsed="false">
      <c r="A222" s="12" t="s">
        <v>325</v>
      </c>
      <c r="B222" s="12" t="s">
        <v>407</v>
      </c>
      <c r="C222" s="12" t="s">
        <v>132</v>
      </c>
      <c r="D222" s="13"/>
      <c r="E222" s="12" t="s">
        <v>339</v>
      </c>
      <c r="F222" s="13" t="n">
        <f aca="false">COUNTIFS(高中!$A:$A,$B222,高中!$E:$E,$C222,高中!$F:$F,"&lt;&gt;",高中!$C:$C,"",高中!$D:$D,$E222)</f>
        <v>0</v>
      </c>
      <c r="G222" s="13" t="str">
        <f aca="false">IF(F222&gt;0,"已查到","未查到")</f>
        <v>未查到</v>
      </c>
    </row>
    <row r="223" customFormat="false" ht="15" hidden="false" customHeight="false" outlineLevel="0" collapsed="false">
      <c r="A223" s="12" t="s">
        <v>325</v>
      </c>
      <c r="B223" s="12" t="s">
        <v>407</v>
      </c>
      <c r="C223" s="12" t="s">
        <v>132</v>
      </c>
      <c r="D223" s="13"/>
      <c r="E223" s="12" t="s">
        <v>340</v>
      </c>
      <c r="F223" s="13" t="n">
        <f aca="false">COUNTIFS(高中!$A:$A,$B223,高中!$E:$E,$C223,高中!$F:$F,"&lt;&gt;",高中!$C:$C,"",高中!$D:$D,$E223)</f>
        <v>0</v>
      </c>
      <c r="G223" s="13" t="str">
        <f aca="false">IF(F223&gt;0,"已查到","未查到")</f>
        <v>未查到</v>
      </c>
    </row>
    <row r="224" customFormat="false" ht="15" hidden="false" customHeight="false" outlineLevel="0" collapsed="false">
      <c r="A224" s="12" t="s">
        <v>325</v>
      </c>
      <c r="B224" s="12" t="s">
        <v>407</v>
      </c>
      <c r="C224" s="12" t="s">
        <v>146</v>
      </c>
      <c r="D224" s="13" t="s">
        <v>326</v>
      </c>
      <c r="E224" s="12" t="s">
        <v>327</v>
      </c>
      <c r="F224" s="13" t="n">
        <f aca="false">COUNTIFS(高中!$A:$A,$B224,高中!$E:$E,$C224,高中!$F:$F,"&lt;&gt;",高中!$C:$C,$D224,高中!$D:$D,$E224)</f>
        <v>3</v>
      </c>
      <c r="G224" s="13" t="str">
        <f aca="false">IF(F224&gt;0,"已查到","未查到")</f>
        <v>已查到</v>
      </c>
    </row>
    <row r="225" customFormat="false" ht="15" hidden="false" customHeight="false" outlineLevel="0" collapsed="false">
      <c r="A225" s="12" t="s">
        <v>325</v>
      </c>
      <c r="B225" s="12" t="s">
        <v>407</v>
      </c>
      <c r="C225" s="12" t="s">
        <v>146</v>
      </c>
      <c r="D225" s="13" t="s">
        <v>326</v>
      </c>
      <c r="E225" s="12" t="s">
        <v>328</v>
      </c>
      <c r="F225" s="13" t="n">
        <f aca="false">COUNTIFS(高中!$A:$A,$B225,高中!$E:$E,$C225,高中!$F:$F,"&lt;&gt;",高中!$C:$C,$D225,高中!$D:$D,$E225)</f>
        <v>5</v>
      </c>
      <c r="G225" s="13" t="str">
        <f aca="false">IF(F225&gt;0,"已查到","未查到")</f>
        <v>已查到</v>
      </c>
    </row>
    <row r="226" customFormat="false" ht="15" hidden="false" customHeight="false" outlineLevel="0" collapsed="false">
      <c r="A226" s="12" t="s">
        <v>325</v>
      </c>
      <c r="B226" s="12" t="s">
        <v>407</v>
      </c>
      <c r="C226" s="12" t="s">
        <v>146</v>
      </c>
      <c r="D226" s="13" t="s">
        <v>329</v>
      </c>
      <c r="E226" s="12" t="s">
        <v>343</v>
      </c>
      <c r="F226" s="13" t="n">
        <f aca="false">COUNTIFS(高中!$A:$A,$B226,高中!$E:$E,$C226,高中!$F:$F,"&lt;&gt;",高中!$C:$C,$D226,高中!$D:$D,$E226)</f>
        <v>3</v>
      </c>
      <c r="G226" s="13" t="str">
        <f aca="false">IF(F226&gt;0,"已查到","未查到")</f>
        <v>已查到</v>
      </c>
    </row>
    <row r="227" customFormat="false" ht="15" hidden="false" customHeight="false" outlineLevel="0" collapsed="false">
      <c r="A227" s="12" t="s">
        <v>325</v>
      </c>
      <c r="B227" s="12" t="s">
        <v>407</v>
      </c>
      <c r="C227" s="12" t="s">
        <v>146</v>
      </c>
      <c r="D227" s="13" t="s">
        <v>329</v>
      </c>
      <c r="E227" s="12" t="s">
        <v>344</v>
      </c>
      <c r="F227" s="13" t="n">
        <f aca="false">COUNTIFS(高中!$A:$A,$B227,高中!$E:$E,$C227,高中!$F:$F,"&lt;&gt;",高中!$C:$C,$D227,高中!$D:$D,$E227)</f>
        <v>3</v>
      </c>
      <c r="G227" s="13" t="str">
        <f aca="false">IF(F227&gt;0,"已查到","未查到")</f>
        <v>已查到</v>
      </c>
    </row>
    <row r="228" customFormat="false" ht="15" hidden="false" customHeight="false" outlineLevel="0" collapsed="false">
      <c r="A228" s="12" t="s">
        <v>325</v>
      </c>
      <c r="B228" s="12" t="s">
        <v>407</v>
      </c>
      <c r="C228" s="12" t="s">
        <v>146</v>
      </c>
      <c r="D228" s="13" t="s">
        <v>329</v>
      </c>
      <c r="E228" s="12" t="s">
        <v>345</v>
      </c>
      <c r="F228" s="13" t="n">
        <f aca="false">COUNTIFS(高中!$A:$A,$B228,高中!$E:$E,$C228,高中!$F:$F,"&lt;&gt;",高中!$C:$C,$D228,高中!$D:$D,$E228)</f>
        <v>4</v>
      </c>
      <c r="G228" s="13" t="str">
        <f aca="false">IF(F228&gt;0,"已查到","未查到")</f>
        <v>已查到</v>
      </c>
    </row>
    <row r="229" customFormat="false" ht="15" hidden="false" customHeight="false" outlineLevel="0" collapsed="false">
      <c r="A229" s="12" t="s">
        <v>325</v>
      </c>
      <c r="B229" s="12" t="s">
        <v>407</v>
      </c>
      <c r="C229" s="12" t="s">
        <v>146</v>
      </c>
      <c r="D229" s="13" t="s">
        <v>329</v>
      </c>
      <c r="E229" s="12" t="s">
        <v>346</v>
      </c>
      <c r="F229" s="13" t="n">
        <f aca="false">COUNTIFS(高中!$A:$A,$B229,高中!$E:$E,$C229,高中!$F:$F,"&lt;&gt;",高中!$C:$C,$D229,高中!$D:$D,$E229)</f>
        <v>3</v>
      </c>
      <c r="G229" s="13" t="str">
        <f aca="false">IF(F229&gt;0,"已查到","未查到")</f>
        <v>已查到</v>
      </c>
    </row>
    <row r="230" customFormat="false" ht="15" hidden="false" customHeight="false" outlineLevel="0" collapsed="false">
      <c r="A230" s="12" t="s">
        <v>325</v>
      </c>
      <c r="B230" s="12" t="s">
        <v>407</v>
      </c>
      <c r="C230" s="12" t="s">
        <v>146</v>
      </c>
      <c r="D230" s="13" t="s">
        <v>332</v>
      </c>
      <c r="E230" s="12" t="s">
        <v>347</v>
      </c>
      <c r="F230" s="13" t="n">
        <f aca="false">COUNTIFS(高中!$A:$A,$B230,高中!$E:$E,$C230,高中!$F:$F,"&lt;&gt;",高中!$C:$C,$D230,高中!$D:$D,$E230)</f>
        <v>3</v>
      </c>
      <c r="G230" s="13" t="str">
        <f aca="false">IF(F230&gt;0,"已查到","未查到")</f>
        <v>已查到</v>
      </c>
    </row>
    <row r="231" customFormat="false" ht="15" hidden="false" customHeight="false" outlineLevel="0" collapsed="false">
      <c r="A231" s="12" t="s">
        <v>325</v>
      </c>
      <c r="B231" s="12" t="s">
        <v>407</v>
      </c>
      <c r="C231" s="12" t="s">
        <v>146</v>
      </c>
      <c r="D231" s="13" t="s">
        <v>332</v>
      </c>
      <c r="E231" s="12" t="s">
        <v>348</v>
      </c>
      <c r="F231" s="13" t="n">
        <f aca="false">COUNTIFS(高中!$A:$A,$B231,高中!$E:$E,$C231,高中!$F:$F,"&lt;&gt;",高中!$C:$C,$D231,高中!$D:$D,$E231)</f>
        <v>0</v>
      </c>
      <c r="G231" s="13" t="str">
        <f aca="false">IF(F231&gt;0,"已查到","未查到")</f>
        <v>未查到</v>
      </c>
    </row>
    <row r="232" customFormat="false" ht="15" hidden="false" customHeight="false" outlineLevel="0" collapsed="false">
      <c r="A232" s="12" t="s">
        <v>325</v>
      </c>
      <c r="B232" s="12" t="s">
        <v>407</v>
      </c>
      <c r="C232" s="12" t="s">
        <v>146</v>
      </c>
      <c r="D232" s="13" t="s">
        <v>332</v>
      </c>
      <c r="E232" s="12" t="s">
        <v>349</v>
      </c>
      <c r="F232" s="13" t="n">
        <f aca="false">COUNTIFS(高中!$A:$A,$B232,高中!$E:$E,$C232,高中!$F:$F,"&lt;&gt;",高中!$C:$C,$D232,高中!$D:$D,$E232)</f>
        <v>3</v>
      </c>
      <c r="G232" s="13" t="str">
        <f aca="false">IF(F232&gt;0,"已查到","未查到")</f>
        <v>已查到</v>
      </c>
    </row>
    <row r="233" customFormat="false" ht="15" hidden="false" customHeight="false" outlineLevel="0" collapsed="false">
      <c r="A233" s="12" t="s">
        <v>325</v>
      </c>
      <c r="B233" s="12" t="s">
        <v>407</v>
      </c>
      <c r="C233" s="12" t="s">
        <v>146</v>
      </c>
      <c r="D233" s="13" t="s">
        <v>332</v>
      </c>
      <c r="E233" s="12" t="s">
        <v>350</v>
      </c>
      <c r="F233" s="13" t="n">
        <f aca="false">COUNTIFS(高中!$A:$A,$B233,高中!$E:$E,$C233,高中!$F:$F,"&lt;&gt;",高中!$C:$C,$D233,高中!$D:$D,$E233)</f>
        <v>3</v>
      </c>
      <c r="G233" s="13" t="str">
        <f aca="false">IF(F233&gt;0,"已查到","未查到")</f>
        <v>已查到</v>
      </c>
    </row>
    <row r="234" customFormat="false" ht="15" hidden="false" customHeight="false" outlineLevel="0" collapsed="false">
      <c r="A234" s="12" t="s">
        <v>325</v>
      </c>
      <c r="B234" s="12" t="s">
        <v>407</v>
      </c>
      <c r="C234" s="12" t="s">
        <v>155</v>
      </c>
      <c r="D234" s="13"/>
      <c r="E234" s="12" t="s">
        <v>352</v>
      </c>
      <c r="F234" s="13" t="n">
        <f aca="false">COUNTIFS(高中!$A:$A,$B234,高中!$E:$E,$C234,高中!$F:$F,"&lt;&gt;",高中!$C:$C,"",高中!$D:$D,$E234)</f>
        <v>0</v>
      </c>
      <c r="G234" s="13" t="str">
        <f aca="false">IF(F234&gt;0,"已查到","未查到")</f>
        <v>未查到</v>
      </c>
    </row>
    <row r="235" customFormat="false" ht="15" hidden="false" customHeight="false" outlineLevel="0" collapsed="false">
      <c r="A235" s="12" t="s">
        <v>325</v>
      </c>
      <c r="B235" s="12" t="s">
        <v>407</v>
      </c>
      <c r="C235" s="12" t="s">
        <v>155</v>
      </c>
      <c r="D235" s="13"/>
      <c r="E235" s="12" t="s">
        <v>354</v>
      </c>
      <c r="F235" s="13" t="n">
        <f aca="false">COUNTIFS(高中!$A:$A,$B235,高中!$E:$E,$C235,高中!$F:$F,"&lt;&gt;",高中!$C:$C,"",高中!$D:$D,$E235)</f>
        <v>0</v>
      </c>
      <c r="G235" s="13" t="str">
        <f aca="false">IF(F235&gt;0,"已查到","未查到")</f>
        <v>未查到</v>
      </c>
    </row>
    <row r="236" customFormat="false" ht="15" hidden="false" customHeight="false" outlineLevel="0" collapsed="false">
      <c r="A236" s="12" t="s">
        <v>325</v>
      </c>
      <c r="B236" s="12" t="s">
        <v>407</v>
      </c>
      <c r="C236" s="12" t="s">
        <v>155</v>
      </c>
      <c r="D236" s="13"/>
      <c r="E236" s="12" t="s">
        <v>355</v>
      </c>
      <c r="F236" s="13" t="n">
        <f aca="false">COUNTIFS(高中!$A:$A,$B236,高中!$E:$E,$C236,高中!$F:$F,"&lt;&gt;",高中!$C:$C,"",高中!$D:$D,$E236)</f>
        <v>0</v>
      </c>
      <c r="G236" s="13" t="str">
        <f aca="false">IF(F236&gt;0,"已查到","未查到")</f>
        <v>未查到</v>
      </c>
    </row>
    <row r="237" customFormat="false" ht="15" hidden="false" customHeight="false" outlineLevel="0" collapsed="false">
      <c r="A237" s="12" t="s">
        <v>325</v>
      </c>
      <c r="B237" s="12" t="s">
        <v>407</v>
      </c>
      <c r="C237" s="12" t="s">
        <v>155</v>
      </c>
      <c r="D237" s="13"/>
      <c r="E237" s="12" t="s">
        <v>357</v>
      </c>
      <c r="F237" s="13" t="n">
        <f aca="false">COUNTIFS(高中!$A:$A,$B237,高中!$E:$E,$C237,高中!$F:$F,"&lt;&gt;",高中!$C:$C,"",高中!$D:$D,$E237)</f>
        <v>0</v>
      </c>
      <c r="G237" s="13" t="str">
        <f aca="false">IF(F237&gt;0,"已查到","未查到")</f>
        <v>未查到</v>
      </c>
    </row>
    <row r="238" customFormat="false" ht="15" hidden="false" customHeight="false" outlineLevel="0" collapsed="false">
      <c r="A238" s="12" t="s">
        <v>325</v>
      </c>
      <c r="B238" s="12" t="s">
        <v>407</v>
      </c>
      <c r="C238" s="12" t="s">
        <v>155</v>
      </c>
      <c r="D238" s="13"/>
      <c r="E238" s="12" t="s">
        <v>358</v>
      </c>
      <c r="F238" s="13" t="n">
        <f aca="false">COUNTIFS(高中!$A:$A,$B238,高中!$E:$E,$C238,高中!$F:$F,"&lt;&gt;",高中!$C:$C,"",高中!$D:$D,$E238)</f>
        <v>0</v>
      </c>
      <c r="G238" s="13" t="str">
        <f aca="false">IF(F238&gt;0,"已查到","未查到")</f>
        <v>未查到</v>
      </c>
    </row>
    <row r="239" customFormat="false" ht="15" hidden="false" customHeight="false" outlineLevel="0" collapsed="false">
      <c r="A239" s="12" t="s">
        <v>325</v>
      </c>
      <c r="B239" s="12" t="s">
        <v>407</v>
      </c>
      <c r="C239" s="12" t="s">
        <v>155</v>
      </c>
      <c r="D239" s="13"/>
      <c r="E239" s="12" t="s">
        <v>359</v>
      </c>
      <c r="F239" s="13" t="n">
        <f aca="false">COUNTIFS(高中!$A:$A,$B239,高中!$E:$E,$C239,高中!$F:$F,"&lt;&gt;",高中!$C:$C,"",高中!$D:$D,$E239)</f>
        <v>0</v>
      </c>
      <c r="G239" s="13" t="str">
        <f aca="false">IF(F239&gt;0,"已查到","未查到")</f>
        <v>未查到</v>
      </c>
    </row>
    <row r="240" customFormat="false" ht="15" hidden="false" customHeight="false" outlineLevel="0" collapsed="false">
      <c r="A240" s="12" t="s">
        <v>325</v>
      </c>
      <c r="B240" s="12" t="s">
        <v>407</v>
      </c>
      <c r="C240" s="12" t="s">
        <v>361</v>
      </c>
      <c r="D240" s="13"/>
      <c r="E240" s="12" t="s">
        <v>360</v>
      </c>
      <c r="F240" s="13" t="n">
        <f aca="false">COUNTIFS(高中!$A:$A,$B240,高中!$E:$E,$C240,高中!$F:$F,"&lt;&gt;",高中!$C:$C,"",高中!$D:$D,$E240)</f>
        <v>0</v>
      </c>
      <c r="G240" s="13" t="str">
        <f aca="false">IF(F240&gt;0,"已查到","未查到")</f>
        <v>未查到</v>
      </c>
    </row>
    <row r="241" customFormat="false" ht="15" hidden="false" customHeight="false" outlineLevel="0" collapsed="false">
      <c r="A241" s="12" t="s">
        <v>325</v>
      </c>
      <c r="B241" s="12" t="s">
        <v>407</v>
      </c>
      <c r="C241" s="12" t="s">
        <v>361</v>
      </c>
      <c r="D241" s="13"/>
      <c r="E241" s="12" t="s">
        <v>362</v>
      </c>
      <c r="F241" s="13" t="n">
        <f aca="false">COUNTIFS(高中!$A:$A,$B241,高中!$E:$E,$C241,高中!$F:$F,"&lt;&gt;",高中!$C:$C,"",高中!$D:$D,$E241)</f>
        <v>0</v>
      </c>
      <c r="G241" s="13" t="str">
        <f aca="false">IF(F241&gt;0,"已查到","未查到")</f>
        <v>未查到</v>
      </c>
    </row>
    <row r="242" customFormat="false" ht="15" hidden="false" customHeight="false" outlineLevel="0" collapsed="false">
      <c r="A242" s="12" t="s">
        <v>325</v>
      </c>
      <c r="B242" s="12" t="s">
        <v>407</v>
      </c>
      <c r="C242" s="12" t="s">
        <v>361</v>
      </c>
      <c r="D242" s="13"/>
      <c r="E242" s="12" t="s">
        <v>363</v>
      </c>
      <c r="F242" s="13" t="n">
        <f aca="false">COUNTIFS(高中!$A:$A,$B242,高中!$E:$E,$C242,高中!$F:$F,"&lt;&gt;",高中!$C:$C,"",高中!$D:$D,$E242)</f>
        <v>0</v>
      </c>
      <c r="G242" s="13" t="str">
        <f aca="false">IF(F242&gt;0,"已查到","未查到")</f>
        <v>未查到</v>
      </c>
    </row>
    <row r="243" customFormat="false" ht="15" hidden="false" customHeight="false" outlineLevel="0" collapsed="false">
      <c r="A243" s="12" t="s">
        <v>325</v>
      </c>
      <c r="B243" s="12" t="s">
        <v>407</v>
      </c>
      <c r="C243" s="12" t="s">
        <v>361</v>
      </c>
      <c r="D243" s="13"/>
      <c r="E243" s="12" t="s">
        <v>364</v>
      </c>
      <c r="F243" s="13" t="n">
        <f aca="false">COUNTIFS(高中!$A:$A,$B243,高中!$E:$E,$C243,高中!$F:$F,"&lt;&gt;",高中!$C:$C,"",高中!$D:$D,$E243)</f>
        <v>0</v>
      </c>
      <c r="G243" s="13" t="str">
        <f aca="false">IF(F243&gt;0,"已查到","未查到")</f>
        <v>未查到</v>
      </c>
    </row>
    <row r="244" customFormat="false" ht="15" hidden="false" customHeight="false" outlineLevel="0" collapsed="false">
      <c r="A244" s="12" t="s">
        <v>325</v>
      </c>
      <c r="B244" s="12" t="s">
        <v>407</v>
      </c>
      <c r="C244" s="12" t="s">
        <v>361</v>
      </c>
      <c r="D244" s="13"/>
      <c r="E244" s="12" t="s">
        <v>365</v>
      </c>
      <c r="F244" s="13" t="n">
        <f aca="false">COUNTIFS(高中!$A:$A,$B244,高中!$E:$E,$C244,高中!$F:$F,"&lt;&gt;",高中!$C:$C,"",高中!$D:$D,$E244)</f>
        <v>0</v>
      </c>
      <c r="G244" s="13" t="str">
        <f aca="false">IF(F244&gt;0,"已查到","未查到")</f>
        <v>未查到</v>
      </c>
    </row>
    <row r="245" customFormat="false" ht="15" hidden="false" customHeight="false" outlineLevel="0" collapsed="false">
      <c r="A245" s="12" t="s">
        <v>325</v>
      </c>
      <c r="B245" s="12" t="s">
        <v>407</v>
      </c>
      <c r="C245" s="12" t="s">
        <v>361</v>
      </c>
      <c r="D245" s="13"/>
      <c r="E245" s="12" t="s">
        <v>366</v>
      </c>
      <c r="F245" s="13" t="n">
        <f aca="false">COUNTIFS(高中!$A:$A,$B245,高中!$E:$E,$C245,高中!$F:$F,"&lt;&gt;",高中!$C:$C,"",高中!$D:$D,$E245)</f>
        <v>0</v>
      </c>
      <c r="G245" s="13" t="str">
        <f aca="false">IF(F245&gt;0,"已查到","未查到")</f>
        <v>未查到</v>
      </c>
    </row>
    <row r="246" customFormat="false" ht="15" hidden="false" customHeight="false" outlineLevel="0" collapsed="false">
      <c r="A246" s="12" t="s">
        <v>325</v>
      </c>
      <c r="B246" s="12" t="s">
        <v>407</v>
      </c>
      <c r="C246" s="12" t="s">
        <v>368</v>
      </c>
      <c r="D246" s="13"/>
      <c r="E246" s="12" t="s">
        <v>483</v>
      </c>
      <c r="F246" s="13" t="n">
        <f aca="false">COUNTIFS(高中!$A:$A,$B246,高中!$E:$E,$C246,高中!$F:$F,"&lt;&gt;",高中!$C:$C,"",高中!$D:$D,$E246)</f>
        <v>0</v>
      </c>
      <c r="G246" s="13" t="str">
        <f aca="false">IF(F246&gt;0,"已查到","未查到")</f>
        <v>未查到</v>
      </c>
    </row>
    <row r="247" customFormat="false" ht="15" hidden="false" customHeight="false" outlineLevel="0" collapsed="false">
      <c r="A247" s="12" t="s">
        <v>325</v>
      </c>
      <c r="B247" s="12" t="s">
        <v>407</v>
      </c>
      <c r="C247" s="12" t="s">
        <v>368</v>
      </c>
      <c r="D247" s="13"/>
      <c r="E247" s="12" t="s">
        <v>384</v>
      </c>
      <c r="F247" s="13" t="n">
        <f aca="false">COUNTIFS(高中!$A:$A,$B247,高中!$E:$E,$C247,高中!$F:$F,"&lt;&gt;",高中!$C:$C,"",高中!$D:$D,$E247)</f>
        <v>0</v>
      </c>
      <c r="G247" s="13" t="str">
        <f aca="false">IF(F247&gt;0,"已查到","未查到")</f>
        <v>未查到</v>
      </c>
    </row>
    <row r="248" customFormat="false" ht="15" hidden="false" customHeight="false" outlineLevel="0" collapsed="false">
      <c r="A248" s="12" t="s">
        <v>325</v>
      </c>
      <c r="B248" s="12" t="s">
        <v>407</v>
      </c>
      <c r="C248" s="12" t="s">
        <v>368</v>
      </c>
      <c r="D248" s="13"/>
      <c r="E248" s="12" t="s">
        <v>385</v>
      </c>
      <c r="F248" s="13" t="n">
        <f aca="false">COUNTIFS(高中!$A:$A,$B248,高中!$E:$E,$C248,高中!$F:$F,"&lt;&gt;",高中!$C:$C,"",高中!$D:$D,$E248)</f>
        <v>0</v>
      </c>
      <c r="G248" s="13" t="str">
        <f aca="false">IF(F248&gt;0,"已查到","未查到")</f>
        <v>未查到</v>
      </c>
    </row>
    <row r="249" customFormat="false" ht="15" hidden="false" customHeight="false" outlineLevel="0" collapsed="false">
      <c r="A249" s="12" t="s">
        <v>325</v>
      </c>
      <c r="B249" s="12" t="s">
        <v>407</v>
      </c>
      <c r="C249" s="12" t="s">
        <v>368</v>
      </c>
      <c r="D249" s="13"/>
      <c r="E249" s="12" t="s">
        <v>386</v>
      </c>
      <c r="F249" s="13" t="n">
        <f aca="false">COUNTIFS(高中!$A:$A,$B249,高中!$E:$E,$C249,高中!$F:$F,"&lt;&gt;",高中!$C:$C,"",高中!$D:$D,$E249)</f>
        <v>0</v>
      </c>
      <c r="G249" s="13" t="str">
        <f aca="false">IF(F249&gt;0,"已查到","未查到")</f>
        <v>未查到</v>
      </c>
    </row>
    <row r="250" customFormat="false" ht="15" hidden="false" customHeight="false" outlineLevel="0" collapsed="false">
      <c r="A250" s="12" t="s">
        <v>325</v>
      </c>
      <c r="B250" s="12" t="s">
        <v>407</v>
      </c>
      <c r="C250" s="12" t="s">
        <v>368</v>
      </c>
      <c r="D250" s="13"/>
      <c r="E250" s="12" t="s">
        <v>387</v>
      </c>
      <c r="F250" s="13" t="n">
        <f aca="false">COUNTIFS(高中!$A:$A,$B250,高中!$E:$E,$C250,高中!$F:$F,"&lt;&gt;",高中!$C:$C,"",高中!$D:$D,$E250)</f>
        <v>0</v>
      </c>
      <c r="G250" s="13" t="str">
        <f aca="false">IF(F250&gt;0,"已查到","未查到")</f>
        <v>未查到</v>
      </c>
    </row>
    <row r="251" customFormat="false" ht="15" hidden="false" customHeight="false" outlineLevel="0" collapsed="false">
      <c r="A251" s="12" t="s">
        <v>325</v>
      </c>
      <c r="B251" s="12" t="s">
        <v>407</v>
      </c>
      <c r="C251" s="12" t="s">
        <v>368</v>
      </c>
      <c r="D251" s="13"/>
      <c r="E251" s="12" t="s">
        <v>388</v>
      </c>
      <c r="F251" s="13" t="n">
        <f aca="false">COUNTIFS(高中!$A:$A,$B251,高中!$E:$E,$C251,高中!$F:$F,"&lt;&gt;",高中!$C:$C,"",高中!$D:$D,$E251)</f>
        <v>0</v>
      </c>
      <c r="G251" s="13" t="str">
        <f aca="false">IF(F251&gt;0,"已查到","未查到")</f>
        <v>未查到</v>
      </c>
    </row>
    <row r="252" customFormat="false" ht="15" hidden="false" customHeight="false" outlineLevel="0" collapsed="false">
      <c r="A252" s="12" t="s">
        <v>325</v>
      </c>
      <c r="B252" s="12" t="s">
        <v>407</v>
      </c>
      <c r="C252" s="12" t="s">
        <v>368</v>
      </c>
      <c r="D252" s="13"/>
      <c r="E252" s="12" t="s">
        <v>389</v>
      </c>
      <c r="F252" s="13" t="n">
        <f aca="false">COUNTIFS(高中!$A:$A,$B252,高中!$E:$E,$C252,高中!$F:$F,"&lt;&gt;",高中!$C:$C,"",高中!$D:$D,$E252)</f>
        <v>0</v>
      </c>
      <c r="G252" s="13" t="str">
        <f aca="false">IF(F252&gt;0,"已查到","未查到")</f>
        <v>未查到</v>
      </c>
    </row>
    <row r="253" customFormat="false" ht="15" hidden="false" customHeight="false" outlineLevel="0" collapsed="false">
      <c r="A253" s="12" t="s">
        <v>325</v>
      </c>
      <c r="B253" s="12" t="s">
        <v>407</v>
      </c>
      <c r="C253" s="12" t="s">
        <v>368</v>
      </c>
      <c r="D253" s="13"/>
      <c r="E253" s="12" t="s">
        <v>484</v>
      </c>
      <c r="F253" s="13" t="n">
        <f aca="false">COUNTIFS(高中!$A:$A,$B253,高中!$E:$E,$C253,高中!$F:$F,"&lt;&gt;",高中!$C:$C,"",高中!$D:$D,$E253)</f>
        <v>0</v>
      </c>
      <c r="G253" s="13" t="str">
        <f aca="false">IF(F253&gt;0,"已查到","未查到")</f>
        <v>未查到</v>
      </c>
    </row>
    <row r="254" customFormat="false" ht="15" hidden="false" customHeight="false" outlineLevel="0" collapsed="false">
      <c r="A254" s="12" t="s">
        <v>325</v>
      </c>
      <c r="B254" s="12" t="s">
        <v>407</v>
      </c>
      <c r="C254" s="12" t="s">
        <v>166</v>
      </c>
      <c r="D254" s="13"/>
      <c r="E254" s="12" t="s">
        <v>390</v>
      </c>
      <c r="F254" s="13" t="n">
        <f aca="false">COUNTIFS(高中!$A:$A,$B254,高中!$E:$E,$C254,高中!$F:$F,"&lt;&gt;",高中!$C:$C,"",高中!$D:$D,$E254)</f>
        <v>0</v>
      </c>
      <c r="G254" s="13" t="str">
        <f aca="false">IF(F254&gt;0,"已查到","未查到")</f>
        <v>未查到</v>
      </c>
    </row>
    <row r="255" customFormat="false" ht="15" hidden="false" customHeight="false" outlineLevel="0" collapsed="false">
      <c r="A255" s="12" t="s">
        <v>325</v>
      </c>
      <c r="B255" s="12" t="s">
        <v>407</v>
      </c>
      <c r="C255" s="12" t="s">
        <v>166</v>
      </c>
      <c r="D255" s="13"/>
      <c r="E255" s="12" t="s">
        <v>391</v>
      </c>
      <c r="F255" s="13" t="n">
        <f aca="false">COUNTIFS(高中!$A:$A,$B255,高中!$E:$E,$C255,高中!$F:$F,"&lt;&gt;",高中!$C:$C,"",高中!$D:$D,$E255)</f>
        <v>0</v>
      </c>
      <c r="G255" s="13" t="str">
        <f aca="false">IF(F255&gt;0,"已查到","未查到")</f>
        <v>未查到</v>
      </c>
    </row>
    <row r="256" customFormat="false" ht="15" hidden="false" customHeight="false" outlineLevel="0" collapsed="false">
      <c r="A256" s="12" t="s">
        <v>325</v>
      </c>
      <c r="B256" s="12" t="s">
        <v>407</v>
      </c>
      <c r="C256" s="12" t="s">
        <v>166</v>
      </c>
      <c r="D256" s="13"/>
      <c r="E256" s="12" t="s">
        <v>392</v>
      </c>
      <c r="F256" s="13" t="n">
        <f aca="false">COUNTIFS(高中!$A:$A,$B256,高中!$E:$E,$C256,高中!$F:$F,"&lt;&gt;",高中!$C:$C,"",高中!$D:$D,$E256)</f>
        <v>0</v>
      </c>
      <c r="G256" s="13" t="str">
        <f aca="false">IF(F256&gt;0,"已查到","未查到")</f>
        <v>未查到</v>
      </c>
    </row>
    <row r="257" customFormat="false" ht="15" hidden="false" customHeight="false" outlineLevel="0" collapsed="false">
      <c r="A257" s="12" t="s">
        <v>325</v>
      </c>
      <c r="B257" s="12" t="s">
        <v>407</v>
      </c>
      <c r="C257" s="12" t="s">
        <v>166</v>
      </c>
      <c r="D257" s="13"/>
      <c r="E257" s="12" t="s">
        <v>393</v>
      </c>
      <c r="F257" s="13" t="n">
        <f aca="false">COUNTIFS(高中!$A:$A,$B257,高中!$E:$E,$C257,高中!$F:$F,"&lt;&gt;",高中!$C:$C,"",高中!$D:$D,$E257)</f>
        <v>0</v>
      </c>
      <c r="G257" s="13" t="str">
        <f aca="false">IF(F257&gt;0,"已查到","未查到")</f>
        <v>未查到</v>
      </c>
    </row>
    <row r="258" customFormat="false" ht="15" hidden="false" customHeight="false" outlineLevel="0" collapsed="false">
      <c r="A258" s="12" t="s">
        <v>325</v>
      </c>
      <c r="B258" s="12" t="s">
        <v>407</v>
      </c>
      <c r="C258" s="12" t="s">
        <v>166</v>
      </c>
      <c r="D258" s="13"/>
      <c r="E258" s="12" t="s">
        <v>394</v>
      </c>
      <c r="F258" s="13" t="n">
        <f aca="false">COUNTIFS(高中!$A:$A,$B258,高中!$E:$E,$C258,高中!$F:$F,"&lt;&gt;",高中!$C:$C,"",高中!$D:$D,$E258)</f>
        <v>0</v>
      </c>
      <c r="G258" s="13" t="str">
        <f aca="false">IF(F258&gt;0,"已查到","未查到")</f>
        <v>未查到</v>
      </c>
    </row>
    <row r="259" customFormat="false" ht="15" hidden="false" customHeight="false" outlineLevel="0" collapsed="false">
      <c r="A259" s="12" t="s">
        <v>325</v>
      </c>
      <c r="B259" s="12" t="s">
        <v>407</v>
      </c>
      <c r="C259" s="12" t="s">
        <v>166</v>
      </c>
      <c r="D259" s="13"/>
      <c r="E259" s="12" t="s">
        <v>395</v>
      </c>
      <c r="F259" s="13" t="n">
        <f aca="false">COUNTIFS(高中!$A:$A,$B259,高中!$E:$E,$C259,高中!$F:$F,"&lt;&gt;",高中!$C:$C,"",高中!$D:$D,$E259)</f>
        <v>0</v>
      </c>
      <c r="G259" s="13" t="str">
        <f aca="false">IF(F259&gt;0,"已查到","未查到")</f>
        <v>未查到</v>
      </c>
    </row>
    <row r="260" customFormat="false" ht="15" hidden="false" customHeight="false" outlineLevel="0" collapsed="false">
      <c r="A260" s="12" t="s">
        <v>325</v>
      </c>
      <c r="B260" s="12" t="s">
        <v>407</v>
      </c>
      <c r="C260" s="12" t="s">
        <v>256</v>
      </c>
      <c r="D260" s="13" t="s">
        <v>326</v>
      </c>
      <c r="E260" s="12" t="s">
        <v>327</v>
      </c>
      <c r="F260" s="13" t="n">
        <f aca="false">COUNTIFS(高中!$A:$A,$B260,高中!$E:$E,$C260,高中!$F:$F,"&lt;&gt;",高中!$C:$C,$D260,高中!$D:$D,$E260)</f>
        <v>0</v>
      </c>
      <c r="G260" s="13" t="str">
        <f aca="false">IF(F260&gt;0,"已查到","未查到")</f>
        <v>未查到</v>
      </c>
    </row>
    <row r="261" customFormat="false" ht="15" hidden="false" customHeight="false" outlineLevel="0" collapsed="false">
      <c r="A261" s="12" t="s">
        <v>325</v>
      </c>
      <c r="B261" s="12" t="s">
        <v>407</v>
      </c>
      <c r="C261" s="12" t="s">
        <v>256</v>
      </c>
      <c r="D261" s="13" t="s">
        <v>326</v>
      </c>
      <c r="E261" s="12" t="s">
        <v>328</v>
      </c>
      <c r="F261" s="13" t="n">
        <f aca="false">COUNTIFS(高中!$A:$A,$B261,高中!$E:$E,$C261,高中!$F:$F,"&lt;&gt;",高中!$C:$C,$D261,高中!$D:$D,$E261)</f>
        <v>0</v>
      </c>
      <c r="G261" s="13" t="str">
        <f aca="false">IF(F261&gt;0,"已查到","未查到")</f>
        <v>未查到</v>
      </c>
    </row>
    <row r="262" customFormat="false" ht="15" hidden="false" customHeight="false" outlineLevel="0" collapsed="false">
      <c r="A262" s="12" t="s">
        <v>325</v>
      </c>
      <c r="B262" s="12" t="s">
        <v>407</v>
      </c>
      <c r="C262" s="12" t="s">
        <v>256</v>
      </c>
      <c r="D262" s="13" t="s">
        <v>329</v>
      </c>
      <c r="E262" s="12" t="s">
        <v>330</v>
      </c>
      <c r="F262" s="13" t="n">
        <f aca="false">COUNTIFS(高中!$A:$A,$B262,高中!$E:$E,$C262,高中!$F:$F,"&lt;&gt;",高中!$C:$C,$D262,高中!$D:$D,$E262)</f>
        <v>0</v>
      </c>
      <c r="G262" s="13" t="str">
        <f aca="false">IF(F262&gt;0,"已查到","未查到")</f>
        <v>未查到</v>
      </c>
    </row>
    <row r="263" customFormat="false" ht="15" hidden="false" customHeight="false" outlineLevel="0" collapsed="false">
      <c r="A263" s="12" t="s">
        <v>325</v>
      </c>
      <c r="B263" s="12" t="s">
        <v>407</v>
      </c>
      <c r="C263" s="12" t="s">
        <v>256</v>
      </c>
      <c r="D263" s="13"/>
      <c r="E263" s="12" t="s">
        <v>397</v>
      </c>
      <c r="F263" s="13" t="n">
        <f aca="false">COUNTIFS(高中!$A:$A,$B263,高中!$E:$E,$C263,高中!$F:$F,"&lt;&gt;",高中!$C:$C,"",高中!$D:$D,$E263)</f>
        <v>0</v>
      </c>
      <c r="G263" s="13" t="str">
        <f aca="false">IF(F263&gt;0,"已查到","未查到")</f>
        <v>未查到</v>
      </c>
    </row>
    <row r="264" customFormat="false" ht="15" hidden="false" customHeight="false" outlineLevel="0" collapsed="false">
      <c r="A264" s="12" t="s">
        <v>325</v>
      </c>
      <c r="B264" s="12" t="s">
        <v>407</v>
      </c>
      <c r="C264" s="12" t="s">
        <v>256</v>
      </c>
      <c r="D264" s="13"/>
      <c r="E264" s="12" t="s">
        <v>398</v>
      </c>
      <c r="F264" s="13" t="n">
        <f aca="false">COUNTIFS(高中!$A:$A,$B264,高中!$E:$E,$C264,高中!$F:$F,"&lt;&gt;",高中!$C:$C,"",高中!$D:$D,$E264)</f>
        <v>0</v>
      </c>
      <c r="G264" s="13" t="str">
        <f aca="false">IF(F264&gt;0,"已查到","未查到")</f>
        <v>未查到</v>
      </c>
    </row>
    <row r="265" customFormat="false" ht="15" hidden="false" customHeight="false" outlineLevel="0" collapsed="false">
      <c r="A265" s="12" t="s">
        <v>325</v>
      </c>
      <c r="B265" s="12" t="s">
        <v>407</v>
      </c>
      <c r="C265" s="12" t="s">
        <v>256</v>
      </c>
      <c r="D265" s="13"/>
      <c r="E265" s="12" t="s">
        <v>399</v>
      </c>
      <c r="F265" s="13" t="n">
        <f aca="false">COUNTIFS(高中!$A:$A,$B265,高中!$E:$E,$C265,高中!$F:$F,"&lt;&gt;",高中!$C:$C,"",高中!$D:$D,$E265)</f>
        <v>0</v>
      </c>
      <c r="G265" s="13" t="str">
        <f aca="false">IF(F265&gt;0,"已查到","未查到")</f>
        <v>未查到</v>
      </c>
    </row>
    <row r="266" customFormat="false" ht="15" hidden="false" customHeight="false" outlineLevel="0" collapsed="false">
      <c r="A266" s="12" t="s">
        <v>325</v>
      </c>
      <c r="B266" s="12" t="s">
        <v>407</v>
      </c>
      <c r="C266" s="12" t="s">
        <v>257</v>
      </c>
      <c r="D266" s="13" t="s">
        <v>326</v>
      </c>
      <c r="E266" s="12" t="s">
        <v>327</v>
      </c>
      <c r="F266" s="13" t="n">
        <f aca="false">COUNTIFS(高中!$A:$A,$B266,高中!$E:$E,$C266,高中!$F:$F,"&lt;&gt;",高中!$C:$C,$D266,高中!$D:$D,$E266)</f>
        <v>0</v>
      </c>
      <c r="G266" s="13" t="str">
        <f aca="false">IF(F266&gt;0,"已查到","未查到")</f>
        <v>未查到</v>
      </c>
    </row>
    <row r="267" customFormat="false" ht="15" hidden="false" customHeight="false" outlineLevel="0" collapsed="false">
      <c r="A267" s="12" t="s">
        <v>325</v>
      </c>
      <c r="B267" s="12" t="s">
        <v>407</v>
      </c>
      <c r="C267" s="12" t="s">
        <v>257</v>
      </c>
      <c r="D267" s="13" t="s">
        <v>326</v>
      </c>
      <c r="E267" s="12" t="s">
        <v>328</v>
      </c>
      <c r="F267" s="13" t="n">
        <f aca="false">COUNTIFS(高中!$A:$A,$B267,高中!$E:$E,$C267,高中!$F:$F,"&lt;&gt;",高中!$C:$C,$D267,高中!$D:$D,$E267)</f>
        <v>0</v>
      </c>
      <c r="G267" s="13" t="str">
        <f aca="false">IF(F267&gt;0,"已查到","未查到")</f>
        <v>未查到</v>
      </c>
    </row>
    <row r="268" customFormat="false" ht="15" hidden="false" customHeight="false" outlineLevel="0" collapsed="false">
      <c r="A268" s="12" t="s">
        <v>325</v>
      </c>
      <c r="B268" s="12" t="s">
        <v>407</v>
      </c>
      <c r="C268" s="12" t="s">
        <v>257</v>
      </c>
      <c r="D268" s="13" t="s">
        <v>329</v>
      </c>
      <c r="E268" s="12" t="s">
        <v>330</v>
      </c>
      <c r="F268" s="13" t="n">
        <f aca="false">COUNTIFS(高中!$A:$A,$B268,高中!$E:$E,$C268,高中!$F:$F,"&lt;&gt;",高中!$C:$C,$D268,高中!$D:$D,$E268)</f>
        <v>0</v>
      </c>
      <c r="G268" s="13" t="str">
        <f aca="false">IF(F268&gt;0,"已查到","未查到")</f>
        <v>未查到</v>
      </c>
    </row>
    <row r="269" customFormat="false" ht="15" hidden="false" customHeight="false" outlineLevel="0" collapsed="false">
      <c r="A269" s="12" t="s">
        <v>325</v>
      </c>
      <c r="B269" s="12" t="s">
        <v>407</v>
      </c>
      <c r="C269" s="12" t="s">
        <v>257</v>
      </c>
      <c r="D269" s="13"/>
      <c r="E269" s="12" t="s">
        <v>400</v>
      </c>
      <c r="F269" s="13" t="n">
        <f aca="false">COUNTIFS(高中!$A:$A,$B269,高中!$E:$E,$C269,高中!$F:$F,"&lt;&gt;",高中!$C:$C,"",高中!$D:$D,$E269)</f>
        <v>0</v>
      </c>
      <c r="G269" s="13" t="str">
        <f aca="false">IF(F269&gt;0,"已查到","未查到")</f>
        <v>未查到</v>
      </c>
    </row>
    <row r="270" customFormat="false" ht="15" hidden="false" customHeight="false" outlineLevel="0" collapsed="false">
      <c r="A270" s="12" t="s">
        <v>325</v>
      </c>
      <c r="B270" s="12" t="s">
        <v>407</v>
      </c>
      <c r="C270" s="12" t="s">
        <v>257</v>
      </c>
      <c r="D270" s="13"/>
      <c r="E270" s="12" t="s">
        <v>401</v>
      </c>
      <c r="F270" s="13" t="n">
        <f aca="false">COUNTIFS(高中!$A:$A,$B270,高中!$E:$E,$C270,高中!$F:$F,"&lt;&gt;",高中!$C:$C,"",高中!$D:$D,$E270)</f>
        <v>0</v>
      </c>
      <c r="G270" s="13" t="str">
        <f aca="false">IF(F270&gt;0,"已查到","未查到")</f>
        <v>未查到</v>
      </c>
    </row>
    <row r="271" customFormat="false" ht="15" hidden="false" customHeight="false" outlineLevel="0" collapsed="false">
      <c r="A271" s="12" t="s">
        <v>325</v>
      </c>
      <c r="B271" s="12" t="s">
        <v>407</v>
      </c>
      <c r="C271" s="12" t="s">
        <v>257</v>
      </c>
      <c r="D271" s="13"/>
      <c r="E271" s="12" t="s">
        <v>402</v>
      </c>
      <c r="F271" s="13" t="n">
        <f aca="false">COUNTIFS(高中!$A:$A,$B271,高中!$E:$E,$C271,高中!$F:$F,"&lt;&gt;",高中!$C:$C,"",高中!$D:$D,$E271)</f>
        <v>0</v>
      </c>
      <c r="G271" s="13" t="str">
        <f aca="false">IF(F271&gt;0,"已查到","未查到")</f>
        <v>未查到</v>
      </c>
    </row>
    <row r="272" customFormat="false" ht="15" hidden="false" customHeight="false" outlineLevel="0" collapsed="false">
      <c r="A272" s="12" t="s">
        <v>325</v>
      </c>
      <c r="B272" s="12" t="s">
        <v>407</v>
      </c>
      <c r="C272" s="12" t="s">
        <v>403</v>
      </c>
      <c r="D272" s="13" t="s">
        <v>326</v>
      </c>
      <c r="E272" s="12" t="s">
        <v>327</v>
      </c>
      <c r="F272" s="13" t="n">
        <f aca="false">COUNTIFS(高中!$A:$A,$B272,高中!$E:$E,$C272,高中!$F:$F,"&lt;&gt;",高中!$C:$C,$D272,高中!$D:$D,$E272)</f>
        <v>0</v>
      </c>
      <c r="G272" s="13" t="str">
        <f aca="false">IF(F272&gt;0,"已查到","未查到")</f>
        <v>未查到</v>
      </c>
    </row>
    <row r="273" customFormat="false" ht="15" hidden="false" customHeight="false" outlineLevel="0" collapsed="false">
      <c r="A273" s="12" t="s">
        <v>325</v>
      </c>
      <c r="B273" s="12" t="s">
        <v>407</v>
      </c>
      <c r="C273" s="12" t="s">
        <v>403</v>
      </c>
      <c r="D273" s="13" t="s">
        <v>326</v>
      </c>
      <c r="E273" s="12" t="s">
        <v>328</v>
      </c>
      <c r="F273" s="13" t="n">
        <f aca="false">COUNTIFS(高中!$A:$A,$B273,高中!$E:$E,$C273,高中!$F:$F,"&lt;&gt;",高中!$C:$C,$D273,高中!$D:$D,$E273)</f>
        <v>0</v>
      </c>
      <c r="G273" s="13" t="str">
        <f aca="false">IF(F273&gt;0,"已查到","未查到")</f>
        <v>未查到</v>
      </c>
    </row>
    <row r="274" customFormat="false" ht="15" hidden="false" customHeight="false" outlineLevel="0" collapsed="false">
      <c r="A274" s="12" t="s">
        <v>325</v>
      </c>
      <c r="B274" s="12" t="s">
        <v>407</v>
      </c>
      <c r="C274" s="12" t="s">
        <v>403</v>
      </c>
      <c r="D274" s="13" t="s">
        <v>329</v>
      </c>
      <c r="E274" s="12" t="s">
        <v>330</v>
      </c>
      <c r="F274" s="13" t="n">
        <f aca="false">COUNTIFS(高中!$A:$A,$B274,高中!$E:$E,$C274,高中!$F:$F,"&lt;&gt;",高中!$C:$C,$D274,高中!$D:$D,$E274)</f>
        <v>0</v>
      </c>
      <c r="G274" s="13" t="str">
        <f aca="false">IF(F274&gt;0,"已查到","未查到")</f>
        <v>未查到</v>
      </c>
    </row>
    <row r="275" customFormat="false" ht="15" hidden="false" customHeight="false" outlineLevel="0" collapsed="false">
      <c r="A275" s="12" t="s">
        <v>325</v>
      </c>
      <c r="B275" s="12" t="s">
        <v>407</v>
      </c>
      <c r="C275" s="12" t="s">
        <v>403</v>
      </c>
      <c r="D275" s="13"/>
      <c r="E275" s="12" t="s">
        <v>404</v>
      </c>
      <c r="F275" s="13" t="n">
        <f aca="false">COUNTIFS(高中!$A:$A,$B275,高中!$E:$E,$C275,高中!$F:$F,"&lt;&gt;",高中!$C:$C,"",高中!$D:$D,$E275)</f>
        <v>0</v>
      </c>
      <c r="G275" s="13" t="str">
        <f aca="false">IF(F275&gt;0,"已查到","未查到")</f>
        <v>未查到</v>
      </c>
    </row>
    <row r="276" customFormat="false" ht="15" hidden="false" customHeight="false" outlineLevel="0" collapsed="false">
      <c r="A276" s="12" t="s">
        <v>325</v>
      </c>
      <c r="B276" s="12" t="s">
        <v>407</v>
      </c>
      <c r="C276" s="12" t="s">
        <v>403</v>
      </c>
      <c r="D276" s="13"/>
      <c r="E276" s="12" t="s">
        <v>405</v>
      </c>
      <c r="F276" s="13" t="n">
        <f aca="false">COUNTIFS(高中!$A:$A,$B276,高中!$E:$E,$C276,高中!$F:$F,"&lt;&gt;",高中!$C:$C,"",高中!$D:$D,$E276)</f>
        <v>0</v>
      </c>
      <c r="G276" s="13" t="str">
        <f aca="false">IF(F276&gt;0,"已查到","未查到")</f>
        <v>未查到</v>
      </c>
    </row>
    <row r="277" customFormat="false" ht="15" hidden="false" customHeight="false" outlineLevel="0" collapsed="false">
      <c r="A277" s="12" t="s">
        <v>325</v>
      </c>
      <c r="B277" s="12" t="s">
        <v>407</v>
      </c>
      <c r="C277" s="12" t="s">
        <v>403</v>
      </c>
      <c r="D277" s="13"/>
      <c r="E277" s="12" t="s">
        <v>406</v>
      </c>
      <c r="F277" s="13" t="n">
        <f aca="false">COUNTIFS(高中!$A:$A,$B277,高中!$E:$E,$C277,高中!$F:$F,"&lt;&gt;",高中!$C:$C,"",高中!$D:$D,$E277)</f>
        <v>0</v>
      </c>
      <c r="G277" s="13" t="str">
        <f aca="false">IF(F277&gt;0,"已查到","未查到")</f>
        <v>未查到</v>
      </c>
    </row>
    <row r="278" customFormat="false" ht="15" hidden="false" customHeight="false" outlineLevel="0" collapsed="false">
      <c r="A278" s="12" t="s">
        <v>325</v>
      </c>
      <c r="B278" s="12" t="s">
        <v>485</v>
      </c>
      <c r="C278" s="12" t="s">
        <v>30</v>
      </c>
      <c r="D278" s="13" t="s">
        <v>326</v>
      </c>
      <c r="E278" s="12" t="s">
        <v>327</v>
      </c>
      <c r="F278" s="13" t="n">
        <f aca="false">COUNTIFS(高中!$A:$A,$B278,高中!$E:$E,$C278,高中!$F:$F,"&lt;&gt;",高中!$C:$C,$D278,高中!$D:$D,$E278)</f>
        <v>0</v>
      </c>
      <c r="G278" s="13" t="str">
        <f aca="false">IF(F278&gt;0,"已查到","未查到")</f>
        <v>未查到</v>
      </c>
    </row>
    <row r="279" customFormat="false" ht="15" hidden="false" customHeight="false" outlineLevel="0" collapsed="false">
      <c r="A279" s="12" t="s">
        <v>325</v>
      </c>
      <c r="B279" s="12" t="s">
        <v>485</v>
      </c>
      <c r="C279" s="12" t="s">
        <v>30</v>
      </c>
      <c r="D279" s="13" t="s">
        <v>326</v>
      </c>
      <c r="E279" s="12" t="s">
        <v>328</v>
      </c>
      <c r="F279" s="13" t="n">
        <f aca="false">COUNTIFS(高中!$A:$A,$B279,高中!$E:$E,$C279,高中!$F:$F,"&lt;&gt;",高中!$C:$C,$D279,高中!$D:$D,$E279)</f>
        <v>0</v>
      </c>
      <c r="G279" s="13" t="str">
        <f aca="false">IF(F279&gt;0,"已查到","未查到")</f>
        <v>未查到</v>
      </c>
    </row>
    <row r="280" customFormat="false" ht="15" hidden="false" customHeight="false" outlineLevel="0" collapsed="false">
      <c r="A280" s="12" t="s">
        <v>325</v>
      </c>
      <c r="B280" s="12" t="s">
        <v>485</v>
      </c>
      <c r="C280" s="12" t="s">
        <v>30</v>
      </c>
      <c r="D280" s="13" t="s">
        <v>329</v>
      </c>
      <c r="E280" s="12" t="s">
        <v>330</v>
      </c>
      <c r="F280" s="13" t="n">
        <f aca="false">COUNTIFS(高中!$A:$A,$B280,高中!$E:$E,$C280,高中!$F:$F,"&lt;&gt;",高中!$C:$C,$D280,高中!$D:$D,$E280)</f>
        <v>0</v>
      </c>
      <c r="G280" s="13" t="str">
        <f aca="false">IF(F280&gt;0,"已查到","未查到")</f>
        <v>未查到</v>
      </c>
    </row>
    <row r="281" customFormat="false" ht="15" hidden="false" customHeight="false" outlineLevel="0" collapsed="false">
      <c r="A281" s="12" t="s">
        <v>325</v>
      </c>
      <c r="B281" s="12" t="s">
        <v>485</v>
      </c>
      <c r="C281" s="12" t="s">
        <v>30</v>
      </c>
      <c r="D281" s="13" t="s">
        <v>329</v>
      </c>
      <c r="E281" s="12" t="s">
        <v>331</v>
      </c>
      <c r="F281" s="13" t="n">
        <f aca="false">COUNTIFS(高中!$A:$A,$B281,高中!$E:$E,$C281,高中!$F:$F,"&lt;&gt;",高中!$C:$C,$D281,高中!$D:$D,$E281)</f>
        <v>0</v>
      </c>
      <c r="G281" s="13" t="str">
        <f aca="false">IF(F281&gt;0,"已查到","未查到")</f>
        <v>未查到</v>
      </c>
    </row>
    <row r="282" customFormat="false" ht="15" hidden="false" customHeight="false" outlineLevel="0" collapsed="false">
      <c r="A282" s="12" t="s">
        <v>325</v>
      </c>
      <c r="B282" s="12" t="s">
        <v>485</v>
      </c>
      <c r="C282" s="12" t="s">
        <v>30</v>
      </c>
      <c r="D282" s="13" t="s">
        <v>332</v>
      </c>
      <c r="E282" s="12" t="s">
        <v>333</v>
      </c>
      <c r="F282" s="13" t="n">
        <f aca="false">COUNTIFS(高中!$A:$A,$B282,高中!$E:$E,$C282,高中!$F:$F,"&lt;&gt;",高中!$C:$C,$D282,高中!$D:$D,$E282)</f>
        <v>0</v>
      </c>
      <c r="G282" s="13" t="str">
        <f aca="false">IF(F282&gt;0,"已查到","未查到")</f>
        <v>未查到</v>
      </c>
    </row>
    <row r="283" customFormat="false" ht="15" hidden="false" customHeight="false" outlineLevel="0" collapsed="false">
      <c r="A283" s="12" t="s">
        <v>325</v>
      </c>
      <c r="B283" s="12" t="s">
        <v>485</v>
      </c>
      <c r="C283" s="12" t="s">
        <v>30</v>
      </c>
      <c r="D283" s="13" t="s">
        <v>332</v>
      </c>
      <c r="E283" s="12" t="s">
        <v>334</v>
      </c>
      <c r="F283" s="13" t="n">
        <f aca="false">COUNTIFS(高中!$A:$A,$B283,高中!$E:$E,$C283,高中!$F:$F,"&lt;&gt;",高中!$C:$C,$D283,高中!$D:$D,$E283)</f>
        <v>0</v>
      </c>
      <c r="G283" s="13" t="str">
        <f aca="false">IF(F283&gt;0,"已查到","未查到")</f>
        <v>未查到</v>
      </c>
    </row>
    <row r="284" customFormat="false" ht="15" hidden="false" customHeight="false" outlineLevel="0" collapsed="false">
      <c r="A284" s="12" t="s">
        <v>325</v>
      </c>
      <c r="B284" s="12" t="s">
        <v>485</v>
      </c>
      <c r="C284" s="12" t="s">
        <v>30</v>
      </c>
      <c r="D284" s="13"/>
      <c r="E284" s="12" t="s">
        <v>335</v>
      </c>
      <c r="F284" s="13" t="n">
        <f aca="false">COUNTIFS(高中!$A:$A,$B284,高中!$E:$E,$C284,高中!$F:$F,"&lt;&gt;",高中!$C:$C,"",高中!$D:$D,$E284)</f>
        <v>0</v>
      </c>
      <c r="G284" s="13" t="str">
        <f aca="false">IF(F284&gt;0,"已查到","未查到")</f>
        <v>未查到</v>
      </c>
    </row>
    <row r="285" customFormat="false" ht="15" hidden="false" customHeight="false" outlineLevel="0" collapsed="false">
      <c r="A285" s="12" t="s">
        <v>325</v>
      </c>
      <c r="B285" s="12" t="s">
        <v>485</v>
      </c>
      <c r="C285" s="12" t="s">
        <v>30</v>
      </c>
      <c r="D285" s="13"/>
      <c r="E285" s="12" t="s">
        <v>336</v>
      </c>
      <c r="F285" s="13" t="n">
        <f aca="false">COUNTIFS(高中!$A:$A,$B285,高中!$E:$E,$C285,高中!$F:$F,"&lt;&gt;",高中!$C:$C,"",高中!$D:$D,$E285)</f>
        <v>0</v>
      </c>
      <c r="G285" s="13" t="str">
        <f aca="false">IF(F285&gt;0,"已查到","未查到")</f>
        <v>未查到</v>
      </c>
    </row>
    <row r="286" customFormat="false" ht="15" hidden="false" customHeight="false" outlineLevel="0" collapsed="false">
      <c r="A286" s="12" t="s">
        <v>325</v>
      </c>
      <c r="B286" s="12" t="s">
        <v>485</v>
      </c>
      <c r="C286" s="12" t="s">
        <v>30</v>
      </c>
      <c r="D286" s="13"/>
      <c r="E286" s="12" t="s">
        <v>337</v>
      </c>
      <c r="F286" s="13" t="n">
        <f aca="false">COUNTIFS(高中!$A:$A,$B286,高中!$E:$E,$C286,高中!$F:$F,"&lt;&gt;",高中!$C:$C,"",高中!$D:$D,$E286)</f>
        <v>0</v>
      </c>
      <c r="G286" s="13" t="str">
        <f aca="false">IF(F286&gt;0,"已查到","未查到")</f>
        <v>未查到</v>
      </c>
    </row>
    <row r="287" customFormat="false" ht="15" hidden="false" customHeight="false" outlineLevel="0" collapsed="false">
      <c r="A287" s="12" t="s">
        <v>325</v>
      </c>
      <c r="B287" s="12" t="s">
        <v>485</v>
      </c>
      <c r="C287" s="12" t="s">
        <v>30</v>
      </c>
      <c r="D287" s="13"/>
      <c r="E287" s="12" t="s">
        <v>338</v>
      </c>
      <c r="F287" s="13" t="n">
        <f aca="false">COUNTIFS(高中!$A:$A,$B287,高中!$E:$E,$C287,高中!$F:$F,"&lt;&gt;",高中!$C:$C,"",高中!$D:$D,$E287)</f>
        <v>0</v>
      </c>
      <c r="G287" s="13" t="str">
        <f aca="false">IF(F287&gt;0,"已查到","未查到")</f>
        <v>未查到</v>
      </c>
    </row>
    <row r="288" customFormat="false" ht="15" hidden="false" customHeight="false" outlineLevel="0" collapsed="false">
      <c r="A288" s="12" t="s">
        <v>325</v>
      </c>
      <c r="B288" s="12" t="s">
        <v>485</v>
      </c>
      <c r="C288" s="12" t="s">
        <v>132</v>
      </c>
      <c r="D288" s="13" t="s">
        <v>326</v>
      </c>
      <c r="E288" s="12" t="s">
        <v>327</v>
      </c>
      <c r="F288" s="13" t="n">
        <f aca="false">COUNTIFS(高中!$A:$A,$B288,高中!$E:$E,$C288,高中!$F:$F,"&lt;&gt;",高中!$C:$C,$D288,高中!$D:$D,$E288)</f>
        <v>0</v>
      </c>
      <c r="G288" s="13" t="str">
        <f aca="false">IF(F288&gt;0,"已查到","未查到")</f>
        <v>未查到</v>
      </c>
    </row>
    <row r="289" customFormat="false" ht="15" hidden="false" customHeight="false" outlineLevel="0" collapsed="false">
      <c r="A289" s="12" t="s">
        <v>325</v>
      </c>
      <c r="B289" s="12" t="s">
        <v>485</v>
      </c>
      <c r="C289" s="12" t="s">
        <v>132</v>
      </c>
      <c r="D289" s="13" t="s">
        <v>326</v>
      </c>
      <c r="E289" s="12" t="s">
        <v>328</v>
      </c>
      <c r="F289" s="13" t="n">
        <f aca="false">COUNTIFS(高中!$A:$A,$B289,高中!$E:$E,$C289,高中!$F:$F,"&lt;&gt;",高中!$C:$C,$D289,高中!$D:$D,$E289)</f>
        <v>0</v>
      </c>
      <c r="G289" s="13" t="str">
        <f aca="false">IF(F289&gt;0,"已查到","未查到")</f>
        <v>未查到</v>
      </c>
    </row>
    <row r="290" customFormat="false" ht="15" hidden="false" customHeight="false" outlineLevel="0" collapsed="false">
      <c r="A290" s="12" t="s">
        <v>325</v>
      </c>
      <c r="B290" s="12" t="s">
        <v>485</v>
      </c>
      <c r="C290" s="12" t="s">
        <v>132</v>
      </c>
      <c r="D290" s="13" t="s">
        <v>329</v>
      </c>
      <c r="E290" s="12" t="s">
        <v>330</v>
      </c>
      <c r="F290" s="13" t="n">
        <f aca="false">COUNTIFS(高中!$A:$A,$B290,高中!$E:$E,$C290,高中!$F:$F,"&lt;&gt;",高中!$C:$C,$D290,高中!$D:$D,$E290)</f>
        <v>0</v>
      </c>
      <c r="G290" s="13" t="str">
        <f aca="false">IF(F290&gt;0,"已查到","未查到")</f>
        <v>未查到</v>
      </c>
    </row>
    <row r="291" customFormat="false" ht="15" hidden="false" customHeight="false" outlineLevel="0" collapsed="false">
      <c r="A291" s="12" t="s">
        <v>325</v>
      </c>
      <c r="B291" s="12" t="s">
        <v>485</v>
      </c>
      <c r="C291" s="12" t="s">
        <v>132</v>
      </c>
      <c r="D291" s="13" t="s">
        <v>329</v>
      </c>
      <c r="E291" s="12" t="s">
        <v>331</v>
      </c>
      <c r="F291" s="13" t="n">
        <f aca="false">COUNTIFS(高中!$A:$A,$B291,高中!$E:$E,$C291,高中!$F:$F,"&lt;&gt;",高中!$C:$C,$D291,高中!$D:$D,$E291)</f>
        <v>0</v>
      </c>
      <c r="G291" s="13" t="str">
        <f aca="false">IF(F291&gt;0,"已查到","未查到")</f>
        <v>未查到</v>
      </c>
    </row>
    <row r="292" customFormat="false" ht="15" hidden="false" customHeight="false" outlineLevel="0" collapsed="false">
      <c r="A292" s="12" t="s">
        <v>325</v>
      </c>
      <c r="B292" s="12" t="s">
        <v>485</v>
      </c>
      <c r="C292" s="12" t="s">
        <v>132</v>
      </c>
      <c r="D292" s="13" t="s">
        <v>332</v>
      </c>
      <c r="E292" s="12" t="s">
        <v>333</v>
      </c>
      <c r="F292" s="13" t="n">
        <f aca="false">COUNTIFS(高中!$A:$A,$B292,高中!$E:$E,$C292,高中!$F:$F,"&lt;&gt;",高中!$C:$C,$D292,高中!$D:$D,$E292)</f>
        <v>0</v>
      </c>
      <c r="G292" s="13" t="str">
        <f aca="false">IF(F292&gt;0,"已查到","未查到")</f>
        <v>未查到</v>
      </c>
    </row>
    <row r="293" customFormat="false" ht="15" hidden="false" customHeight="false" outlineLevel="0" collapsed="false">
      <c r="A293" s="12" t="s">
        <v>325</v>
      </c>
      <c r="B293" s="12" t="s">
        <v>485</v>
      </c>
      <c r="C293" s="12" t="s">
        <v>132</v>
      </c>
      <c r="D293" s="13" t="s">
        <v>332</v>
      </c>
      <c r="E293" s="12" t="s">
        <v>334</v>
      </c>
      <c r="F293" s="13" t="n">
        <f aca="false">COUNTIFS(高中!$A:$A,$B293,高中!$E:$E,$C293,高中!$F:$F,"&lt;&gt;",高中!$C:$C,$D293,高中!$D:$D,$E293)</f>
        <v>0</v>
      </c>
      <c r="G293" s="13" t="str">
        <f aca="false">IF(F293&gt;0,"已查到","未查到")</f>
        <v>未查到</v>
      </c>
    </row>
    <row r="294" customFormat="false" ht="15" hidden="false" customHeight="false" outlineLevel="0" collapsed="false">
      <c r="A294" s="12" t="s">
        <v>325</v>
      </c>
      <c r="B294" s="12" t="s">
        <v>485</v>
      </c>
      <c r="C294" s="12" t="s">
        <v>132</v>
      </c>
      <c r="D294" s="13"/>
      <c r="E294" s="12" t="s">
        <v>339</v>
      </c>
      <c r="F294" s="13" t="n">
        <f aca="false">COUNTIFS(高中!$A:$A,$B294,高中!$E:$E,$C294,高中!$F:$F,"&lt;&gt;",高中!$C:$C,"",高中!$D:$D,$E294)</f>
        <v>0</v>
      </c>
      <c r="G294" s="13" t="str">
        <f aca="false">IF(F294&gt;0,"已查到","未查到")</f>
        <v>未查到</v>
      </c>
    </row>
    <row r="295" customFormat="false" ht="15" hidden="false" customHeight="false" outlineLevel="0" collapsed="false">
      <c r="A295" s="12" t="s">
        <v>325</v>
      </c>
      <c r="B295" s="12" t="s">
        <v>485</v>
      </c>
      <c r="C295" s="12" t="s">
        <v>132</v>
      </c>
      <c r="D295" s="13"/>
      <c r="E295" s="12" t="s">
        <v>340</v>
      </c>
      <c r="F295" s="13" t="n">
        <f aca="false">COUNTIFS(高中!$A:$A,$B295,高中!$E:$E,$C295,高中!$F:$F,"&lt;&gt;",高中!$C:$C,"",高中!$D:$D,$E295)</f>
        <v>0</v>
      </c>
      <c r="G295" s="13" t="str">
        <f aca="false">IF(F295&gt;0,"已查到","未查到")</f>
        <v>未查到</v>
      </c>
    </row>
    <row r="296" customFormat="false" ht="15" hidden="false" customHeight="false" outlineLevel="0" collapsed="false">
      <c r="A296" s="12" t="s">
        <v>325</v>
      </c>
      <c r="B296" s="12" t="s">
        <v>485</v>
      </c>
      <c r="C296" s="12" t="s">
        <v>146</v>
      </c>
      <c r="D296" s="13" t="s">
        <v>326</v>
      </c>
      <c r="E296" s="12" t="s">
        <v>327</v>
      </c>
      <c r="F296" s="13" t="n">
        <f aca="false">COUNTIFS(高中!$A:$A,$B296,高中!$E:$E,$C296,高中!$F:$F,"&lt;&gt;",高中!$C:$C,$D296,高中!$D:$D,$E296)</f>
        <v>11</v>
      </c>
      <c r="G296" s="13" t="str">
        <f aca="false">IF(F296&gt;0,"已查到","未查到")</f>
        <v>已查到</v>
      </c>
    </row>
    <row r="297" customFormat="false" ht="15" hidden="false" customHeight="false" outlineLevel="0" collapsed="false">
      <c r="A297" s="12" t="s">
        <v>325</v>
      </c>
      <c r="B297" s="12" t="s">
        <v>485</v>
      </c>
      <c r="C297" s="12" t="s">
        <v>146</v>
      </c>
      <c r="D297" s="13" t="s">
        <v>326</v>
      </c>
      <c r="E297" s="12" t="s">
        <v>328</v>
      </c>
      <c r="F297" s="13" t="n">
        <f aca="false">COUNTIFS(高中!$A:$A,$B297,高中!$E:$E,$C297,高中!$F:$F,"&lt;&gt;",高中!$C:$C,$D297,高中!$D:$D,$E297)</f>
        <v>12</v>
      </c>
      <c r="G297" s="13" t="str">
        <f aca="false">IF(F297&gt;0,"已查到","未查到")</f>
        <v>已查到</v>
      </c>
    </row>
    <row r="298" customFormat="false" ht="15" hidden="false" customHeight="false" outlineLevel="0" collapsed="false">
      <c r="A298" s="12" t="s">
        <v>325</v>
      </c>
      <c r="B298" s="12" t="s">
        <v>485</v>
      </c>
      <c r="C298" s="12" t="s">
        <v>146</v>
      </c>
      <c r="D298" s="13" t="s">
        <v>329</v>
      </c>
      <c r="E298" s="12" t="s">
        <v>343</v>
      </c>
      <c r="F298" s="13" t="n">
        <f aca="false">COUNTIFS(高中!$A:$A,$B298,高中!$E:$E,$C298,高中!$F:$F,"&lt;&gt;",高中!$C:$C,$D298,高中!$D:$D,$E298)</f>
        <v>10</v>
      </c>
      <c r="G298" s="13" t="str">
        <f aca="false">IF(F298&gt;0,"已查到","未查到")</f>
        <v>已查到</v>
      </c>
    </row>
    <row r="299" customFormat="false" ht="15" hidden="false" customHeight="false" outlineLevel="0" collapsed="false">
      <c r="A299" s="12" t="s">
        <v>325</v>
      </c>
      <c r="B299" s="12" t="s">
        <v>485</v>
      </c>
      <c r="C299" s="12" t="s">
        <v>146</v>
      </c>
      <c r="D299" s="13" t="s">
        <v>329</v>
      </c>
      <c r="E299" s="12" t="s">
        <v>344</v>
      </c>
      <c r="F299" s="13" t="n">
        <f aca="false">COUNTIFS(高中!$A:$A,$B299,高中!$E:$E,$C299,高中!$F:$F,"&lt;&gt;",高中!$C:$C,$D299,高中!$D:$D,$E299)</f>
        <v>7</v>
      </c>
      <c r="G299" s="13" t="str">
        <f aca="false">IF(F299&gt;0,"已查到","未查到")</f>
        <v>已查到</v>
      </c>
    </row>
    <row r="300" customFormat="false" ht="15" hidden="false" customHeight="false" outlineLevel="0" collapsed="false">
      <c r="A300" s="12" t="s">
        <v>325</v>
      </c>
      <c r="B300" s="12" t="s">
        <v>485</v>
      </c>
      <c r="C300" s="12" t="s">
        <v>146</v>
      </c>
      <c r="D300" s="13" t="s">
        <v>329</v>
      </c>
      <c r="E300" s="12" t="s">
        <v>345</v>
      </c>
      <c r="F300" s="13" t="n">
        <f aca="false">COUNTIFS(高中!$A:$A,$B300,高中!$E:$E,$C300,高中!$F:$F,"&lt;&gt;",高中!$C:$C,$D300,高中!$D:$D,$E300)</f>
        <v>10</v>
      </c>
      <c r="G300" s="13" t="str">
        <f aca="false">IF(F300&gt;0,"已查到","未查到")</f>
        <v>已查到</v>
      </c>
    </row>
    <row r="301" customFormat="false" ht="15" hidden="false" customHeight="false" outlineLevel="0" collapsed="false">
      <c r="A301" s="12" t="s">
        <v>325</v>
      </c>
      <c r="B301" s="12" t="s">
        <v>485</v>
      </c>
      <c r="C301" s="12" t="s">
        <v>146</v>
      </c>
      <c r="D301" s="13" t="s">
        <v>329</v>
      </c>
      <c r="E301" s="12" t="s">
        <v>346</v>
      </c>
      <c r="F301" s="13" t="n">
        <f aca="false">COUNTIFS(高中!$A:$A,$B301,高中!$E:$E,$C301,高中!$F:$F,"&lt;&gt;",高中!$C:$C,$D301,高中!$D:$D,$E301)</f>
        <v>8</v>
      </c>
      <c r="G301" s="13" t="str">
        <f aca="false">IF(F301&gt;0,"已查到","未查到")</f>
        <v>已查到</v>
      </c>
    </row>
    <row r="302" customFormat="false" ht="15" hidden="false" customHeight="false" outlineLevel="0" collapsed="false">
      <c r="A302" s="12" t="s">
        <v>325</v>
      </c>
      <c r="B302" s="12" t="s">
        <v>485</v>
      </c>
      <c r="C302" s="12" t="s">
        <v>146</v>
      </c>
      <c r="D302" s="13" t="s">
        <v>332</v>
      </c>
      <c r="E302" s="12" t="s">
        <v>347</v>
      </c>
      <c r="F302" s="13" t="n">
        <f aca="false">COUNTIFS(高中!$A:$A,$B302,高中!$E:$E,$C302,高中!$F:$F,"&lt;&gt;",高中!$C:$C,$D302,高中!$D:$D,$E302)</f>
        <v>6</v>
      </c>
      <c r="G302" s="13" t="str">
        <f aca="false">IF(F302&gt;0,"已查到","未查到")</f>
        <v>已查到</v>
      </c>
    </row>
    <row r="303" customFormat="false" ht="15" hidden="false" customHeight="false" outlineLevel="0" collapsed="false">
      <c r="A303" s="12" t="s">
        <v>325</v>
      </c>
      <c r="B303" s="12" t="s">
        <v>485</v>
      </c>
      <c r="C303" s="12" t="s">
        <v>146</v>
      </c>
      <c r="D303" s="13" t="s">
        <v>332</v>
      </c>
      <c r="E303" s="12" t="s">
        <v>348</v>
      </c>
      <c r="F303" s="13" t="n">
        <f aca="false">COUNTIFS(高中!$A:$A,$B303,高中!$E:$E,$C303,高中!$F:$F,"&lt;&gt;",高中!$C:$C,$D303,高中!$D:$D,$E303)</f>
        <v>5</v>
      </c>
      <c r="G303" s="13" t="str">
        <f aca="false">IF(F303&gt;0,"已查到","未查到")</f>
        <v>已查到</v>
      </c>
    </row>
    <row r="304" customFormat="false" ht="15" hidden="false" customHeight="false" outlineLevel="0" collapsed="false">
      <c r="A304" s="12" t="s">
        <v>325</v>
      </c>
      <c r="B304" s="12" t="s">
        <v>485</v>
      </c>
      <c r="C304" s="12" t="s">
        <v>146</v>
      </c>
      <c r="D304" s="13" t="s">
        <v>332</v>
      </c>
      <c r="E304" s="12" t="s">
        <v>349</v>
      </c>
      <c r="F304" s="13" t="n">
        <f aca="false">COUNTIFS(高中!$A:$A,$B304,高中!$E:$E,$C304,高中!$F:$F,"&lt;&gt;",高中!$C:$C,$D304,高中!$D:$D,$E304)</f>
        <v>6</v>
      </c>
      <c r="G304" s="13" t="str">
        <f aca="false">IF(F304&gt;0,"已查到","未查到")</f>
        <v>已查到</v>
      </c>
    </row>
    <row r="305" customFormat="false" ht="15" hidden="false" customHeight="false" outlineLevel="0" collapsed="false">
      <c r="A305" s="12" t="s">
        <v>325</v>
      </c>
      <c r="B305" s="12" t="s">
        <v>485</v>
      </c>
      <c r="C305" s="12" t="s">
        <v>146</v>
      </c>
      <c r="D305" s="13" t="s">
        <v>332</v>
      </c>
      <c r="E305" s="12" t="s">
        <v>350</v>
      </c>
      <c r="F305" s="13" t="n">
        <f aca="false">COUNTIFS(高中!$A:$A,$B305,高中!$E:$E,$C305,高中!$F:$F,"&lt;&gt;",高中!$C:$C,$D305,高中!$D:$D,$E305)</f>
        <v>7</v>
      </c>
      <c r="G305" s="13" t="str">
        <f aca="false">IF(F305&gt;0,"已查到","未查到")</f>
        <v>已查到</v>
      </c>
    </row>
    <row r="306" customFormat="false" ht="15" hidden="false" customHeight="false" outlineLevel="0" collapsed="false">
      <c r="A306" s="12" t="s">
        <v>325</v>
      </c>
      <c r="B306" s="12" t="s">
        <v>485</v>
      </c>
      <c r="C306" s="12" t="s">
        <v>155</v>
      </c>
      <c r="D306" s="13" t="s">
        <v>326</v>
      </c>
      <c r="E306" s="12" t="s">
        <v>578</v>
      </c>
      <c r="F306" s="13" t="n">
        <f aca="false">COUNTIFS(高中!$A:$A,$B306,高中!$E:$E,$C306,高中!$F:$F,"&lt;&gt;",高中!$C:$C,$D306,高中!$D:$D,$E306)</f>
        <v>3</v>
      </c>
      <c r="G306" s="13" t="str">
        <f aca="false">IF(F306&gt;0,"已查到","未查到")</f>
        <v>已查到</v>
      </c>
    </row>
    <row r="307" customFormat="false" ht="15" hidden="false" customHeight="false" outlineLevel="0" collapsed="false">
      <c r="A307" s="12" t="s">
        <v>325</v>
      </c>
      <c r="B307" s="12" t="s">
        <v>485</v>
      </c>
      <c r="C307" s="12" t="s">
        <v>155</v>
      </c>
      <c r="D307" s="13" t="s">
        <v>332</v>
      </c>
      <c r="E307" s="12" t="s">
        <v>587</v>
      </c>
      <c r="F307" s="13" t="n">
        <f aca="false">COUNTIFS(高中!$A:$A,$B307,高中!$E:$E,$C307,高中!$F:$F,"&lt;&gt;",高中!$C:$C,$D307,高中!$D:$D,$E307)</f>
        <v>3</v>
      </c>
      <c r="G307" s="13" t="str">
        <f aca="false">IF(F307&gt;0,"已查到","未查到")</f>
        <v>已查到</v>
      </c>
    </row>
    <row r="308" customFormat="false" ht="15" hidden="false" customHeight="false" outlineLevel="0" collapsed="false">
      <c r="A308" s="12" t="s">
        <v>325</v>
      </c>
      <c r="B308" s="12" t="s">
        <v>485</v>
      </c>
      <c r="C308" s="12" t="s">
        <v>155</v>
      </c>
      <c r="D308" s="13"/>
      <c r="E308" s="12" t="s">
        <v>354</v>
      </c>
      <c r="F308" s="13" t="n">
        <f aca="false">COUNTIFS(高中!$A:$A,$B308,高中!$E:$E,$C308,高中!$F:$F,"&lt;&gt;",高中!$C:$C,"",高中!$D:$D,$E308)</f>
        <v>0</v>
      </c>
      <c r="G308" s="13" t="str">
        <f aca="false">IF(F308&gt;0,"已查到","未查到")</f>
        <v>未查到</v>
      </c>
    </row>
    <row r="309" customFormat="false" ht="15" hidden="false" customHeight="false" outlineLevel="0" collapsed="false">
      <c r="A309" s="12" t="s">
        <v>325</v>
      </c>
      <c r="B309" s="12" t="s">
        <v>485</v>
      </c>
      <c r="C309" s="12" t="s">
        <v>155</v>
      </c>
      <c r="D309" s="13"/>
      <c r="E309" s="12" t="s">
        <v>596</v>
      </c>
      <c r="F309" s="13" t="n">
        <f aca="false">COUNTIFS(高中!$A:$A,$B309,高中!$E:$E,$C309,高中!$F:$F,"&lt;&gt;",高中!$C:$C,"",高中!$D:$D,$E309)</f>
        <v>0</v>
      </c>
      <c r="G309" s="13" t="str">
        <f aca="false">IF(F309&gt;0,"已查到","未查到")</f>
        <v>未查到</v>
      </c>
    </row>
    <row r="310" customFormat="false" ht="15" hidden="false" customHeight="false" outlineLevel="0" collapsed="false">
      <c r="A310" s="12" t="s">
        <v>325</v>
      </c>
      <c r="B310" s="12" t="s">
        <v>485</v>
      </c>
      <c r="C310" s="12" t="s">
        <v>155</v>
      </c>
      <c r="D310" s="13"/>
      <c r="E310" s="12" t="s">
        <v>599</v>
      </c>
      <c r="F310" s="13" t="n">
        <f aca="false">COUNTIFS(高中!$A:$A,$B310,高中!$E:$E,$C310,高中!$F:$F,"&lt;&gt;",高中!$C:$C,"",高中!$D:$D,$E310)</f>
        <v>3</v>
      </c>
      <c r="G310" s="13" t="str">
        <f aca="false">IF(F310&gt;0,"已查到","未查到")</f>
        <v>已查到</v>
      </c>
    </row>
    <row r="311" customFormat="false" ht="15" hidden="false" customHeight="false" outlineLevel="0" collapsed="false">
      <c r="A311" s="12" t="s">
        <v>325</v>
      </c>
      <c r="B311" s="12" t="s">
        <v>485</v>
      </c>
      <c r="C311" s="12" t="s">
        <v>155</v>
      </c>
      <c r="D311" s="13"/>
      <c r="E311" s="12" t="s">
        <v>608</v>
      </c>
      <c r="F311" s="13" t="n">
        <f aca="false">COUNTIFS(高中!$A:$A,$B311,高中!$E:$E,$C311,高中!$F:$F,"&lt;&gt;",高中!$C:$C,"",高中!$D:$D,$E311)</f>
        <v>4</v>
      </c>
      <c r="G311" s="13" t="str">
        <f aca="false">IF(F311&gt;0,"已查到","未查到")</f>
        <v>已查到</v>
      </c>
    </row>
    <row r="312" customFormat="false" ht="15" hidden="false" customHeight="false" outlineLevel="0" collapsed="false">
      <c r="A312" s="12" t="s">
        <v>325</v>
      </c>
      <c r="B312" s="12" t="s">
        <v>485</v>
      </c>
      <c r="C312" s="12" t="s">
        <v>361</v>
      </c>
      <c r="D312" s="13" t="s">
        <v>329</v>
      </c>
      <c r="E312" s="12" t="s">
        <v>362</v>
      </c>
      <c r="F312" s="13" t="n">
        <f aca="false">COUNTIFS(高中!$A:$A,$B312,高中!$E:$E,$C312,高中!$F:$F,"&lt;&gt;",高中!$C:$C,$D312,高中!$D:$D,$E312)</f>
        <v>7</v>
      </c>
      <c r="G312" s="13" t="str">
        <f aca="false">IF(F312&gt;0,"已查到","未查到")</f>
        <v>已查到</v>
      </c>
    </row>
    <row r="313" customFormat="false" ht="15" hidden="false" customHeight="false" outlineLevel="0" collapsed="false">
      <c r="A313" s="12" t="s">
        <v>325</v>
      </c>
      <c r="B313" s="12" t="s">
        <v>485</v>
      </c>
      <c r="C313" s="12" t="s">
        <v>361</v>
      </c>
      <c r="D313" s="13" t="s">
        <v>329</v>
      </c>
      <c r="E313" s="12" t="s">
        <v>363</v>
      </c>
      <c r="F313" s="13" t="n">
        <f aca="false">COUNTIFS(高中!$A:$A,$B313,高中!$E:$E,$C313,高中!$F:$F,"&lt;&gt;",高中!$C:$C,$D313,高中!$D:$D,$E313)</f>
        <v>0</v>
      </c>
      <c r="G313" s="13" t="str">
        <f aca="false">IF(F313&gt;0,"已查到","未查到")</f>
        <v>未查到</v>
      </c>
    </row>
    <row r="314" customFormat="false" ht="15" hidden="false" customHeight="false" outlineLevel="0" collapsed="false">
      <c r="A314" s="12" t="s">
        <v>325</v>
      </c>
      <c r="B314" s="12" t="s">
        <v>485</v>
      </c>
      <c r="C314" s="12" t="s">
        <v>361</v>
      </c>
      <c r="D314" s="13" t="s">
        <v>332</v>
      </c>
      <c r="E314" s="12" t="s">
        <v>364</v>
      </c>
      <c r="F314" s="13" t="n">
        <f aca="false">COUNTIFS(高中!$A:$A,$B314,高中!$E:$E,$C314,高中!$F:$F,"&lt;&gt;",高中!$C:$C,$D314,高中!$D:$D,$E314)</f>
        <v>4</v>
      </c>
      <c r="G314" s="13" t="str">
        <f aca="false">IF(F314&gt;0,"已查到","未查到")</f>
        <v>已查到</v>
      </c>
    </row>
    <row r="315" customFormat="false" ht="15" hidden="false" customHeight="false" outlineLevel="0" collapsed="false">
      <c r="A315" s="12" t="s">
        <v>325</v>
      </c>
      <c r="B315" s="12" t="s">
        <v>485</v>
      </c>
      <c r="C315" s="12" t="s">
        <v>361</v>
      </c>
      <c r="D315" s="13" t="s">
        <v>332</v>
      </c>
      <c r="E315" s="12" t="s">
        <v>365</v>
      </c>
      <c r="F315" s="13" t="n">
        <f aca="false">COUNTIFS(高中!$A:$A,$B315,高中!$E:$E,$C315,高中!$F:$F,"&lt;&gt;",高中!$C:$C,$D315,高中!$D:$D,$E315)</f>
        <v>1</v>
      </c>
      <c r="G315" s="13" t="str">
        <f aca="false">IF(F315&gt;0,"已查到","未查到")</f>
        <v>已查到</v>
      </c>
    </row>
    <row r="316" customFormat="false" ht="15" hidden="false" customHeight="false" outlineLevel="0" collapsed="false">
      <c r="A316" s="12" t="s">
        <v>325</v>
      </c>
      <c r="B316" s="12" t="s">
        <v>485</v>
      </c>
      <c r="C316" s="12" t="s">
        <v>361</v>
      </c>
      <c r="D316" s="13"/>
      <c r="E316" s="12" t="s">
        <v>360</v>
      </c>
      <c r="F316" s="13" t="n">
        <f aca="false">COUNTIFS(高中!$A:$A,$B316,高中!$E:$E,$C316,高中!$F:$F,"&lt;&gt;",高中!$C:$C,"",高中!$D:$D,$E316)</f>
        <v>0</v>
      </c>
      <c r="G316" s="13" t="str">
        <f aca="false">IF(F316&gt;0,"已查到","未查到")</f>
        <v>未查到</v>
      </c>
    </row>
    <row r="317" customFormat="false" ht="15" hidden="false" customHeight="false" outlineLevel="0" collapsed="false">
      <c r="A317" s="12" t="s">
        <v>325</v>
      </c>
      <c r="B317" s="12" t="s">
        <v>485</v>
      </c>
      <c r="C317" s="12" t="s">
        <v>361</v>
      </c>
      <c r="D317" s="13"/>
      <c r="E317" s="12" t="s">
        <v>366</v>
      </c>
      <c r="F317" s="13" t="n">
        <f aca="false">COUNTIFS(高中!$A:$A,$B317,高中!$E:$E,$C317,高中!$F:$F,"&lt;&gt;",高中!$C:$C,"",高中!$D:$D,$E317)</f>
        <v>0</v>
      </c>
      <c r="G317" s="13" t="str">
        <f aca="false">IF(F317&gt;0,"已查到","未查到")</f>
        <v>未查到</v>
      </c>
    </row>
    <row r="318" customFormat="false" ht="15" hidden="false" customHeight="false" outlineLevel="0" collapsed="false">
      <c r="A318" s="12" t="s">
        <v>325</v>
      </c>
      <c r="B318" s="12" t="s">
        <v>485</v>
      </c>
      <c r="C318" s="12" t="s">
        <v>368</v>
      </c>
      <c r="D318" s="13" t="s">
        <v>326</v>
      </c>
      <c r="E318" s="12" t="s">
        <v>643</v>
      </c>
      <c r="F318" s="13" t="n">
        <f aca="false">COUNTIFS(高中!$A:$A,$B318,高中!$E:$E,$C318,高中!$F:$F,"&lt;&gt;",高中!$C:$C,$D318,高中!$D:$D,$E318)</f>
        <v>2</v>
      </c>
      <c r="G318" s="13" t="str">
        <f aca="false">IF(F318&gt;0,"已查到","未查到")</f>
        <v>已查到</v>
      </c>
    </row>
    <row r="319" customFormat="false" ht="15" hidden="false" customHeight="false" outlineLevel="0" collapsed="false">
      <c r="A319" s="12" t="s">
        <v>325</v>
      </c>
      <c r="B319" s="12" t="s">
        <v>485</v>
      </c>
      <c r="C319" s="12" t="s">
        <v>368</v>
      </c>
      <c r="D319" s="13"/>
      <c r="E319" s="12" t="s">
        <v>384</v>
      </c>
      <c r="F319" s="13" t="n">
        <f aca="false">COUNTIFS(高中!$A:$A,$B319,高中!$E:$E,$C319,高中!$F:$F,"&lt;&gt;",高中!$C:$C,"",高中!$D:$D,$E319)</f>
        <v>0</v>
      </c>
      <c r="G319" s="13" t="str">
        <f aca="false">IF(F319&gt;0,"已查到","未查到")</f>
        <v>未查到</v>
      </c>
    </row>
    <row r="320" customFormat="false" ht="15" hidden="false" customHeight="false" outlineLevel="0" collapsed="false">
      <c r="A320" s="12" t="s">
        <v>325</v>
      </c>
      <c r="B320" s="12" t="s">
        <v>485</v>
      </c>
      <c r="C320" s="12" t="s">
        <v>368</v>
      </c>
      <c r="D320" s="13"/>
      <c r="E320" s="12" t="s">
        <v>385</v>
      </c>
      <c r="F320" s="13" t="n">
        <f aca="false">COUNTIFS(高中!$A:$A,$B320,高中!$E:$E,$C320,高中!$F:$F,"&lt;&gt;",高中!$C:$C,"",高中!$D:$D,$E320)</f>
        <v>0</v>
      </c>
      <c r="G320" s="13" t="str">
        <f aca="false">IF(F320&gt;0,"已查到","未查到")</f>
        <v>未查到</v>
      </c>
    </row>
    <row r="321" customFormat="false" ht="15" hidden="false" customHeight="false" outlineLevel="0" collapsed="false">
      <c r="A321" s="12" t="s">
        <v>325</v>
      </c>
      <c r="B321" s="12" t="s">
        <v>485</v>
      </c>
      <c r="C321" s="12" t="s">
        <v>368</v>
      </c>
      <c r="D321" s="13"/>
      <c r="E321" s="12" t="s">
        <v>386</v>
      </c>
      <c r="F321" s="13" t="n">
        <f aca="false">COUNTIFS(高中!$A:$A,$B321,高中!$E:$E,$C321,高中!$F:$F,"&lt;&gt;",高中!$C:$C,"",高中!$D:$D,$E321)</f>
        <v>0</v>
      </c>
      <c r="G321" s="13" t="str">
        <f aca="false">IF(F321&gt;0,"已查到","未查到")</f>
        <v>未查到</v>
      </c>
    </row>
    <row r="322" customFormat="false" ht="15" hidden="false" customHeight="false" outlineLevel="0" collapsed="false">
      <c r="A322" s="12" t="s">
        <v>325</v>
      </c>
      <c r="B322" s="12" t="s">
        <v>485</v>
      </c>
      <c r="C322" s="12" t="s">
        <v>368</v>
      </c>
      <c r="D322" s="13"/>
      <c r="E322" s="12" t="s">
        <v>387</v>
      </c>
      <c r="F322" s="13" t="n">
        <f aca="false">COUNTIFS(高中!$A:$A,$B322,高中!$E:$E,$C322,高中!$F:$F,"&lt;&gt;",高中!$C:$C,"",高中!$D:$D,$E322)</f>
        <v>0</v>
      </c>
      <c r="G322" s="13" t="str">
        <f aca="false">IF(F322&gt;0,"已查到","未查到")</f>
        <v>未查到</v>
      </c>
    </row>
    <row r="323" customFormat="false" ht="15" hidden="false" customHeight="false" outlineLevel="0" collapsed="false">
      <c r="A323" s="12" t="s">
        <v>325</v>
      </c>
      <c r="B323" s="12" t="s">
        <v>485</v>
      </c>
      <c r="C323" s="12" t="s">
        <v>368</v>
      </c>
      <c r="D323" s="13"/>
      <c r="E323" s="12" t="s">
        <v>388</v>
      </c>
      <c r="F323" s="13" t="n">
        <f aca="false">COUNTIFS(高中!$A:$A,$B323,高中!$E:$E,$C323,高中!$F:$F,"&lt;&gt;",高中!$C:$C,"",高中!$D:$D,$E323)</f>
        <v>0</v>
      </c>
      <c r="G323" s="13" t="str">
        <f aca="false">IF(F323&gt;0,"已查到","未查到")</f>
        <v>未查到</v>
      </c>
    </row>
    <row r="324" customFormat="false" ht="15" hidden="false" customHeight="false" outlineLevel="0" collapsed="false">
      <c r="A324" s="12" t="s">
        <v>325</v>
      </c>
      <c r="B324" s="12" t="s">
        <v>485</v>
      </c>
      <c r="C324" s="12" t="s">
        <v>368</v>
      </c>
      <c r="D324" s="13"/>
      <c r="E324" s="12" t="s">
        <v>389</v>
      </c>
      <c r="F324" s="13" t="n">
        <f aca="false">COUNTIFS(高中!$A:$A,$B324,高中!$E:$E,$C324,高中!$F:$F,"&lt;&gt;",高中!$C:$C,"",高中!$D:$D,$E324)</f>
        <v>0</v>
      </c>
      <c r="G324" s="13" t="str">
        <f aca="false">IF(F324&gt;0,"已查到","未查到")</f>
        <v>未查到</v>
      </c>
    </row>
    <row r="325" customFormat="false" ht="15" hidden="false" customHeight="false" outlineLevel="0" collapsed="false">
      <c r="A325" s="12" t="s">
        <v>325</v>
      </c>
      <c r="B325" s="12" t="s">
        <v>485</v>
      </c>
      <c r="C325" s="12" t="s">
        <v>368</v>
      </c>
      <c r="D325" s="13"/>
      <c r="E325" s="12" t="s">
        <v>484</v>
      </c>
      <c r="F325" s="13" t="n">
        <f aca="false">COUNTIFS(高中!$A:$A,$B325,高中!$E:$E,$C325,高中!$F:$F,"&lt;&gt;",高中!$C:$C,"",高中!$D:$D,$E325)</f>
        <v>0</v>
      </c>
      <c r="G325" s="13" t="str">
        <f aca="false">IF(F325&gt;0,"已查到","未查到")</f>
        <v>未查到</v>
      </c>
    </row>
    <row r="326" customFormat="false" ht="15" hidden="false" customHeight="false" outlineLevel="0" collapsed="false">
      <c r="A326" s="12" t="s">
        <v>325</v>
      </c>
      <c r="B326" s="12" t="s">
        <v>485</v>
      </c>
      <c r="C326" s="12" t="s">
        <v>166</v>
      </c>
      <c r="D326" s="13" t="s">
        <v>326</v>
      </c>
      <c r="E326" s="12" t="s">
        <v>649</v>
      </c>
      <c r="F326" s="13" t="n">
        <f aca="false">COUNTIFS(高中!$A:$A,$B326,高中!$E:$E,$C326,高中!$F:$F,"&lt;&gt;",高中!$C:$C,$D326,高中!$D:$D,$E326)</f>
        <v>3</v>
      </c>
      <c r="G326" s="13" t="str">
        <f aca="false">IF(F326&gt;0,"已查到","未查到")</f>
        <v>已查到</v>
      </c>
    </row>
    <row r="327" customFormat="false" ht="15" hidden="false" customHeight="false" outlineLevel="0" collapsed="false">
      <c r="A327" s="12" t="s">
        <v>325</v>
      </c>
      <c r="B327" s="12" t="s">
        <v>485</v>
      </c>
      <c r="C327" s="12" t="s">
        <v>166</v>
      </c>
      <c r="D327" s="13"/>
      <c r="E327" s="12" t="s">
        <v>391</v>
      </c>
      <c r="F327" s="13" t="n">
        <f aca="false">COUNTIFS(高中!$A:$A,$B327,高中!$E:$E,$C327,高中!$F:$F,"&lt;&gt;",高中!$C:$C,"",高中!$D:$D,$E327)</f>
        <v>0</v>
      </c>
      <c r="G327" s="13" t="str">
        <f aca="false">IF(F327&gt;0,"已查到","未查到")</f>
        <v>未查到</v>
      </c>
    </row>
    <row r="328" customFormat="false" ht="15" hidden="false" customHeight="false" outlineLevel="0" collapsed="false">
      <c r="A328" s="12" t="s">
        <v>325</v>
      </c>
      <c r="B328" s="12" t="s">
        <v>485</v>
      </c>
      <c r="C328" s="12" t="s">
        <v>166</v>
      </c>
      <c r="D328" s="13"/>
      <c r="E328" s="12" t="s">
        <v>392</v>
      </c>
      <c r="F328" s="13" t="n">
        <f aca="false">COUNTIFS(高中!$A:$A,$B328,高中!$E:$E,$C328,高中!$F:$F,"&lt;&gt;",高中!$C:$C,"",高中!$D:$D,$E328)</f>
        <v>0</v>
      </c>
      <c r="G328" s="13" t="str">
        <f aca="false">IF(F328&gt;0,"已查到","未查到")</f>
        <v>未查到</v>
      </c>
    </row>
    <row r="329" customFormat="false" ht="15" hidden="false" customHeight="false" outlineLevel="0" collapsed="false">
      <c r="A329" s="12" t="s">
        <v>325</v>
      </c>
      <c r="B329" s="12" t="s">
        <v>485</v>
      </c>
      <c r="C329" s="12" t="s">
        <v>166</v>
      </c>
      <c r="D329" s="13"/>
      <c r="E329" s="12" t="s">
        <v>393</v>
      </c>
      <c r="F329" s="13" t="n">
        <f aca="false">COUNTIFS(高中!$A:$A,$B329,高中!$E:$E,$C329,高中!$F:$F,"&lt;&gt;",高中!$C:$C,"",高中!$D:$D,$E329)</f>
        <v>0</v>
      </c>
      <c r="G329" s="13" t="str">
        <f aca="false">IF(F329&gt;0,"已查到","未查到")</f>
        <v>未查到</v>
      </c>
    </row>
    <row r="330" customFormat="false" ht="15" hidden="false" customHeight="false" outlineLevel="0" collapsed="false">
      <c r="A330" s="12" t="s">
        <v>325</v>
      </c>
      <c r="B330" s="12" t="s">
        <v>485</v>
      </c>
      <c r="C330" s="12" t="s">
        <v>166</v>
      </c>
      <c r="D330" s="13"/>
      <c r="E330" s="12" t="s">
        <v>394</v>
      </c>
      <c r="F330" s="13" t="n">
        <f aca="false">COUNTIFS(高中!$A:$A,$B330,高中!$E:$E,$C330,高中!$F:$F,"&lt;&gt;",高中!$C:$C,"",高中!$D:$D,$E330)</f>
        <v>0</v>
      </c>
      <c r="G330" s="13" t="str">
        <f aca="false">IF(F330&gt;0,"已查到","未查到")</f>
        <v>未查到</v>
      </c>
    </row>
    <row r="331" customFormat="false" ht="15" hidden="false" customHeight="false" outlineLevel="0" collapsed="false">
      <c r="A331" s="12" t="s">
        <v>325</v>
      </c>
      <c r="B331" s="12" t="s">
        <v>485</v>
      </c>
      <c r="C331" s="12" t="s">
        <v>166</v>
      </c>
      <c r="D331" s="13"/>
      <c r="E331" s="12" t="s">
        <v>395</v>
      </c>
      <c r="F331" s="13" t="n">
        <f aca="false">COUNTIFS(高中!$A:$A,$B331,高中!$E:$E,$C331,高中!$F:$F,"&lt;&gt;",高中!$C:$C,"",高中!$D:$D,$E331)</f>
        <v>0</v>
      </c>
      <c r="G331" s="13" t="str">
        <f aca="false">IF(F331&gt;0,"已查到","未查到")</f>
        <v>未查到</v>
      </c>
    </row>
    <row r="332" customFormat="false" ht="15" hidden="false" customHeight="false" outlineLevel="0" collapsed="false">
      <c r="A332" s="12" t="s">
        <v>325</v>
      </c>
      <c r="B332" s="12" t="s">
        <v>485</v>
      </c>
      <c r="C332" s="12" t="s">
        <v>256</v>
      </c>
      <c r="D332" s="13" t="s">
        <v>326</v>
      </c>
      <c r="E332" s="12" t="s">
        <v>327</v>
      </c>
      <c r="F332" s="13" t="n">
        <f aca="false">COUNTIFS(高中!$A:$A,$B332,高中!$E:$E,$C332,高中!$F:$F,"&lt;&gt;",高中!$C:$C,$D332,高中!$D:$D,$E332)</f>
        <v>7</v>
      </c>
      <c r="G332" s="13" t="str">
        <f aca="false">IF(F332&gt;0,"已查到","未查到")</f>
        <v>已查到</v>
      </c>
    </row>
    <row r="333" customFormat="false" ht="15" hidden="false" customHeight="false" outlineLevel="0" collapsed="false">
      <c r="A333" s="12" t="s">
        <v>325</v>
      </c>
      <c r="B333" s="12" t="s">
        <v>485</v>
      </c>
      <c r="C333" s="12" t="s">
        <v>256</v>
      </c>
      <c r="D333" s="13" t="s">
        <v>326</v>
      </c>
      <c r="E333" s="12" t="s">
        <v>328</v>
      </c>
      <c r="F333" s="13" t="n">
        <f aca="false">COUNTIFS(高中!$A:$A,$B333,高中!$E:$E,$C333,高中!$F:$F,"&lt;&gt;",高中!$C:$C,$D333,高中!$D:$D,$E333)</f>
        <v>6</v>
      </c>
      <c r="G333" s="13" t="str">
        <f aca="false">IF(F333&gt;0,"已查到","未查到")</f>
        <v>已查到</v>
      </c>
    </row>
    <row r="334" customFormat="false" ht="15" hidden="false" customHeight="false" outlineLevel="0" collapsed="false">
      <c r="A334" s="12" t="s">
        <v>325</v>
      </c>
      <c r="B334" s="12" t="s">
        <v>485</v>
      </c>
      <c r="C334" s="12" t="s">
        <v>256</v>
      </c>
      <c r="D334" s="13" t="s">
        <v>329</v>
      </c>
      <c r="E334" s="12" t="s">
        <v>330</v>
      </c>
      <c r="F334" s="13" t="n">
        <f aca="false">COUNTIFS(高中!$A:$A,$B334,高中!$E:$E,$C334,高中!$F:$F,"&lt;&gt;",高中!$C:$C,$D334,高中!$D:$D,$E334)</f>
        <v>6</v>
      </c>
      <c r="G334" s="13" t="str">
        <f aca="false">IF(F334&gt;0,"已查到","未查到")</f>
        <v>已查到</v>
      </c>
    </row>
    <row r="335" customFormat="false" ht="15" hidden="false" customHeight="false" outlineLevel="0" collapsed="false">
      <c r="A335" s="12" t="s">
        <v>325</v>
      </c>
      <c r="B335" s="12" t="s">
        <v>485</v>
      </c>
      <c r="C335" s="12" t="s">
        <v>256</v>
      </c>
      <c r="D335" s="13" t="s">
        <v>329</v>
      </c>
      <c r="E335" s="12" t="s">
        <v>697</v>
      </c>
      <c r="F335" s="13" t="n">
        <f aca="false">COUNTIFS(高中!$A:$A,$B335,高中!$E:$E,$C335,高中!$F:$F,"&lt;&gt;",高中!$C:$C,$D335,高中!$D:$D,$E335)</f>
        <v>4</v>
      </c>
      <c r="G335" s="13" t="str">
        <f aca="false">IF(F335&gt;0,"已查到","未查到")</f>
        <v>已查到</v>
      </c>
    </row>
    <row r="336" customFormat="false" ht="15" hidden="false" customHeight="false" outlineLevel="0" collapsed="false">
      <c r="A336" s="12" t="s">
        <v>325</v>
      </c>
      <c r="B336" s="12" t="s">
        <v>485</v>
      </c>
      <c r="C336" s="12" t="s">
        <v>256</v>
      </c>
      <c r="D336" s="13" t="s">
        <v>332</v>
      </c>
      <c r="E336" s="12" t="s">
        <v>705</v>
      </c>
      <c r="F336" s="13" t="n">
        <f aca="false">COUNTIFS(高中!$A:$A,$B336,高中!$E:$E,$C336,高中!$F:$F,"&lt;&gt;",高中!$C:$C,$D336,高中!$D:$D,$E336)</f>
        <v>6</v>
      </c>
      <c r="G336" s="13" t="str">
        <f aca="false">IF(F336&gt;0,"已查到","未查到")</f>
        <v>已查到</v>
      </c>
    </row>
    <row r="337" customFormat="false" ht="15" hidden="false" customHeight="false" outlineLevel="0" collapsed="false">
      <c r="A337" s="12" t="s">
        <v>325</v>
      </c>
      <c r="B337" s="12" t="s">
        <v>485</v>
      </c>
      <c r="C337" s="12" t="s">
        <v>256</v>
      </c>
      <c r="D337" s="13" t="s">
        <v>332</v>
      </c>
      <c r="E337" s="12" t="s">
        <v>719</v>
      </c>
      <c r="F337" s="13" t="n">
        <f aca="false">COUNTIFS(高中!$A:$A,$B337,高中!$E:$E,$C337,高中!$F:$F,"&lt;&gt;",高中!$C:$C,$D337,高中!$D:$D,$E337)</f>
        <v>6</v>
      </c>
      <c r="G337" s="13" t="str">
        <f aca="false">IF(F337&gt;0,"已查到","未查到")</f>
        <v>已查到</v>
      </c>
    </row>
    <row r="338" customFormat="false" ht="15" hidden="false" customHeight="false" outlineLevel="0" collapsed="false">
      <c r="A338" s="12" t="s">
        <v>325</v>
      </c>
      <c r="B338" s="12" t="s">
        <v>485</v>
      </c>
      <c r="C338" s="12" t="s">
        <v>257</v>
      </c>
      <c r="D338" s="13" t="s">
        <v>326</v>
      </c>
      <c r="E338" s="12" t="s">
        <v>327</v>
      </c>
      <c r="F338" s="13" t="n">
        <f aca="false">COUNTIFS(高中!$A:$A,$B338,高中!$E:$E,$C338,高中!$F:$F,"&lt;&gt;",高中!$C:$C,$D338,高中!$D:$D,$E338)</f>
        <v>5</v>
      </c>
      <c r="G338" s="13" t="str">
        <f aca="false">IF(F338&gt;0,"已查到","未查到")</f>
        <v>已查到</v>
      </c>
    </row>
    <row r="339" customFormat="false" ht="15" hidden="false" customHeight="false" outlineLevel="0" collapsed="false">
      <c r="A339" s="12" t="s">
        <v>325</v>
      </c>
      <c r="B339" s="12" t="s">
        <v>485</v>
      </c>
      <c r="C339" s="12" t="s">
        <v>257</v>
      </c>
      <c r="D339" s="13" t="s">
        <v>326</v>
      </c>
      <c r="E339" s="12" t="s">
        <v>328</v>
      </c>
      <c r="F339" s="13" t="n">
        <f aca="false">COUNTIFS(高中!$A:$A,$B339,高中!$E:$E,$C339,高中!$F:$F,"&lt;&gt;",高中!$C:$C,$D339,高中!$D:$D,$E339)</f>
        <v>0</v>
      </c>
      <c r="G339" s="13" t="str">
        <f aca="false">IF(F339&gt;0,"已查到","未查到")</f>
        <v>未查到</v>
      </c>
    </row>
    <row r="340" customFormat="false" ht="15" hidden="false" customHeight="false" outlineLevel="0" collapsed="false">
      <c r="A340" s="12" t="s">
        <v>325</v>
      </c>
      <c r="B340" s="12" t="s">
        <v>485</v>
      </c>
      <c r="C340" s="12" t="s">
        <v>257</v>
      </c>
      <c r="D340" s="13" t="s">
        <v>329</v>
      </c>
      <c r="E340" s="12" t="s">
        <v>330</v>
      </c>
      <c r="F340" s="13" t="n">
        <f aca="false">COUNTIFS(高中!$A:$A,$B340,高中!$E:$E,$C340,高中!$F:$F,"&lt;&gt;",高中!$C:$C,$D340,高中!$D:$D,$E340)</f>
        <v>0</v>
      </c>
      <c r="G340" s="13" t="str">
        <f aca="false">IF(F340&gt;0,"已查到","未查到")</f>
        <v>未查到</v>
      </c>
    </row>
    <row r="341" customFormat="false" ht="15" hidden="false" customHeight="false" outlineLevel="0" collapsed="false">
      <c r="A341" s="12" t="s">
        <v>325</v>
      </c>
      <c r="B341" s="12" t="s">
        <v>485</v>
      </c>
      <c r="C341" s="12" t="s">
        <v>257</v>
      </c>
      <c r="D341" s="13"/>
      <c r="E341" s="12" t="s">
        <v>400</v>
      </c>
      <c r="F341" s="13" t="n">
        <f aca="false">COUNTIFS(高中!$A:$A,$B341,高中!$E:$E,$C341,高中!$F:$F,"&lt;&gt;",高中!$C:$C,"",高中!$D:$D,$E341)</f>
        <v>0</v>
      </c>
      <c r="G341" s="13" t="str">
        <f aca="false">IF(F341&gt;0,"已查到","未查到")</f>
        <v>未查到</v>
      </c>
    </row>
    <row r="342" customFormat="false" ht="15" hidden="false" customHeight="false" outlineLevel="0" collapsed="false">
      <c r="A342" s="12" t="s">
        <v>325</v>
      </c>
      <c r="B342" s="12" t="s">
        <v>485</v>
      </c>
      <c r="C342" s="12" t="s">
        <v>257</v>
      </c>
      <c r="D342" s="13"/>
      <c r="E342" s="12" t="s">
        <v>402</v>
      </c>
      <c r="F342" s="13" t="n">
        <f aca="false">COUNTIFS(高中!$A:$A,$B342,高中!$E:$E,$C342,高中!$F:$F,"&lt;&gt;",高中!$C:$C,"",高中!$D:$D,$E342)</f>
        <v>0</v>
      </c>
      <c r="G342" s="13" t="str">
        <f aca="false">IF(F342&gt;0,"已查到","未查到")</f>
        <v>未查到</v>
      </c>
    </row>
    <row r="343" customFormat="false" ht="15" hidden="false" customHeight="false" outlineLevel="0" collapsed="false">
      <c r="A343" s="12" t="s">
        <v>325</v>
      </c>
      <c r="B343" s="12" t="s">
        <v>485</v>
      </c>
      <c r="C343" s="12" t="s">
        <v>257</v>
      </c>
      <c r="D343" s="13"/>
      <c r="E343" s="12" t="s">
        <v>743</v>
      </c>
      <c r="F343" s="13" t="n">
        <f aca="false">COUNTIFS(高中!$A:$A,$B343,高中!$E:$E,$C343,高中!$F:$F,"&lt;&gt;",高中!$C:$C,"",高中!$D:$D,$E343)</f>
        <v>0</v>
      </c>
      <c r="G343" s="13" t="str">
        <f aca="false">IF(F343&gt;0,"已查到","未查到")</f>
        <v>未查到</v>
      </c>
    </row>
    <row r="344" customFormat="false" ht="15" hidden="false" customHeight="false" outlineLevel="0" collapsed="false">
      <c r="A344" s="12" t="s">
        <v>325</v>
      </c>
      <c r="B344" s="12" t="s">
        <v>485</v>
      </c>
      <c r="C344" s="12" t="s">
        <v>403</v>
      </c>
      <c r="D344" s="13" t="s">
        <v>326</v>
      </c>
      <c r="E344" s="12" t="s">
        <v>327</v>
      </c>
      <c r="F344" s="13" t="n">
        <f aca="false">COUNTIFS(高中!$A:$A,$B344,高中!$E:$E,$C344,高中!$F:$F,"&lt;&gt;",高中!$C:$C,$D344,高中!$D:$D,$E344)</f>
        <v>7</v>
      </c>
      <c r="G344" s="13" t="str">
        <f aca="false">IF(F344&gt;0,"已查到","未查到")</f>
        <v>已查到</v>
      </c>
    </row>
    <row r="345" customFormat="false" ht="15" hidden="false" customHeight="false" outlineLevel="0" collapsed="false">
      <c r="A345" s="12" t="s">
        <v>325</v>
      </c>
      <c r="B345" s="12" t="s">
        <v>485</v>
      </c>
      <c r="C345" s="12" t="s">
        <v>403</v>
      </c>
      <c r="D345" s="13" t="s">
        <v>326</v>
      </c>
      <c r="E345" s="12" t="s">
        <v>328</v>
      </c>
      <c r="F345" s="13" t="n">
        <f aca="false">COUNTIFS(高中!$A:$A,$B345,高中!$E:$E,$C345,高中!$F:$F,"&lt;&gt;",高中!$C:$C,$D345,高中!$D:$D,$E345)</f>
        <v>4</v>
      </c>
      <c r="G345" s="13" t="str">
        <f aca="false">IF(F345&gt;0,"已查到","未查到")</f>
        <v>已查到</v>
      </c>
    </row>
    <row r="346" customFormat="false" ht="15" hidden="false" customHeight="false" outlineLevel="0" collapsed="false">
      <c r="A346" s="12" t="s">
        <v>325</v>
      </c>
      <c r="B346" s="12" t="s">
        <v>485</v>
      </c>
      <c r="C346" s="12" t="s">
        <v>403</v>
      </c>
      <c r="D346" s="13" t="s">
        <v>329</v>
      </c>
      <c r="E346" s="12" t="s">
        <v>330</v>
      </c>
      <c r="F346" s="13" t="n">
        <f aca="false">COUNTIFS(高中!$A:$A,$B346,高中!$E:$E,$C346,高中!$F:$F,"&lt;&gt;",高中!$C:$C,$D346,高中!$D:$D,$E346)</f>
        <v>6</v>
      </c>
      <c r="G346" s="13" t="str">
        <f aca="false">IF(F346&gt;0,"已查到","未查到")</f>
        <v>已查到</v>
      </c>
    </row>
    <row r="347" customFormat="false" ht="15" hidden="false" customHeight="false" outlineLevel="0" collapsed="false">
      <c r="A347" s="12" t="s">
        <v>325</v>
      </c>
      <c r="B347" s="12" t="s">
        <v>485</v>
      </c>
      <c r="C347" s="12" t="s">
        <v>403</v>
      </c>
      <c r="D347" s="13"/>
      <c r="E347" s="12" t="s">
        <v>404</v>
      </c>
      <c r="F347" s="13" t="n">
        <f aca="false">COUNTIFS(高中!$A:$A,$B347,高中!$E:$E,$C347,高中!$F:$F,"&lt;&gt;",高中!$C:$C,"",高中!$D:$D,$E347)</f>
        <v>0</v>
      </c>
      <c r="G347" s="13" t="str">
        <f aca="false">IF(F347&gt;0,"已查到","未查到")</f>
        <v>未查到</v>
      </c>
    </row>
    <row r="348" customFormat="false" ht="15" hidden="false" customHeight="false" outlineLevel="0" collapsed="false">
      <c r="A348" s="12" t="s">
        <v>325</v>
      </c>
      <c r="B348" s="12" t="s">
        <v>485</v>
      </c>
      <c r="C348" s="12" t="s">
        <v>403</v>
      </c>
      <c r="D348" s="13"/>
      <c r="E348" s="12" t="s">
        <v>405</v>
      </c>
      <c r="F348" s="13" t="n">
        <f aca="false">COUNTIFS(高中!$A:$A,$B348,高中!$E:$E,$C348,高中!$F:$F,"&lt;&gt;",高中!$C:$C,"",高中!$D:$D,$E348)</f>
        <v>0</v>
      </c>
      <c r="G348" s="13" t="str">
        <f aca="false">IF(F348&gt;0,"已查到","未查到")</f>
        <v>未查到</v>
      </c>
    </row>
    <row r="349" customFormat="false" ht="15" hidden="false" customHeight="false" outlineLevel="0" collapsed="false">
      <c r="A349" s="12" t="s">
        <v>325</v>
      </c>
      <c r="B349" s="12" t="s">
        <v>485</v>
      </c>
      <c r="C349" s="12" t="s">
        <v>403</v>
      </c>
      <c r="D349" s="13"/>
      <c r="E349" s="12" t="s">
        <v>406</v>
      </c>
      <c r="F349" s="13" t="n">
        <f aca="false">COUNTIFS(高中!$A:$A,$B349,高中!$E:$E,$C349,高中!$F:$F,"&lt;&gt;",高中!$C:$C,"",高中!$D:$D,$E349)</f>
        <v>0</v>
      </c>
      <c r="G349" s="13" t="str">
        <f aca="false">IF(F349&gt;0,"已查到","未查到")</f>
        <v>未查到</v>
      </c>
    </row>
    <row r="350" customFormat="false" ht="15" hidden="false" customHeight="false" outlineLevel="0" collapsed="false">
      <c r="A350" s="12" t="s">
        <v>325</v>
      </c>
      <c r="B350" s="12" t="s">
        <v>485</v>
      </c>
      <c r="C350" s="12" t="s">
        <v>403</v>
      </c>
      <c r="D350" s="13"/>
      <c r="E350" s="12" t="s">
        <v>773</v>
      </c>
      <c r="F350" s="13" t="n">
        <f aca="false">COUNTIFS(高中!$A:$A,$B350,高中!$E:$E,$C350,高中!$F:$F,"&lt;&gt;",高中!$C:$C,"",高中!$D:$D,$E350)</f>
        <v>2</v>
      </c>
      <c r="G350" s="13" t="str">
        <f aca="false">IF(F350&gt;0,"已查到","未查到")</f>
        <v>已查到</v>
      </c>
    </row>
    <row r="351" customFormat="false" ht="15" hidden="false" customHeight="false" outlineLevel="0" collapsed="false">
      <c r="A351" s="12" t="s">
        <v>325</v>
      </c>
      <c r="B351" s="12" t="s">
        <v>485</v>
      </c>
      <c r="C351" s="12" t="s">
        <v>403</v>
      </c>
      <c r="D351" s="13"/>
      <c r="E351" s="12" t="s">
        <v>780</v>
      </c>
      <c r="F351" s="13" t="n">
        <f aca="false">COUNTIFS(高中!$A:$A,$B351,高中!$E:$E,$C351,高中!$F:$F,"&lt;&gt;",高中!$C:$C,"",高中!$D:$D,$E351)</f>
        <v>3</v>
      </c>
      <c r="G351" s="13" t="str">
        <f aca="false">IF(F351&gt;0,"已查到","未查到")</f>
        <v>已查到</v>
      </c>
    </row>
    <row r="352" customFormat="false" ht="15" hidden="false" customHeight="false" outlineLevel="0" collapsed="false">
      <c r="A352" s="12" t="s">
        <v>325</v>
      </c>
      <c r="B352" s="12" t="s">
        <v>786</v>
      </c>
      <c r="C352" s="12" t="s">
        <v>30</v>
      </c>
      <c r="D352" s="13" t="s">
        <v>326</v>
      </c>
      <c r="E352" s="12" t="s">
        <v>327</v>
      </c>
      <c r="F352" s="13" t="n">
        <f aca="false">COUNTIFS(高中!$A:$A,$B352,高中!$E:$E,$C352,高中!$F:$F,"&lt;&gt;",高中!$C:$C,$D352,高中!$D:$D,$E352)</f>
        <v>0</v>
      </c>
      <c r="G352" s="13" t="str">
        <f aca="false">IF(F352&gt;0,"已查到","未查到")</f>
        <v>未查到</v>
      </c>
    </row>
    <row r="353" customFormat="false" ht="15" hidden="false" customHeight="false" outlineLevel="0" collapsed="false">
      <c r="A353" s="12" t="s">
        <v>325</v>
      </c>
      <c r="B353" s="12" t="s">
        <v>786</v>
      </c>
      <c r="C353" s="12" t="s">
        <v>30</v>
      </c>
      <c r="D353" s="13" t="s">
        <v>326</v>
      </c>
      <c r="E353" s="12" t="s">
        <v>328</v>
      </c>
      <c r="F353" s="13" t="n">
        <f aca="false">COUNTIFS(高中!$A:$A,$B353,高中!$E:$E,$C353,高中!$F:$F,"&lt;&gt;",高中!$C:$C,$D353,高中!$D:$D,$E353)</f>
        <v>0</v>
      </c>
      <c r="G353" s="13" t="str">
        <f aca="false">IF(F353&gt;0,"已查到","未查到")</f>
        <v>未查到</v>
      </c>
    </row>
    <row r="354" customFormat="false" ht="15" hidden="false" customHeight="false" outlineLevel="0" collapsed="false">
      <c r="A354" s="12" t="s">
        <v>325</v>
      </c>
      <c r="B354" s="12" t="s">
        <v>786</v>
      </c>
      <c r="C354" s="12" t="s">
        <v>30</v>
      </c>
      <c r="D354" s="13" t="s">
        <v>329</v>
      </c>
      <c r="E354" s="12" t="s">
        <v>330</v>
      </c>
      <c r="F354" s="13" t="n">
        <f aca="false">COUNTIFS(高中!$A:$A,$B354,高中!$E:$E,$C354,高中!$F:$F,"&lt;&gt;",高中!$C:$C,$D354,高中!$D:$D,$E354)</f>
        <v>0</v>
      </c>
      <c r="G354" s="13" t="str">
        <f aca="false">IF(F354&gt;0,"已查到","未查到")</f>
        <v>未查到</v>
      </c>
    </row>
    <row r="355" customFormat="false" ht="15" hidden="false" customHeight="false" outlineLevel="0" collapsed="false">
      <c r="A355" s="12" t="s">
        <v>325</v>
      </c>
      <c r="B355" s="12" t="s">
        <v>786</v>
      </c>
      <c r="C355" s="12" t="s">
        <v>30</v>
      </c>
      <c r="D355" s="13" t="s">
        <v>329</v>
      </c>
      <c r="E355" s="12" t="s">
        <v>331</v>
      </c>
      <c r="F355" s="13" t="n">
        <f aca="false">COUNTIFS(高中!$A:$A,$B355,高中!$E:$E,$C355,高中!$F:$F,"&lt;&gt;",高中!$C:$C,$D355,高中!$D:$D,$E355)</f>
        <v>0</v>
      </c>
      <c r="G355" s="13" t="str">
        <f aca="false">IF(F355&gt;0,"已查到","未查到")</f>
        <v>未查到</v>
      </c>
    </row>
    <row r="356" customFormat="false" ht="15" hidden="false" customHeight="false" outlineLevel="0" collapsed="false">
      <c r="A356" s="12" t="s">
        <v>325</v>
      </c>
      <c r="B356" s="12" t="s">
        <v>786</v>
      </c>
      <c r="C356" s="12" t="s">
        <v>30</v>
      </c>
      <c r="D356" s="13" t="s">
        <v>332</v>
      </c>
      <c r="E356" s="12" t="s">
        <v>333</v>
      </c>
      <c r="F356" s="13" t="n">
        <f aca="false">COUNTIFS(高中!$A:$A,$B356,高中!$E:$E,$C356,高中!$F:$F,"&lt;&gt;",高中!$C:$C,$D356,高中!$D:$D,$E356)</f>
        <v>0</v>
      </c>
      <c r="G356" s="13" t="str">
        <f aca="false">IF(F356&gt;0,"已查到","未查到")</f>
        <v>未查到</v>
      </c>
    </row>
    <row r="357" customFormat="false" ht="15" hidden="false" customHeight="false" outlineLevel="0" collapsed="false">
      <c r="A357" s="12" t="s">
        <v>325</v>
      </c>
      <c r="B357" s="12" t="s">
        <v>786</v>
      </c>
      <c r="C357" s="12" t="s">
        <v>30</v>
      </c>
      <c r="D357" s="13" t="s">
        <v>332</v>
      </c>
      <c r="E357" s="12" t="s">
        <v>334</v>
      </c>
      <c r="F357" s="13" t="n">
        <f aca="false">COUNTIFS(高中!$A:$A,$B357,高中!$E:$E,$C357,高中!$F:$F,"&lt;&gt;",高中!$C:$C,$D357,高中!$D:$D,$E357)</f>
        <v>0</v>
      </c>
      <c r="G357" s="13" t="str">
        <f aca="false">IF(F357&gt;0,"已查到","未查到")</f>
        <v>未查到</v>
      </c>
    </row>
    <row r="358" customFormat="false" ht="15" hidden="false" customHeight="false" outlineLevel="0" collapsed="false">
      <c r="A358" s="12" t="s">
        <v>325</v>
      </c>
      <c r="B358" s="12" t="s">
        <v>786</v>
      </c>
      <c r="C358" s="12" t="s">
        <v>30</v>
      </c>
      <c r="D358" s="13"/>
      <c r="E358" s="12" t="s">
        <v>335</v>
      </c>
      <c r="F358" s="13" t="n">
        <f aca="false">COUNTIFS(高中!$A:$A,$B358,高中!$E:$E,$C358,高中!$F:$F,"&lt;&gt;",高中!$C:$C,"",高中!$D:$D,$E358)</f>
        <v>0</v>
      </c>
      <c r="G358" s="13" t="str">
        <f aca="false">IF(F358&gt;0,"已查到","未查到")</f>
        <v>未查到</v>
      </c>
    </row>
    <row r="359" customFormat="false" ht="15" hidden="false" customHeight="false" outlineLevel="0" collapsed="false">
      <c r="A359" s="12" t="s">
        <v>325</v>
      </c>
      <c r="B359" s="12" t="s">
        <v>786</v>
      </c>
      <c r="C359" s="12" t="s">
        <v>30</v>
      </c>
      <c r="D359" s="13"/>
      <c r="E359" s="12" t="s">
        <v>336</v>
      </c>
      <c r="F359" s="13" t="n">
        <f aca="false">COUNTIFS(高中!$A:$A,$B359,高中!$E:$E,$C359,高中!$F:$F,"&lt;&gt;",高中!$C:$C,"",高中!$D:$D,$E359)</f>
        <v>0</v>
      </c>
      <c r="G359" s="13" t="str">
        <f aca="false">IF(F359&gt;0,"已查到","未查到")</f>
        <v>未查到</v>
      </c>
    </row>
    <row r="360" customFormat="false" ht="15" hidden="false" customHeight="false" outlineLevel="0" collapsed="false">
      <c r="A360" s="12" t="s">
        <v>325</v>
      </c>
      <c r="B360" s="12" t="s">
        <v>786</v>
      </c>
      <c r="C360" s="12" t="s">
        <v>30</v>
      </c>
      <c r="D360" s="13"/>
      <c r="E360" s="12" t="s">
        <v>337</v>
      </c>
      <c r="F360" s="13" t="n">
        <f aca="false">COUNTIFS(高中!$A:$A,$B360,高中!$E:$E,$C360,高中!$F:$F,"&lt;&gt;",高中!$C:$C,"",高中!$D:$D,$E360)</f>
        <v>0</v>
      </c>
      <c r="G360" s="13" t="str">
        <f aca="false">IF(F360&gt;0,"已查到","未查到")</f>
        <v>未查到</v>
      </c>
    </row>
    <row r="361" customFormat="false" ht="15" hidden="false" customHeight="false" outlineLevel="0" collapsed="false">
      <c r="A361" s="12" t="s">
        <v>325</v>
      </c>
      <c r="B361" s="12" t="s">
        <v>786</v>
      </c>
      <c r="C361" s="12" t="s">
        <v>30</v>
      </c>
      <c r="D361" s="13"/>
      <c r="E361" s="12" t="s">
        <v>338</v>
      </c>
      <c r="F361" s="13" t="n">
        <f aca="false">COUNTIFS(高中!$A:$A,$B361,高中!$E:$E,$C361,高中!$F:$F,"&lt;&gt;",高中!$C:$C,"",高中!$D:$D,$E361)</f>
        <v>0</v>
      </c>
      <c r="G361" s="13" t="str">
        <f aca="false">IF(F361&gt;0,"已查到","未查到")</f>
        <v>未查到</v>
      </c>
    </row>
    <row r="362" customFormat="false" ht="15" hidden="false" customHeight="false" outlineLevel="0" collapsed="false">
      <c r="A362" s="12" t="s">
        <v>325</v>
      </c>
      <c r="B362" s="12" t="s">
        <v>786</v>
      </c>
      <c r="C362" s="12" t="s">
        <v>132</v>
      </c>
      <c r="D362" s="13" t="s">
        <v>326</v>
      </c>
      <c r="E362" s="12" t="s">
        <v>327</v>
      </c>
      <c r="F362" s="13" t="n">
        <f aca="false">COUNTIFS(高中!$A:$A,$B362,高中!$E:$E,$C362,高中!$F:$F,"&lt;&gt;",高中!$C:$C,$D362,高中!$D:$D,$E362)</f>
        <v>0</v>
      </c>
      <c r="G362" s="13" t="str">
        <f aca="false">IF(F362&gt;0,"已查到","未查到")</f>
        <v>未查到</v>
      </c>
    </row>
    <row r="363" customFormat="false" ht="15" hidden="false" customHeight="false" outlineLevel="0" collapsed="false">
      <c r="A363" s="12" t="s">
        <v>325</v>
      </c>
      <c r="B363" s="12" t="s">
        <v>786</v>
      </c>
      <c r="C363" s="12" t="s">
        <v>132</v>
      </c>
      <c r="D363" s="13" t="s">
        <v>326</v>
      </c>
      <c r="E363" s="12" t="s">
        <v>328</v>
      </c>
      <c r="F363" s="13" t="n">
        <f aca="false">COUNTIFS(高中!$A:$A,$B363,高中!$E:$E,$C363,高中!$F:$F,"&lt;&gt;",高中!$C:$C,$D363,高中!$D:$D,$E363)</f>
        <v>0</v>
      </c>
      <c r="G363" s="13" t="str">
        <f aca="false">IF(F363&gt;0,"已查到","未查到")</f>
        <v>未查到</v>
      </c>
    </row>
    <row r="364" customFormat="false" ht="15" hidden="false" customHeight="false" outlineLevel="0" collapsed="false">
      <c r="A364" s="12" t="s">
        <v>325</v>
      </c>
      <c r="B364" s="12" t="s">
        <v>786</v>
      </c>
      <c r="C364" s="12" t="s">
        <v>132</v>
      </c>
      <c r="D364" s="13" t="s">
        <v>329</v>
      </c>
      <c r="E364" s="12" t="s">
        <v>330</v>
      </c>
      <c r="F364" s="13" t="n">
        <f aca="false">COUNTIFS(高中!$A:$A,$B364,高中!$E:$E,$C364,高中!$F:$F,"&lt;&gt;",高中!$C:$C,$D364,高中!$D:$D,$E364)</f>
        <v>0</v>
      </c>
      <c r="G364" s="13" t="str">
        <f aca="false">IF(F364&gt;0,"已查到","未查到")</f>
        <v>未查到</v>
      </c>
    </row>
    <row r="365" customFormat="false" ht="15" hidden="false" customHeight="false" outlineLevel="0" collapsed="false">
      <c r="A365" s="12" t="s">
        <v>325</v>
      </c>
      <c r="B365" s="12" t="s">
        <v>786</v>
      </c>
      <c r="C365" s="12" t="s">
        <v>132</v>
      </c>
      <c r="D365" s="13" t="s">
        <v>329</v>
      </c>
      <c r="E365" s="12" t="s">
        <v>331</v>
      </c>
      <c r="F365" s="13" t="n">
        <f aca="false">COUNTIFS(高中!$A:$A,$B365,高中!$E:$E,$C365,高中!$F:$F,"&lt;&gt;",高中!$C:$C,$D365,高中!$D:$D,$E365)</f>
        <v>0</v>
      </c>
      <c r="G365" s="13" t="str">
        <f aca="false">IF(F365&gt;0,"已查到","未查到")</f>
        <v>未查到</v>
      </c>
    </row>
    <row r="366" customFormat="false" ht="15" hidden="false" customHeight="false" outlineLevel="0" collapsed="false">
      <c r="A366" s="12" t="s">
        <v>325</v>
      </c>
      <c r="B366" s="12" t="s">
        <v>786</v>
      </c>
      <c r="C366" s="12" t="s">
        <v>132</v>
      </c>
      <c r="D366" s="13" t="s">
        <v>332</v>
      </c>
      <c r="E366" s="12" t="s">
        <v>333</v>
      </c>
      <c r="F366" s="13" t="n">
        <f aca="false">COUNTIFS(高中!$A:$A,$B366,高中!$E:$E,$C366,高中!$F:$F,"&lt;&gt;",高中!$C:$C,$D366,高中!$D:$D,$E366)</f>
        <v>0</v>
      </c>
      <c r="G366" s="13" t="str">
        <f aca="false">IF(F366&gt;0,"已查到","未查到")</f>
        <v>未查到</v>
      </c>
    </row>
    <row r="367" customFormat="false" ht="15" hidden="false" customHeight="false" outlineLevel="0" collapsed="false">
      <c r="A367" s="12" t="s">
        <v>325</v>
      </c>
      <c r="B367" s="12" t="s">
        <v>786</v>
      </c>
      <c r="C367" s="12" t="s">
        <v>132</v>
      </c>
      <c r="D367" s="13" t="s">
        <v>332</v>
      </c>
      <c r="E367" s="12" t="s">
        <v>334</v>
      </c>
      <c r="F367" s="13" t="n">
        <f aca="false">COUNTIFS(高中!$A:$A,$B367,高中!$E:$E,$C367,高中!$F:$F,"&lt;&gt;",高中!$C:$C,$D367,高中!$D:$D,$E367)</f>
        <v>0</v>
      </c>
      <c r="G367" s="13" t="str">
        <f aca="false">IF(F367&gt;0,"已查到","未查到")</f>
        <v>未查到</v>
      </c>
    </row>
    <row r="368" customFormat="false" ht="15" hidden="false" customHeight="false" outlineLevel="0" collapsed="false">
      <c r="A368" s="12" t="s">
        <v>325</v>
      </c>
      <c r="B368" s="12" t="s">
        <v>786</v>
      </c>
      <c r="C368" s="12" t="s">
        <v>132</v>
      </c>
      <c r="D368" s="13"/>
      <c r="E368" s="12" t="s">
        <v>339</v>
      </c>
      <c r="F368" s="13" t="n">
        <f aca="false">COUNTIFS(高中!$A:$A,$B368,高中!$E:$E,$C368,高中!$F:$F,"&lt;&gt;",高中!$C:$C,"",高中!$D:$D,$E368)</f>
        <v>0</v>
      </c>
      <c r="G368" s="13" t="str">
        <f aca="false">IF(F368&gt;0,"已查到","未查到")</f>
        <v>未查到</v>
      </c>
    </row>
    <row r="369" customFormat="false" ht="15" hidden="false" customHeight="false" outlineLevel="0" collapsed="false">
      <c r="A369" s="12" t="s">
        <v>325</v>
      </c>
      <c r="B369" s="12" t="s">
        <v>786</v>
      </c>
      <c r="C369" s="12" t="s">
        <v>132</v>
      </c>
      <c r="D369" s="13"/>
      <c r="E369" s="12" t="s">
        <v>340</v>
      </c>
      <c r="F369" s="13" t="n">
        <f aca="false">COUNTIFS(高中!$A:$A,$B369,高中!$E:$E,$C369,高中!$F:$F,"&lt;&gt;",高中!$C:$C,"",高中!$D:$D,$E369)</f>
        <v>0</v>
      </c>
      <c r="G369" s="13" t="str">
        <f aca="false">IF(F369&gt;0,"已查到","未查到")</f>
        <v>未查到</v>
      </c>
    </row>
    <row r="370" customFormat="false" ht="15" hidden="false" customHeight="false" outlineLevel="0" collapsed="false">
      <c r="A370" s="12" t="s">
        <v>325</v>
      </c>
      <c r="B370" s="12" t="s">
        <v>786</v>
      </c>
      <c r="C370" s="12" t="s">
        <v>146</v>
      </c>
      <c r="D370" s="13" t="s">
        <v>326</v>
      </c>
      <c r="E370" s="12" t="s">
        <v>327</v>
      </c>
      <c r="F370" s="13" t="n">
        <f aca="false">COUNTIFS(高中!$A:$A,$B370,高中!$E:$E,$C370,高中!$F:$F,"&lt;&gt;",高中!$C:$C,$D370,高中!$D:$D,$E370)</f>
        <v>0</v>
      </c>
      <c r="G370" s="13" t="str">
        <f aca="false">IF(F370&gt;0,"已查到","未查到")</f>
        <v>未查到</v>
      </c>
    </row>
    <row r="371" customFormat="false" ht="15" hidden="false" customHeight="false" outlineLevel="0" collapsed="false">
      <c r="A371" s="12" t="s">
        <v>325</v>
      </c>
      <c r="B371" s="12" t="s">
        <v>786</v>
      </c>
      <c r="C371" s="12" t="s">
        <v>146</v>
      </c>
      <c r="D371" s="13" t="s">
        <v>326</v>
      </c>
      <c r="E371" s="12" t="s">
        <v>328</v>
      </c>
      <c r="F371" s="13" t="n">
        <f aca="false">COUNTIFS(高中!$A:$A,$B371,高中!$E:$E,$C371,高中!$F:$F,"&lt;&gt;",高中!$C:$C,$D371,高中!$D:$D,$E371)</f>
        <v>0</v>
      </c>
      <c r="G371" s="13" t="str">
        <f aca="false">IF(F371&gt;0,"已查到","未查到")</f>
        <v>未查到</v>
      </c>
    </row>
    <row r="372" customFormat="false" ht="15" hidden="false" customHeight="false" outlineLevel="0" collapsed="false">
      <c r="A372" s="12" t="s">
        <v>325</v>
      </c>
      <c r="B372" s="12" t="s">
        <v>786</v>
      </c>
      <c r="C372" s="12" t="s">
        <v>146</v>
      </c>
      <c r="D372" s="13" t="s">
        <v>329</v>
      </c>
      <c r="E372" s="12" t="s">
        <v>343</v>
      </c>
      <c r="F372" s="13" t="n">
        <f aca="false">COUNTIFS(高中!$A:$A,$B372,高中!$E:$E,$C372,高中!$F:$F,"&lt;&gt;",高中!$C:$C,$D372,高中!$D:$D,$E372)</f>
        <v>0</v>
      </c>
      <c r="G372" s="13" t="str">
        <f aca="false">IF(F372&gt;0,"已查到","未查到")</f>
        <v>未查到</v>
      </c>
    </row>
    <row r="373" customFormat="false" ht="15" hidden="false" customHeight="false" outlineLevel="0" collapsed="false">
      <c r="A373" s="12" t="s">
        <v>325</v>
      </c>
      <c r="B373" s="12" t="s">
        <v>786</v>
      </c>
      <c r="C373" s="12" t="s">
        <v>146</v>
      </c>
      <c r="D373" s="13" t="s">
        <v>329</v>
      </c>
      <c r="E373" s="12" t="s">
        <v>344</v>
      </c>
      <c r="F373" s="13" t="n">
        <f aca="false">COUNTIFS(高中!$A:$A,$B373,高中!$E:$E,$C373,高中!$F:$F,"&lt;&gt;",高中!$C:$C,$D373,高中!$D:$D,$E373)</f>
        <v>0</v>
      </c>
      <c r="G373" s="13" t="str">
        <f aca="false">IF(F373&gt;0,"已查到","未查到")</f>
        <v>未查到</v>
      </c>
    </row>
    <row r="374" customFormat="false" ht="15" hidden="false" customHeight="false" outlineLevel="0" collapsed="false">
      <c r="A374" s="12" t="s">
        <v>325</v>
      </c>
      <c r="B374" s="12" t="s">
        <v>786</v>
      </c>
      <c r="C374" s="12" t="s">
        <v>146</v>
      </c>
      <c r="D374" s="13" t="s">
        <v>329</v>
      </c>
      <c r="E374" s="12" t="s">
        <v>345</v>
      </c>
      <c r="F374" s="13" t="n">
        <f aca="false">COUNTIFS(高中!$A:$A,$B374,高中!$E:$E,$C374,高中!$F:$F,"&lt;&gt;",高中!$C:$C,$D374,高中!$D:$D,$E374)</f>
        <v>0</v>
      </c>
      <c r="G374" s="13" t="str">
        <f aca="false">IF(F374&gt;0,"已查到","未查到")</f>
        <v>未查到</v>
      </c>
    </row>
    <row r="375" customFormat="false" ht="15" hidden="false" customHeight="false" outlineLevel="0" collapsed="false">
      <c r="A375" s="12" t="s">
        <v>325</v>
      </c>
      <c r="B375" s="12" t="s">
        <v>786</v>
      </c>
      <c r="C375" s="12" t="s">
        <v>146</v>
      </c>
      <c r="D375" s="13" t="s">
        <v>329</v>
      </c>
      <c r="E375" s="12" t="s">
        <v>346</v>
      </c>
      <c r="F375" s="13" t="n">
        <f aca="false">COUNTIFS(高中!$A:$A,$B375,高中!$E:$E,$C375,高中!$F:$F,"&lt;&gt;",高中!$C:$C,$D375,高中!$D:$D,$E375)</f>
        <v>0</v>
      </c>
      <c r="G375" s="13" t="str">
        <f aca="false">IF(F375&gt;0,"已查到","未查到")</f>
        <v>未查到</v>
      </c>
    </row>
    <row r="376" customFormat="false" ht="15" hidden="false" customHeight="false" outlineLevel="0" collapsed="false">
      <c r="A376" s="12" t="s">
        <v>325</v>
      </c>
      <c r="B376" s="12" t="s">
        <v>786</v>
      </c>
      <c r="C376" s="12" t="s">
        <v>146</v>
      </c>
      <c r="D376" s="13" t="s">
        <v>332</v>
      </c>
      <c r="E376" s="12" t="s">
        <v>347</v>
      </c>
      <c r="F376" s="13" t="n">
        <f aca="false">COUNTIFS(高中!$A:$A,$B376,高中!$E:$E,$C376,高中!$F:$F,"&lt;&gt;",高中!$C:$C,$D376,高中!$D:$D,$E376)</f>
        <v>0</v>
      </c>
      <c r="G376" s="13" t="str">
        <f aca="false">IF(F376&gt;0,"已查到","未查到")</f>
        <v>未查到</v>
      </c>
    </row>
    <row r="377" customFormat="false" ht="15" hidden="false" customHeight="false" outlineLevel="0" collapsed="false">
      <c r="A377" s="12" t="s">
        <v>325</v>
      </c>
      <c r="B377" s="12" t="s">
        <v>786</v>
      </c>
      <c r="C377" s="12" t="s">
        <v>146</v>
      </c>
      <c r="D377" s="13" t="s">
        <v>332</v>
      </c>
      <c r="E377" s="12" t="s">
        <v>348</v>
      </c>
      <c r="F377" s="13" t="n">
        <f aca="false">COUNTIFS(高中!$A:$A,$B377,高中!$E:$E,$C377,高中!$F:$F,"&lt;&gt;",高中!$C:$C,$D377,高中!$D:$D,$E377)</f>
        <v>0</v>
      </c>
      <c r="G377" s="13" t="str">
        <f aca="false">IF(F377&gt;0,"已查到","未查到")</f>
        <v>未查到</v>
      </c>
    </row>
    <row r="378" customFormat="false" ht="15" hidden="false" customHeight="false" outlineLevel="0" collapsed="false">
      <c r="A378" s="12" t="s">
        <v>325</v>
      </c>
      <c r="B378" s="12" t="s">
        <v>786</v>
      </c>
      <c r="C378" s="12" t="s">
        <v>146</v>
      </c>
      <c r="D378" s="13" t="s">
        <v>332</v>
      </c>
      <c r="E378" s="12" t="s">
        <v>349</v>
      </c>
      <c r="F378" s="13" t="n">
        <f aca="false">COUNTIFS(高中!$A:$A,$B378,高中!$E:$E,$C378,高中!$F:$F,"&lt;&gt;",高中!$C:$C,$D378,高中!$D:$D,$E378)</f>
        <v>0</v>
      </c>
      <c r="G378" s="13" t="str">
        <f aca="false">IF(F378&gt;0,"已查到","未查到")</f>
        <v>未查到</v>
      </c>
    </row>
    <row r="379" customFormat="false" ht="15" hidden="false" customHeight="false" outlineLevel="0" collapsed="false">
      <c r="A379" s="12" t="s">
        <v>325</v>
      </c>
      <c r="B379" s="12" t="s">
        <v>786</v>
      </c>
      <c r="C379" s="12" t="s">
        <v>146</v>
      </c>
      <c r="D379" s="13" t="s">
        <v>332</v>
      </c>
      <c r="E379" s="12" t="s">
        <v>350</v>
      </c>
      <c r="F379" s="13" t="n">
        <f aca="false">COUNTIFS(高中!$A:$A,$B379,高中!$E:$E,$C379,高中!$F:$F,"&lt;&gt;",高中!$C:$C,$D379,高中!$D:$D,$E379)</f>
        <v>0</v>
      </c>
      <c r="G379" s="13" t="str">
        <f aca="false">IF(F379&gt;0,"已查到","未查到")</f>
        <v>未查到</v>
      </c>
    </row>
    <row r="380" customFormat="false" ht="15" hidden="false" customHeight="false" outlineLevel="0" collapsed="false">
      <c r="A380" s="12" t="s">
        <v>325</v>
      </c>
      <c r="B380" s="12" t="s">
        <v>786</v>
      </c>
      <c r="C380" s="12" t="s">
        <v>155</v>
      </c>
      <c r="D380" s="13"/>
      <c r="E380" s="12" t="s">
        <v>352</v>
      </c>
      <c r="F380" s="13" t="n">
        <f aca="false">COUNTIFS(高中!$A:$A,$B380,高中!$E:$E,$C380,高中!$F:$F,"&lt;&gt;",高中!$C:$C,"",高中!$D:$D,$E380)</f>
        <v>0</v>
      </c>
      <c r="G380" s="13" t="str">
        <f aca="false">IF(F380&gt;0,"已查到","未查到")</f>
        <v>未查到</v>
      </c>
    </row>
    <row r="381" customFormat="false" ht="15" hidden="false" customHeight="false" outlineLevel="0" collapsed="false">
      <c r="A381" s="12" t="s">
        <v>325</v>
      </c>
      <c r="B381" s="12" t="s">
        <v>786</v>
      </c>
      <c r="C381" s="12" t="s">
        <v>155</v>
      </c>
      <c r="D381" s="13"/>
      <c r="E381" s="12" t="s">
        <v>354</v>
      </c>
      <c r="F381" s="13" t="n">
        <f aca="false">COUNTIFS(高中!$A:$A,$B381,高中!$E:$E,$C381,高中!$F:$F,"&lt;&gt;",高中!$C:$C,"",高中!$D:$D,$E381)</f>
        <v>0</v>
      </c>
      <c r="G381" s="13" t="str">
        <f aca="false">IF(F381&gt;0,"已查到","未查到")</f>
        <v>未查到</v>
      </c>
    </row>
    <row r="382" customFormat="false" ht="15" hidden="false" customHeight="false" outlineLevel="0" collapsed="false">
      <c r="A382" s="12" t="s">
        <v>325</v>
      </c>
      <c r="B382" s="12" t="s">
        <v>786</v>
      </c>
      <c r="C382" s="12" t="s">
        <v>155</v>
      </c>
      <c r="D382" s="13"/>
      <c r="E382" s="12" t="s">
        <v>355</v>
      </c>
      <c r="F382" s="13" t="n">
        <f aca="false">COUNTIFS(高中!$A:$A,$B382,高中!$E:$E,$C382,高中!$F:$F,"&lt;&gt;",高中!$C:$C,"",高中!$D:$D,$E382)</f>
        <v>0</v>
      </c>
      <c r="G382" s="13" t="str">
        <f aca="false">IF(F382&gt;0,"已查到","未查到")</f>
        <v>未查到</v>
      </c>
    </row>
    <row r="383" customFormat="false" ht="15" hidden="false" customHeight="false" outlineLevel="0" collapsed="false">
      <c r="A383" s="12" t="s">
        <v>325</v>
      </c>
      <c r="B383" s="12" t="s">
        <v>786</v>
      </c>
      <c r="C383" s="12" t="s">
        <v>155</v>
      </c>
      <c r="D383" s="13"/>
      <c r="E383" s="12" t="s">
        <v>357</v>
      </c>
      <c r="F383" s="13" t="n">
        <f aca="false">COUNTIFS(高中!$A:$A,$B383,高中!$E:$E,$C383,高中!$F:$F,"&lt;&gt;",高中!$C:$C,"",高中!$D:$D,$E383)</f>
        <v>0</v>
      </c>
      <c r="G383" s="13" t="str">
        <f aca="false">IF(F383&gt;0,"已查到","未查到")</f>
        <v>未查到</v>
      </c>
    </row>
    <row r="384" customFormat="false" ht="15" hidden="false" customHeight="false" outlineLevel="0" collapsed="false">
      <c r="A384" s="12" t="s">
        <v>325</v>
      </c>
      <c r="B384" s="12" t="s">
        <v>786</v>
      </c>
      <c r="C384" s="12" t="s">
        <v>155</v>
      </c>
      <c r="D384" s="13"/>
      <c r="E384" s="12" t="s">
        <v>358</v>
      </c>
      <c r="F384" s="13" t="n">
        <f aca="false">COUNTIFS(高中!$A:$A,$B384,高中!$E:$E,$C384,高中!$F:$F,"&lt;&gt;",高中!$C:$C,"",高中!$D:$D,$E384)</f>
        <v>0</v>
      </c>
      <c r="G384" s="13" t="str">
        <f aca="false">IF(F384&gt;0,"已查到","未查到")</f>
        <v>未查到</v>
      </c>
    </row>
    <row r="385" customFormat="false" ht="15" hidden="false" customHeight="false" outlineLevel="0" collapsed="false">
      <c r="A385" s="12" t="s">
        <v>325</v>
      </c>
      <c r="B385" s="12" t="s">
        <v>786</v>
      </c>
      <c r="C385" s="12" t="s">
        <v>155</v>
      </c>
      <c r="D385" s="13"/>
      <c r="E385" s="12" t="s">
        <v>359</v>
      </c>
      <c r="F385" s="13" t="n">
        <f aca="false">COUNTIFS(高中!$A:$A,$B385,高中!$E:$E,$C385,高中!$F:$F,"&lt;&gt;",高中!$C:$C,"",高中!$D:$D,$E385)</f>
        <v>0</v>
      </c>
      <c r="G385" s="13" t="str">
        <f aca="false">IF(F385&gt;0,"已查到","未查到")</f>
        <v>未查到</v>
      </c>
    </row>
    <row r="386" customFormat="false" ht="15" hidden="false" customHeight="false" outlineLevel="0" collapsed="false">
      <c r="A386" s="12" t="s">
        <v>325</v>
      </c>
      <c r="B386" s="12" t="s">
        <v>786</v>
      </c>
      <c r="C386" s="12" t="s">
        <v>361</v>
      </c>
      <c r="D386" s="13"/>
      <c r="E386" s="12" t="s">
        <v>360</v>
      </c>
      <c r="F386" s="13" t="n">
        <f aca="false">COUNTIFS(高中!$A:$A,$B386,高中!$E:$E,$C386,高中!$F:$F,"&lt;&gt;",高中!$C:$C,"",高中!$D:$D,$E386)</f>
        <v>0</v>
      </c>
      <c r="G386" s="13" t="str">
        <f aca="false">IF(F386&gt;0,"已查到","未查到")</f>
        <v>未查到</v>
      </c>
    </row>
    <row r="387" customFormat="false" ht="15" hidden="false" customHeight="false" outlineLevel="0" collapsed="false">
      <c r="A387" s="12" t="s">
        <v>325</v>
      </c>
      <c r="B387" s="12" t="s">
        <v>786</v>
      </c>
      <c r="C387" s="12" t="s">
        <v>361</v>
      </c>
      <c r="D387" s="13"/>
      <c r="E387" s="12" t="s">
        <v>362</v>
      </c>
      <c r="F387" s="13" t="n">
        <f aca="false">COUNTIFS(高中!$A:$A,$B387,高中!$E:$E,$C387,高中!$F:$F,"&lt;&gt;",高中!$C:$C,"",高中!$D:$D,$E387)</f>
        <v>0</v>
      </c>
      <c r="G387" s="13" t="str">
        <f aca="false">IF(F387&gt;0,"已查到","未查到")</f>
        <v>未查到</v>
      </c>
    </row>
    <row r="388" customFormat="false" ht="15" hidden="false" customHeight="false" outlineLevel="0" collapsed="false">
      <c r="A388" s="12" t="s">
        <v>325</v>
      </c>
      <c r="B388" s="12" t="s">
        <v>786</v>
      </c>
      <c r="C388" s="12" t="s">
        <v>361</v>
      </c>
      <c r="D388" s="13"/>
      <c r="E388" s="12" t="s">
        <v>363</v>
      </c>
      <c r="F388" s="13" t="n">
        <f aca="false">COUNTIFS(高中!$A:$A,$B388,高中!$E:$E,$C388,高中!$F:$F,"&lt;&gt;",高中!$C:$C,"",高中!$D:$D,$E388)</f>
        <v>0</v>
      </c>
      <c r="G388" s="13" t="str">
        <f aca="false">IF(F388&gt;0,"已查到","未查到")</f>
        <v>未查到</v>
      </c>
    </row>
    <row r="389" customFormat="false" ht="15" hidden="false" customHeight="false" outlineLevel="0" collapsed="false">
      <c r="A389" s="12" t="s">
        <v>325</v>
      </c>
      <c r="B389" s="12" t="s">
        <v>786</v>
      </c>
      <c r="C389" s="12" t="s">
        <v>361</v>
      </c>
      <c r="D389" s="13"/>
      <c r="E389" s="12" t="s">
        <v>364</v>
      </c>
      <c r="F389" s="13" t="n">
        <f aca="false">COUNTIFS(高中!$A:$A,$B389,高中!$E:$E,$C389,高中!$F:$F,"&lt;&gt;",高中!$C:$C,"",高中!$D:$D,$E389)</f>
        <v>0</v>
      </c>
      <c r="G389" s="13" t="str">
        <f aca="false">IF(F389&gt;0,"已查到","未查到")</f>
        <v>未查到</v>
      </c>
    </row>
    <row r="390" customFormat="false" ht="15" hidden="false" customHeight="false" outlineLevel="0" collapsed="false">
      <c r="A390" s="12" t="s">
        <v>325</v>
      </c>
      <c r="B390" s="12" t="s">
        <v>786</v>
      </c>
      <c r="C390" s="12" t="s">
        <v>361</v>
      </c>
      <c r="D390" s="13"/>
      <c r="E390" s="12" t="s">
        <v>365</v>
      </c>
      <c r="F390" s="13" t="n">
        <f aca="false">COUNTIFS(高中!$A:$A,$B390,高中!$E:$E,$C390,高中!$F:$F,"&lt;&gt;",高中!$C:$C,"",高中!$D:$D,$E390)</f>
        <v>0</v>
      </c>
      <c r="G390" s="13" t="str">
        <f aca="false">IF(F390&gt;0,"已查到","未查到")</f>
        <v>未查到</v>
      </c>
    </row>
    <row r="391" customFormat="false" ht="15" hidden="false" customHeight="false" outlineLevel="0" collapsed="false">
      <c r="A391" s="12" t="s">
        <v>325</v>
      </c>
      <c r="B391" s="12" t="s">
        <v>786</v>
      </c>
      <c r="C391" s="12" t="s">
        <v>361</v>
      </c>
      <c r="D391" s="13"/>
      <c r="E391" s="12" t="s">
        <v>366</v>
      </c>
      <c r="F391" s="13" t="n">
        <f aca="false">COUNTIFS(高中!$A:$A,$B391,高中!$E:$E,$C391,高中!$F:$F,"&lt;&gt;",高中!$C:$C,"",高中!$D:$D,$E391)</f>
        <v>0</v>
      </c>
      <c r="G391" s="13" t="str">
        <f aca="false">IF(F391&gt;0,"已查到","未查到")</f>
        <v>未查到</v>
      </c>
    </row>
    <row r="392" customFormat="false" ht="15" hidden="false" customHeight="false" outlineLevel="0" collapsed="false">
      <c r="A392" s="12" t="s">
        <v>325</v>
      </c>
      <c r="B392" s="12" t="s">
        <v>786</v>
      </c>
      <c r="C392" s="12" t="s">
        <v>368</v>
      </c>
      <c r="D392" s="13"/>
      <c r="E392" s="12" t="s">
        <v>483</v>
      </c>
      <c r="F392" s="13" t="n">
        <f aca="false">COUNTIFS(高中!$A:$A,$B392,高中!$E:$E,$C392,高中!$F:$F,"&lt;&gt;",高中!$C:$C,"",高中!$D:$D,$E392)</f>
        <v>0</v>
      </c>
      <c r="G392" s="13" t="str">
        <f aca="false">IF(F392&gt;0,"已查到","未查到")</f>
        <v>未查到</v>
      </c>
    </row>
    <row r="393" customFormat="false" ht="15" hidden="false" customHeight="false" outlineLevel="0" collapsed="false">
      <c r="A393" s="12" t="s">
        <v>325</v>
      </c>
      <c r="B393" s="12" t="s">
        <v>786</v>
      </c>
      <c r="C393" s="12" t="s">
        <v>368</v>
      </c>
      <c r="D393" s="13"/>
      <c r="E393" s="12" t="s">
        <v>384</v>
      </c>
      <c r="F393" s="13" t="n">
        <f aca="false">COUNTIFS(高中!$A:$A,$B393,高中!$E:$E,$C393,高中!$F:$F,"&lt;&gt;",高中!$C:$C,"",高中!$D:$D,$E393)</f>
        <v>0</v>
      </c>
      <c r="G393" s="13" t="str">
        <f aca="false">IF(F393&gt;0,"已查到","未查到")</f>
        <v>未查到</v>
      </c>
    </row>
    <row r="394" customFormat="false" ht="15" hidden="false" customHeight="false" outlineLevel="0" collapsed="false">
      <c r="A394" s="12" t="s">
        <v>325</v>
      </c>
      <c r="B394" s="12" t="s">
        <v>786</v>
      </c>
      <c r="C394" s="12" t="s">
        <v>368</v>
      </c>
      <c r="D394" s="13"/>
      <c r="E394" s="12" t="s">
        <v>385</v>
      </c>
      <c r="F394" s="13" t="n">
        <f aca="false">COUNTIFS(高中!$A:$A,$B394,高中!$E:$E,$C394,高中!$F:$F,"&lt;&gt;",高中!$C:$C,"",高中!$D:$D,$E394)</f>
        <v>0</v>
      </c>
      <c r="G394" s="13" t="str">
        <f aca="false">IF(F394&gt;0,"已查到","未查到")</f>
        <v>未查到</v>
      </c>
    </row>
    <row r="395" customFormat="false" ht="15" hidden="false" customHeight="false" outlineLevel="0" collapsed="false">
      <c r="A395" s="12" t="s">
        <v>325</v>
      </c>
      <c r="B395" s="12" t="s">
        <v>786</v>
      </c>
      <c r="C395" s="12" t="s">
        <v>368</v>
      </c>
      <c r="D395" s="13"/>
      <c r="E395" s="12" t="s">
        <v>386</v>
      </c>
      <c r="F395" s="13" t="n">
        <f aca="false">COUNTIFS(高中!$A:$A,$B395,高中!$E:$E,$C395,高中!$F:$F,"&lt;&gt;",高中!$C:$C,"",高中!$D:$D,$E395)</f>
        <v>0</v>
      </c>
      <c r="G395" s="13" t="str">
        <f aca="false">IF(F395&gt;0,"已查到","未查到")</f>
        <v>未查到</v>
      </c>
    </row>
    <row r="396" customFormat="false" ht="15" hidden="false" customHeight="false" outlineLevel="0" collapsed="false">
      <c r="A396" s="12" t="s">
        <v>325</v>
      </c>
      <c r="B396" s="12" t="s">
        <v>786</v>
      </c>
      <c r="C396" s="12" t="s">
        <v>368</v>
      </c>
      <c r="D396" s="13"/>
      <c r="E396" s="12" t="s">
        <v>387</v>
      </c>
      <c r="F396" s="13" t="n">
        <f aca="false">COUNTIFS(高中!$A:$A,$B396,高中!$E:$E,$C396,高中!$F:$F,"&lt;&gt;",高中!$C:$C,"",高中!$D:$D,$E396)</f>
        <v>0</v>
      </c>
      <c r="G396" s="13" t="str">
        <f aca="false">IF(F396&gt;0,"已查到","未查到")</f>
        <v>未查到</v>
      </c>
    </row>
    <row r="397" customFormat="false" ht="15" hidden="false" customHeight="false" outlineLevel="0" collapsed="false">
      <c r="A397" s="12" t="s">
        <v>325</v>
      </c>
      <c r="B397" s="12" t="s">
        <v>786</v>
      </c>
      <c r="C397" s="12" t="s">
        <v>368</v>
      </c>
      <c r="D397" s="13"/>
      <c r="E397" s="12" t="s">
        <v>388</v>
      </c>
      <c r="F397" s="13" t="n">
        <f aca="false">COUNTIFS(高中!$A:$A,$B397,高中!$E:$E,$C397,高中!$F:$F,"&lt;&gt;",高中!$C:$C,"",高中!$D:$D,$E397)</f>
        <v>0</v>
      </c>
      <c r="G397" s="13" t="str">
        <f aca="false">IF(F397&gt;0,"已查到","未查到")</f>
        <v>未查到</v>
      </c>
    </row>
    <row r="398" customFormat="false" ht="15" hidden="false" customHeight="false" outlineLevel="0" collapsed="false">
      <c r="A398" s="12" t="s">
        <v>325</v>
      </c>
      <c r="B398" s="12" t="s">
        <v>786</v>
      </c>
      <c r="C398" s="12" t="s">
        <v>368</v>
      </c>
      <c r="D398" s="13"/>
      <c r="E398" s="12" t="s">
        <v>389</v>
      </c>
      <c r="F398" s="13" t="n">
        <f aca="false">COUNTIFS(高中!$A:$A,$B398,高中!$E:$E,$C398,高中!$F:$F,"&lt;&gt;",高中!$C:$C,"",高中!$D:$D,$E398)</f>
        <v>0</v>
      </c>
      <c r="G398" s="13" t="str">
        <f aca="false">IF(F398&gt;0,"已查到","未查到")</f>
        <v>未查到</v>
      </c>
    </row>
    <row r="399" customFormat="false" ht="15" hidden="false" customHeight="false" outlineLevel="0" collapsed="false">
      <c r="A399" s="12" t="s">
        <v>325</v>
      </c>
      <c r="B399" s="12" t="s">
        <v>786</v>
      </c>
      <c r="C399" s="12" t="s">
        <v>368</v>
      </c>
      <c r="D399" s="13"/>
      <c r="E399" s="12" t="s">
        <v>484</v>
      </c>
      <c r="F399" s="13" t="n">
        <f aca="false">COUNTIFS(高中!$A:$A,$B399,高中!$E:$E,$C399,高中!$F:$F,"&lt;&gt;",高中!$C:$C,"",高中!$D:$D,$E399)</f>
        <v>0</v>
      </c>
      <c r="G399" s="13" t="str">
        <f aca="false">IF(F399&gt;0,"已查到","未查到")</f>
        <v>未查到</v>
      </c>
    </row>
    <row r="400" customFormat="false" ht="15" hidden="false" customHeight="false" outlineLevel="0" collapsed="false">
      <c r="A400" s="12" t="s">
        <v>325</v>
      </c>
      <c r="B400" s="12" t="s">
        <v>786</v>
      </c>
      <c r="C400" s="12" t="s">
        <v>166</v>
      </c>
      <c r="D400" s="13"/>
      <c r="E400" s="12" t="s">
        <v>390</v>
      </c>
      <c r="F400" s="13" t="n">
        <f aca="false">COUNTIFS(高中!$A:$A,$B400,高中!$E:$E,$C400,高中!$F:$F,"&lt;&gt;",高中!$C:$C,"",高中!$D:$D,$E400)</f>
        <v>0</v>
      </c>
      <c r="G400" s="13" t="str">
        <f aca="false">IF(F400&gt;0,"已查到","未查到")</f>
        <v>未查到</v>
      </c>
    </row>
    <row r="401" customFormat="false" ht="15" hidden="false" customHeight="false" outlineLevel="0" collapsed="false">
      <c r="A401" s="12" t="s">
        <v>325</v>
      </c>
      <c r="B401" s="12" t="s">
        <v>786</v>
      </c>
      <c r="C401" s="12" t="s">
        <v>166</v>
      </c>
      <c r="D401" s="13"/>
      <c r="E401" s="12" t="s">
        <v>391</v>
      </c>
      <c r="F401" s="13" t="n">
        <f aca="false">COUNTIFS(高中!$A:$A,$B401,高中!$E:$E,$C401,高中!$F:$F,"&lt;&gt;",高中!$C:$C,"",高中!$D:$D,$E401)</f>
        <v>0</v>
      </c>
      <c r="G401" s="13" t="str">
        <f aca="false">IF(F401&gt;0,"已查到","未查到")</f>
        <v>未查到</v>
      </c>
    </row>
    <row r="402" customFormat="false" ht="15" hidden="false" customHeight="false" outlineLevel="0" collapsed="false">
      <c r="A402" s="12" t="s">
        <v>325</v>
      </c>
      <c r="B402" s="12" t="s">
        <v>786</v>
      </c>
      <c r="C402" s="12" t="s">
        <v>166</v>
      </c>
      <c r="D402" s="13"/>
      <c r="E402" s="12" t="s">
        <v>393</v>
      </c>
      <c r="F402" s="13" t="n">
        <f aca="false">COUNTIFS(高中!$A:$A,$B402,高中!$E:$E,$C402,高中!$F:$F,"&lt;&gt;",高中!$C:$C,"",高中!$D:$D,$E402)</f>
        <v>0</v>
      </c>
      <c r="G402" s="13" t="str">
        <f aca="false">IF(F402&gt;0,"已查到","未查到")</f>
        <v>未查到</v>
      </c>
    </row>
    <row r="403" customFormat="false" ht="15" hidden="false" customHeight="false" outlineLevel="0" collapsed="false">
      <c r="A403" s="12" t="s">
        <v>325</v>
      </c>
      <c r="B403" s="12" t="s">
        <v>786</v>
      </c>
      <c r="C403" s="12" t="s">
        <v>166</v>
      </c>
      <c r="D403" s="13"/>
      <c r="E403" s="12" t="s">
        <v>394</v>
      </c>
      <c r="F403" s="13" t="n">
        <f aca="false">COUNTIFS(高中!$A:$A,$B403,高中!$E:$E,$C403,高中!$F:$F,"&lt;&gt;",高中!$C:$C,"",高中!$D:$D,$E403)</f>
        <v>0</v>
      </c>
      <c r="G403" s="13" t="str">
        <f aca="false">IF(F403&gt;0,"已查到","未查到")</f>
        <v>未查到</v>
      </c>
    </row>
    <row r="404" customFormat="false" ht="15" hidden="false" customHeight="false" outlineLevel="0" collapsed="false">
      <c r="A404" s="12" t="s">
        <v>325</v>
      </c>
      <c r="B404" s="12" t="s">
        <v>786</v>
      </c>
      <c r="C404" s="12" t="s">
        <v>166</v>
      </c>
      <c r="D404" s="13"/>
      <c r="E404" s="12" t="s">
        <v>395</v>
      </c>
      <c r="F404" s="13" t="n">
        <f aca="false">COUNTIFS(高中!$A:$A,$B404,高中!$E:$E,$C404,高中!$F:$F,"&lt;&gt;",高中!$C:$C,"",高中!$D:$D,$E404)</f>
        <v>0</v>
      </c>
      <c r="G404" s="13" t="str">
        <f aca="false">IF(F404&gt;0,"已查到","未查到")</f>
        <v>未查到</v>
      </c>
    </row>
    <row r="405" customFormat="false" ht="15" hidden="false" customHeight="false" outlineLevel="0" collapsed="false">
      <c r="A405" s="12" t="s">
        <v>325</v>
      </c>
      <c r="B405" s="12" t="s">
        <v>786</v>
      </c>
      <c r="C405" s="12" t="s">
        <v>166</v>
      </c>
      <c r="D405" s="13"/>
      <c r="E405" s="12" t="s">
        <v>790</v>
      </c>
      <c r="F405" s="13" t="n">
        <f aca="false">COUNTIFS(高中!$A:$A,$B405,高中!$E:$E,$C405,高中!$F:$F,"&lt;&gt;",高中!$C:$C,"",高中!$D:$D,$E405)</f>
        <v>1</v>
      </c>
      <c r="G405" s="13" t="str">
        <f aca="false">IF(F405&gt;0,"已查到","未查到")</f>
        <v>已查到</v>
      </c>
    </row>
    <row r="406" customFormat="false" ht="15" hidden="false" customHeight="false" outlineLevel="0" collapsed="false">
      <c r="A406" s="12" t="s">
        <v>325</v>
      </c>
      <c r="B406" s="12" t="s">
        <v>786</v>
      </c>
      <c r="C406" s="12" t="s">
        <v>256</v>
      </c>
      <c r="D406" s="13" t="s">
        <v>326</v>
      </c>
      <c r="E406" s="12" t="s">
        <v>327</v>
      </c>
      <c r="F406" s="13" t="n">
        <f aca="false">COUNTIFS(高中!$A:$A,$B406,高中!$E:$E,$C406,高中!$F:$F,"&lt;&gt;",高中!$C:$C,$D406,高中!$D:$D,$E406)</f>
        <v>0</v>
      </c>
      <c r="G406" s="13" t="str">
        <f aca="false">IF(F406&gt;0,"已查到","未查到")</f>
        <v>未查到</v>
      </c>
    </row>
    <row r="407" customFormat="false" ht="15" hidden="false" customHeight="false" outlineLevel="0" collapsed="false">
      <c r="A407" s="12" t="s">
        <v>325</v>
      </c>
      <c r="B407" s="12" t="s">
        <v>786</v>
      </c>
      <c r="C407" s="12" t="s">
        <v>256</v>
      </c>
      <c r="D407" s="13" t="s">
        <v>326</v>
      </c>
      <c r="E407" s="12" t="s">
        <v>328</v>
      </c>
      <c r="F407" s="13" t="n">
        <f aca="false">COUNTIFS(高中!$A:$A,$B407,高中!$E:$E,$C407,高中!$F:$F,"&lt;&gt;",高中!$C:$C,$D407,高中!$D:$D,$E407)</f>
        <v>0</v>
      </c>
      <c r="G407" s="13" t="str">
        <f aca="false">IF(F407&gt;0,"已查到","未查到")</f>
        <v>未查到</v>
      </c>
    </row>
    <row r="408" customFormat="false" ht="15" hidden="false" customHeight="false" outlineLevel="0" collapsed="false">
      <c r="A408" s="12" t="s">
        <v>325</v>
      </c>
      <c r="B408" s="12" t="s">
        <v>786</v>
      </c>
      <c r="C408" s="12" t="s">
        <v>256</v>
      </c>
      <c r="D408" s="13" t="s">
        <v>329</v>
      </c>
      <c r="E408" s="12" t="s">
        <v>330</v>
      </c>
      <c r="F408" s="13" t="n">
        <f aca="false">COUNTIFS(高中!$A:$A,$B408,高中!$E:$E,$C408,高中!$F:$F,"&lt;&gt;",高中!$C:$C,$D408,高中!$D:$D,$E408)</f>
        <v>0</v>
      </c>
      <c r="G408" s="13" t="str">
        <f aca="false">IF(F408&gt;0,"已查到","未查到")</f>
        <v>未查到</v>
      </c>
    </row>
    <row r="409" customFormat="false" ht="15" hidden="false" customHeight="false" outlineLevel="0" collapsed="false">
      <c r="A409" s="12" t="s">
        <v>325</v>
      </c>
      <c r="B409" s="12" t="s">
        <v>786</v>
      </c>
      <c r="C409" s="12" t="s">
        <v>256</v>
      </c>
      <c r="D409" s="13"/>
      <c r="E409" s="12" t="s">
        <v>397</v>
      </c>
      <c r="F409" s="13" t="n">
        <f aca="false">COUNTIFS(高中!$A:$A,$B409,高中!$E:$E,$C409,高中!$F:$F,"&lt;&gt;",高中!$C:$C,"",高中!$D:$D,$E409)</f>
        <v>0</v>
      </c>
      <c r="G409" s="13" t="str">
        <f aca="false">IF(F409&gt;0,"已查到","未查到")</f>
        <v>未查到</v>
      </c>
    </row>
    <row r="410" customFormat="false" ht="15" hidden="false" customHeight="false" outlineLevel="0" collapsed="false">
      <c r="A410" s="12" t="s">
        <v>325</v>
      </c>
      <c r="B410" s="12" t="s">
        <v>786</v>
      </c>
      <c r="C410" s="12" t="s">
        <v>256</v>
      </c>
      <c r="D410" s="13"/>
      <c r="E410" s="12" t="s">
        <v>398</v>
      </c>
      <c r="F410" s="13" t="n">
        <f aca="false">COUNTIFS(高中!$A:$A,$B410,高中!$E:$E,$C410,高中!$F:$F,"&lt;&gt;",高中!$C:$C,"",高中!$D:$D,$E410)</f>
        <v>0</v>
      </c>
      <c r="G410" s="13" t="str">
        <f aca="false">IF(F410&gt;0,"已查到","未查到")</f>
        <v>未查到</v>
      </c>
    </row>
    <row r="411" customFormat="false" ht="15" hidden="false" customHeight="false" outlineLevel="0" collapsed="false">
      <c r="A411" s="12" t="s">
        <v>325</v>
      </c>
      <c r="B411" s="12" t="s">
        <v>786</v>
      </c>
      <c r="C411" s="12" t="s">
        <v>256</v>
      </c>
      <c r="D411" s="13"/>
      <c r="E411" s="12" t="s">
        <v>399</v>
      </c>
      <c r="F411" s="13" t="n">
        <f aca="false">COUNTIFS(高中!$A:$A,$B411,高中!$E:$E,$C411,高中!$F:$F,"&lt;&gt;",高中!$C:$C,"",高中!$D:$D,$E411)</f>
        <v>0</v>
      </c>
      <c r="G411" s="13" t="str">
        <f aca="false">IF(F411&gt;0,"已查到","未查到")</f>
        <v>未查到</v>
      </c>
    </row>
    <row r="412" customFormat="false" ht="15" hidden="false" customHeight="false" outlineLevel="0" collapsed="false">
      <c r="A412" s="12" t="s">
        <v>325</v>
      </c>
      <c r="B412" s="12" t="s">
        <v>786</v>
      </c>
      <c r="C412" s="12" t="s">
        <v>257</v>
      </c>
      <c r="D412" s="13" t="s">
        <v>326</v>
      </c>
      <c r="E412" s="12" t="s">
        <v>327</v>
      </c>
      <c r="F412" s="13" t="n">
        <f aca="false">COUNTIFS(高中!$A:$A,$B412,高中!$E:$E,$C412,高中!$F:$F,"&lt;&gt;",高中!$C:$C,$D412,高中!$D:$D,$E412)</f>
        <v>0</v>
      </c>
      <c r="G412" s="13" t="str">
        <f aca="false">IF(F412&gt;0,"已查到","未查到")</f>
        <v>未查到</v>
      </c>
    </row>
    <row r="413" customFormat="false" ht="15" hidden="false" customHeight="false" outlineLevel="0" collapsed="false">
      <c r="A413" s="12" t="s">
        <v>325</v>
      </c>
      <c r="B413" s="12" t="s">
        <v>786</v>
      </c>
      <c r="C413" s="12" t="s">
        <v>257</v>
      </c>
      <c r="D413" s="13" t="s">
        <v>326</v>
      </c>
      <c r="E413" s="12" t="s">
        <v>328</v>
      </c>
      <c r="F413" s="13" t="n">
        <f aca="false">COUNTIFS(高中!$A:$A,$B413,高中!$E:$E,$C413,高中!$F:$F,"&lt;&gt;",高中!$C:$C,$D413,高中!$D:$D,$E413)</f>
        <v>0</v>
      </c>
      <c r="G413" s="13" t="str">
        <f aca="false">IF(F413&gt;0,"已查到","未查到")</f>
        <v>未查到</v>
      </c>
    </row>
    <row r="414" customFormat="false" ht="15" hidden="false" customHeight="false" outlineLevel="0" collapsed="false">
      <c r="A414" s="12" t="s">
        <v>325</v>
      </c>
      <c r="B414" s="12" t="s">
        <v>786</v>
      </c>
      <c r="C414" s="12" t="s">
        <v>257</v>
      </c>
      <c r="D414" s="13" t="s">
        <v>329</v>
      </c>
      <c r="E414" s="12" t="s">
        <v>330</v>
      </c>
      <c r="F414" s="13" t="n">
        <f aca="false">COUNTIFS(高中!$A:$A,$B414,高中!$E:$E,$C414,高中!$F:$F,"&lt;&gt;",高中!$C:$C,$D414,高中!$D:$D,$E414)</f>
        <v>0</v>
      </c>
      <c r="G414" s="13" t="str">
        <f aca="false">IF(F414&gt;0,"已查到","未查到")</f>
        <v>未查到</v>
      </c>
    </row>
    <row r="415" customFormat="false" ht="15" hidden="false" customHeight="false" outlineLevel="0" collapsed="false">
      <c r="A415" s="12" t="s">
        <v>325</v>
      </c>
      <c r="B415" s="12" t="s">
        <v>786</v>
      </c>
      <c r="C415" s="12" t="s">
        <v>257</v>
      </c>
      <c r="D415" s="13"/>
      <c r="E415" s="12" t="s">
        <v>400</v>
      </c>
      <c r="F415" s="13" t="n">
        <f aca="false">COUNTIFS(高中!$A:$A,$B415,高中!$E:$E,$C415,高中!$F:$F,"&lt;&gt;",高中!$C:$C,"",高中!$D:$D,$E415)</f>
        <v>0</v>
      </c>
      <c r="G415" s="13" t="str">
        <f aca="false">IF(F415&gt;0,"已查到","未查到")</f>
        <v>未查到</v>
      </c>
    </row>
    <row r="416" customFormat="false" ht="15" hidden="false" customHeight="false" outlineLevel="0" collapsed="false">
      <c r="A416" s="12" t="s">
        <v>325</v>
      </c>
      <c r="B416" s="12" t="s">
        <v>786</v>
      </c>
      <c r="C416" s="12" t="s">
        <v>257</v>
      </c>
      <c r="D416" s="13"/>
      <c r="E416" s="12" t="s">
        <v>401</v>
      </c>
      <c r="F416" s="13" t="n">
        <f aca="false">COUNTIFS(高中!$A:$A,$B416,高中!$E:$E,$C416,高中!$F:$F,"&lt;&gt;",高中!$C:$C,"",高中!$D:$D,$E416)</f>
        <v>0</v>
      </c>
      <c r="G416" s="13" t="str">
        <f aca="false">IF(F416&gt;0,"已查到","未查到")</f>
        <v>未查到</v>
      </c>
    </row>
    <row r="417" customFormat="false" ht="15" hidden="false" customHeight="false" outlineLevel="0" collapsed="false">
      <c r="A417" s="12" t="s">
        <v>325</v>
      </c>
      <c r="B417" s="12" t="s">
        <v>786</v>
      </c>
      <c r="C417" s="12" t="s">
        <v>257</v>
      </c>
      <c r="D417" s="13"/>
      <c r="E417" s="12" t="s">
        <v>402</v>
      </c>
      <c r="F417" s="13" t="n">
        <f aca="false">COUNTIFS(高中!$A:$A,$B417,高中!$E:$E,$C417,高中!$F:$F,"&lt;&gt;",高中!$C:$C,"",高中!$D:$D,$E417)</f>
        <v>0</v>
      </c>
      <c r="G417" s="13" t="str">
        <f aca="false">IF(F417&gt;0,"已查到","未查到")</f>
        <v>未查到</v>
      </c>
    </row>
    <row r="418" customFormat="false" ht="15" hidden="false" customHeight="false" outlineLevel="0" collapsed="false">
      <c r="A418" s="12" t="s">
        <v>325</v>
      </c>
      <c r="B418" s="12" t="s">
        <v>786</v>
      </c>
      <c r="C418" s="12" t="s">
        <v>403</v>
      </c>
      <c r="D418" s="13" t="s">
        <v>326</v>
      </c>
      <c r="E418" s="12" t="s">
        <v>327</v>
      </c>
      <c r="F418" s="13" t="n">
        <f aca="false">COUNTIFS(高中!$A:$A,$B418,高中!$E:$E,$C418,高中!$F:$F,"&lt;&gt;",高中!$C:$C,$D418,高中!$D:$D,$E418)</f>
        <v>0</v>
      </c>
      <c r="G418" s="13" t="str">
        <f aca="false">IF(F418&gt;0,"已查到","未查到")</f>
        <v>未查到</v>
      </c>
    </row>
    <row r="419" customFormat="false" ht="15" hidden="false" customHeight="false" outlineLevel="0" collapsed="false">
      <c r="A419" s="12" t="s">
        <v>325</v>
      </c>
      <c r="B419" s="12" t="s">
        <v>786</v>
      </c>
      <c r="C419" s="12" t="s">
        <v>403</v>
      </c>
      <c r="D419" s="13" t="s">
        <v>326</v>
      </c>
      <c r="E419" s="12" t="s">
        <v>328</v>
      </c>
      <c r="F419" s="13" t="n">
        <f aca="false">COUNTIFS(高中!$A:$A,$B419,高中!$E:$E,$C419,高中!$F:$F,"&lt;&gt;",高中!$C:$C,$D419,高中!$D:$D,$E419)</f>
        <v>0</v>
      </c>
      <c r="G419" s="13" t="str">
        <f aca="false">IF(F419&gt;0,"已查到","未查到")</f>
        <v>未查到</v>
      </c>
    </row>
    <row r="420" customFormat="false" ht="15" hidden="false" customHeight="false" outlineLevel="0" collapsed="false">
      <c r="A420" s="12" t="s">
        <v>325</v>
      </c>
      <c r="B420" s="12" t="s">
        <v>786</v>
      </c>
      <c r="C420" s="12" t="s">
        <v>403</v>
      </c>
      <c r="D420" s="13" t="s">
        <v>329</v>
      </c>
      <c r="E420" s="12" t="s">
        <v>330</v>
      </c>
      <c r="F420" s="13" t="n">
        <f aca="false">COUNTIFS(高中!$A:$A,$B420,高中!$E:$E,$C420,高中!$F:$F,"&lt;&gt;",高中!$C:$C,$D420,高中!$D:$D,$E420)</f>
        <v>0</v>
      </c>
      <c r="G420" s="13" t="str">
        <f aca="false">IF(F420&gt;0,"已查到","未查到")</f>
        <v>未查到</v>
      </c>
    </row>
    <row r="421" customFormat="false" ht="15" hidden="false" customHeight="false" outlineLevel="0" collapsed="false">
      <c r="A421" s="12" t="s">
        <v>325</v>
      </c>
      <c r="B421" s="12" t="s">
        <v>786</v>
      </c>
      <c r="C421" s="12" t="s">
        <v>403</v>
      </c>
      <c r="D421" s="13"/>
      <c r="E421" s="12" t="s">
        <v>404</v>
      </c>
      <c r="F421" s="13" t="n">
        <f aca="false">COUNTIFS(高中!$A:$A,$B421,高中!$E:$E,$C421,高中!$F:$F,"&lt;&gt;",高中!$C:$C,"",高中!$D:$D,$E421)</f>
        <v>0</v>
      </c>
      <c r="G421" s="13" t="str">
        <f aca="false">IF(F421&gt;0,"已查到","未查到")</f>
        <v>未查到</v>
      </c>
    </row>
    <row r="422" customFormat="false" ht="15" hidden="false" customHeight="false" outlineLevel="0" collapsed="false">
      <c r="A422" s="12" t="s">
        <v>325</v>
      </c>
      <c r="B422" s="12" t="s">
        <v>786</v>
      </c>
      <c r="C422" s="12" t="s">
        <v>403</v>
      </c>
      <c r="D422" s="13"/>
      <c r="E422" s="12" t="s">
        <v>405</v>
      </c>
      <c r="F422" s="13" t="n">
        <f aca="false">COUNTIFS(高中!$A:$A,$B422,高中!$E:$E,$C422,高中!$F:$F,"&lt;&gt;",高中!$C:$C,"",高中!$D:$D,$E422)</f>
        <v>0</v>
      </c>
      <c r="G422" s="13" t="str">
        <f aca="false">IF(F422&gt;0,"已查到","未查到")</f>
        <v>未查到</v>
      </c>
    </row>
    <row r="423" customFormat="false" ht="15" hidden="false" customHeight="false" outlineLevel="0" collapsed="false">
      <c r="A423" s="12" t="s">
        <v>325</v>
      </c>
      <c r="B423" s="12" t="s">
        <v>786</v>
      </c>
      <c r="C423" s="12" t="s">
        <v>403</v>
      </c>
      <c r="D423" s="13"/>
      <c r="E423" s="12" t="s">
        <v>406</v>
      </c>
      <c r="F423" s="13" t="n">
        <f aca="false">COUNTIFS(高中!$A:$A,$B423,高中!$E:$E,$C423,高中!$F:$F,"&lt;&gt;",高中!$C:$C,"",高中!$D:$D,$E423)</f>
        <v>0</v>
      </c>
      <c r="G423" s="13" t="str">
        <f aca="false">IF(F423&gt;0,"已查到","未查到")</f>
        <v>未查到</v>
      </c>
    </row>
    <row r="424" customFormat="false" ht="15" hidden="false" customHeight="false" outlineLevel="0" collapsed="false">
      <c r="A424" s="12" t="s">
        <v>325</v>
      </c>
      <c r="B424" s="12" t="s">
        <v>796</v>
      </c>
      <c r="C424" s="12" t="s">
        <v>30</v>
      </c>
      <c r="D424" s="13" t="s">
        <v>326</v>
      </c>
      <c r="E424" s="12" t="s">
        <v>327</v>
      </c>
      <c r="F424" s="13" t="n">
        <f aca="false">COUNTIFS(高中!$A:$A,$B424,高中!$E:$E,$C424,高中!$F:$F,"&lt;&gt;",高中!$C:$C,$D424,高中!$D:$D,$E424)</f>
        <v>0</v>
      </c>
      <c r="G424" s="13" t="str">
        <f aca="false">IF(F424&gt;0,"已查到","未查到")</f>
        <v>未查到</v>
      </c>
    </row>
    <row r="425" customFormat="false" ht="15" hidden="false" customHeight="false" outlineLevel="0" collapsed="false">
      <c r="A425" s="12" t="s">
        <v>325</v>
      </c>
      <c r="B425" s="12" t="s">
        <v>796</v>
      </c>
      <c r="C425" s="12" t="s">
        <v>30</v>
      </c>
      <c r="D425" s="13" t="s">
        <v>326</v>
      </c>
      <c r="E425" s="12" t="s">
        <v>328</v>
      </c>
      <c r="F425" s="13" t="n">
        <f aca="false">COUNTIFS(高中!$A:$A,$B425,高中!$E:$E,$C425,高中!$F:$F,"&lt;&gt;",高中!$C:$C,$D425,高中!$D:$D,$E425)</f>
        <v>0</v>
      </c>
      <c r="G425" s="13" t="str">
        <f aca="false">IF(F425&gt;0,"已查到","未查到")</f>
        <v>未查到</v>
      </c>
    </row>
    <row r="426" customFormat="false" ht="15" hidden="false" customHeight="false" outlineLevel="0" collapsed="false">
      <c r="A426" s="12" t="s">
        <v>325</v>
      </c>
      <c r="B426" s="12" t="s">
        <v>796</v>
      </c>
      <c r="C426" s="12" t="s">
        <v>30</v>
      </c>
      <c r="D426" s="13" t="s">
        <v>329</v>
      </c>
      <c r="E426" s="12" t="s">
        <v>330</v>
      </c>
      <c r="F426" s="13" t="n">
        <f aca="false">COUNTIFS(高中!$A:$A,$B426,高中!$E:$E,$C426,高中!$F:$F,"&lt;&gt;",高中!$C:$C,$D426,高中!$D:$D,$E426)</f>
        <v>0</v>
      </c>
      <c r="G426" s="13" t="str">
        <f aca="false">IF(F426&gt;0,"已查到","未查到")</f>
        <v>未查到</v>
      </c>
    </row>
    <row r="427" customFormat="false" ht="15" hidden="false" customHeight="false" outlineLevel="0" collapsed="false">
      <c r="A427" s="12" t="s">
        <v>325</v>
      </c>
      <c r="B427" s="12" t="s">
        <v>796</v>
      </c>
      <c r="C427" s="12" t="s">
        <v>30</v>
      </c>
      <c r="D427" s="13" t="s">
        <v>329</v>
      </c>
      <c r="E427" s="12" t="s">
        <v>331</v>
      </c>
      <c r="F427" s="13" t="n">
        <f aca="false">COUNTIFS(高中!$A:$A,$B427,高中!$E:$E,$C427,高中!$F:$F,"&lt;&gt;",高中!$C:$C,$D427,高中!$D:$D,$E427)</f>
        <v>0</v>
      </c>
      <c r="G427" s="13" t="str">
        <f aca="false">IF(F427&gt;0,"已查到","未查到")</f>
        <v>未查到</v>
      </c>
    </row>
    <row r="428" customFormat="false" ht="15" hidden="false" customHeight="false" outlineLevel="0" collapsed="false">
      <c r="A428" s="12" t="s">
        <v>325</v>
      </c>
      <c r="B428" s="12" t="s">
        <v>796</v>
      </c>
      <c r="C428" s="12" t="s">
        <v>30</v>
      </c>
      <c r="D428" s="13" t="s">
        <v>332</v>
      </c>
      <c r="E428" s="12" t="s">
        <v>333</v>
      </c>
      <c r="F428" s="13" t="n">
        <f aca="false">COUNTIFS(高中!$A:$A,$B428,高中!$E:$E,$C428,高中!$F:$F,"&lt;&gt;",高中!$C:$C,$D428,高中!$D:$D,$E428)</f>
        <v>0</v>
      </c>
      <c r="G428" s="13" t="str">
        <f aca="false">IF(F428&gt;0,"已查到","未查到")</f>
        <v>未查到</v>
      </c>
    </row>
    <row r="429" customFormat="false" ht="15" hidden="false" customHeight="false" outlineLevel="0" collapsed="false">
      <c r="A429" s="12" t="s">
        <v>325</v>
      </c>
      <c r="B429" s="12" t="s">
        <v>796</v>
      </c>
      <c r="C429" s="12" t="s">
        <v>30</v>
      </c>
      <c r="D429" s="13" t="s">
        <v>332</v>
      </c>
      <c r="E429" s="12" t="s">
        <v>334</v>
      </c>
      <c r="F429" s="13" t="n">
        <f aca="false">COUNTIFS(高中!$A:$A,$B429,高中!$E:$E,$C429,高中!$F:$F,"&lt;&gt;",高中!$C:$C,$D429,高中!$D:$D,$E429)</f>
        <v>0</v>
      </c>
      <c r="G429" s="13" t="str">
        <f aca="false">IF(F429&gt;0,"已查到","未查到")</f>
        <v>未查到</v>
      </c>
    </row>
    <row r="430" customFormat="false" ht="15" hidden="false" customHeight="false" outlineLevel="0" collapsed="false">
      <c r="A430" s="12" t="s">
        <v>325</v>
      </c>
      <c r="B430" s="12" t="s">
        <v>796</v>
      </c>
      <c r="C430" s="12" t="s">
        <v>30</v>
      </c>
      <c r="D430" s="13"/>
      <c r="E430" s="12" t="s">
        <v>335</v>
      </c>
      <c r="F430" s="13" t="n">
        <f aca="false">COUNTIFS(高中!$A:$A,$B430,高中!$E:$E,$C430,高中!$F:$F,"&lt;&gt;",高中!$C:$C,"",高中!$D:$D,$E430)</f>
        <v>0</v>
      </c>
      <c r="G430" s="13" t="str">
        <f aca="false">IF(F430&gt;0,"已查到","未查到")</f>
        <v>未查到</v>
      </c>
    </row>
    <row r="431" customFormat="false" ht="15" hidden="false" customHeight="false" outlineLevel="0" collapsed="false">
      <c r="A431" s="12" t="s">
        <v>325</v>
      </c>
      <c r="B431" s="12" t="s">
        <v>796</v>
      </c>
      <c r="C431" s="12" t="s">
        <v>30</v>
      </c>
      <c r="D431" s="13"/>
      <c r="E431" s="12" t="s">
        <v>336</v>
      </c>
      <c r="F431" s="13" t="n">
        <f aca="false">COUNTIFS(高中!$A:$A,$B431,高中!$E:$E,$C431,高中!$F:$F,"&lt;&gt;",高中!$C:$C,"",高中!$D:$D,$E431)</f>
        <v>0</v>
      </c>
      <c r="G431" s="13" t="str">
        <f aca="false">IF(F431&gt;0,"已查到","未查到")</f>
        <v>未查到</v>
      </c>
    </row>
    <row r="432" customFormat="false" ht="15" hidden="false" customHeight="false" outlineLevel="0" collapsed="false">
      <c r="A432" s="12" t="s">
        <v>325</v>
      </c>
      <c r="B432" s="12" t="s">
        <v>796</v>
      </c>
      <c r="C432" s="12" t="s">
        <v>30</v>
      </c>
      <c r="D432" s="13"/>
      <c r="E432" s="12" t="s">
        <v>337</v>
      </c>
      <c r="F432" s="13" t="n">
        <f aca="false">COUNTIFS(高中!$A:$A,$B432,高中!$E:$E,$C432,高中!$F:$F,"&lt;&gt;",高中!$C:$C,"",高中!$D:$D,$E432)</f>
        <v>0</v>
      </c>
      <c r="G432" s="13" t="str">
        <f aca="false">IF(F432&gt;0,"已查到","未查到")</f>
        <v>未查到</v>
      </c>
    </row>
    <row r="433" customFormat="false" ht="15" hidden="false" customHeight="false" outlineLevel="0" collapsed="false">
      <c r="A433" s="12" t="s">
        <v>325</v>
      </c>
      <c r="B433" s="12" t="s">
        <v>796</v>
      </c>
      <c r="C433" s="12" t="s">
        <v>30</v>
      </c>
      <c r="D433" s="13"/>
      <c r="E433" s="12" t="s">
        <v>338</v>
      </c>
      <c r="F433" s="13" t="n">
        <f aca="false">COUNTIFS(高中!$A:$A,$B433,高中!$E:$E,$C433,高中!$F:$F,"&lt;&gt;",高中!$C:$C,"",高中!$D:$D,$E433)</f>
        <v>0</v>
      </c>
      <c r="G433" s="13" t="str">
        <f aca="false">IF(F433&gt;0,"已查到","未查到")</f>
        <v>未查到</v>
      </c>
    </row>
    <row r="434" customFormat="false" ht="15" hidden="false" customHeight="false" outlineLevel="0" collapsed="false">
      <c r="A434" s="12" t="s">
        <v>325</v>
      </c>
      <c r="B434" s="12" t="s">
        <v>796</v>
      </c>
      <c r="C434" s="12" t="s">
        <v>132</v>
      </c>
      <c r="D434" s="13" t="s">
        <v>326</v>
      </c>
      <c r="E434" s="12" t="s">
        <v>327</v>
      </c>
      <c r="F434" s="13" t="n">
        <f aca="false">COUNTIFS(高中!$A:$A,$B434,高中!$E:$E,$C434,高中!$F:$F,"&lt;&gt;",高中!$C:$C,$D434,高中!$D:$D,$E434)</f>
        <v>0</v>
      </c>
      <c r="G434" s="13" t="str">
        <f aca="false">IF(F434&gt;0,"已查到","未查到")</f>
        <v>未查到</v>
      </c>
    </row>
    <row r="435" customFormat="false" ht="15" hidden="false" customHeight="false" outlineLevel="0" collapsed="false">
      <c r="A435" s="12" t="s">
        <v>325</v>
      </c>
      <c r="B435" s="12" t="s">
        <v>796</v>
      </c>
      <c r="C435" s="12" t="s">
        <v>132</v>
      </c>
      <c r="D435" s="13" t="s">
        <v>326</v>
      </c>
      <c r="E435" s="12" t="s">
        <v>328</v>
      </c>
      <c r="F435" s="13" t="n">
        <f aca="false">COUNTIFS(高中!$A:$A,$B435,高中!$E:$E,$C435,高中!$F:$F,"&lt;&gt;",高中!$C:$C,$D435,高中!$D:$D,$E435)</f>
        <v>0</v>
      </c>
      <c r="G435" s="13" t="str">
        <f aca="false">IF(F435&gt;0,"已查到","未查到")</f>
        <v>未查到</v>
      </c>
    </row>
    <row r="436" customFormat="false" ht="15" hidden="false" customHeight="false" outlineLevel="0" collapsed="false">
      <c r="A436" s="12" t="s">
        <v>325</v>
      </c>
      <c r="B436" s="12" t="s">
        <v>796</v>
      </c>
      <c r="C436" s="12" t="s">
        <v>132</v>
      </c>
      <c r="D436" s="13" t="s">
        <v>329</v>
      </c>
      <c r="E436" s="12" t="s">
        <v>330</v>
      </c>
      <c r="F436" s="13" t="n">
        <f aca="false">COUNTIFS(高中!$A:$A,$B436,高中!$E:$E,$C436,高中!$F:$F,"&lt;&gt;",高中!$C:$C,$D436,高中!$D:$D,$E436)</f>
        <v>0</v>
      </c>
      <c r="G436" s="13" t="str">
        <f aca="false">IF(F436&gt;0,"已查到","未查到")</f>
        <v>未查到</v>
      </c>
    </row>
    <row r="437" customFormat="false" ht="15" hidden="false" customHeight="false" outlineLevel="0" collapsed="false">
      <c r="A437" s="12" t="s">
        <v>325</v>
      </c>
      <c r="B437" s="12" t="s">
        <v>796</v>
      </c>
      <c r="C437" s="12" t="s">
        <v>132</v>
      </c>
      <c r="D437" s="13" t="s">
        <v>329</v>
      </c>
      <c r="E437" s="12" t="s">
        <v>331</v>
      </c>
      <c r="F437" s="13" t="n">
        <f aca="false">COUNTIFS(高中!$A:$A,$B437,高中!$E:$E,$C437,高中!$F:$F,"&lt;&gt;",高中!$C:$C,$D437,高中!$D:$D,$E437)</f>
        <v>0</v>
      </c>
      <c r="G437" s="13" t="str">
        <f aca="false">IF(F437&gt;0,"已查到","未查到")</f>
        <v>未查到</v>
      </c>
    </row>
    <row r="438" customFormat="false" ht="15" hidden="false" customHeight="false" outlineLevel="0" collapsed="false">
      <c r="A438" s="12" t="s">
        <v>325</v>
      </c>
      <c r="B438" s="12" t="s">
        <v>796</v>
      </c>
      <c r="C438" s="12" t="s">
        <v>132</v>
      </c>
      <c r="D438" s="13" t="s">
        <v>332</v>
      </c>
      <c r="E438" s="12" t="s">
        <v>333</v>
      </c>
      <c r="F438" s="13" t="n">
        <f aca="false">COUNTIFS(高中!$A:$A,$B438,高中!$E:$E,$C438,高中!$F:$F,"&lt;&gt;",高中!$C:$C,$D438,高中!$D:$D,$E438)</f>
        <v>0</v>
      </c>
      <c r="G438" s="13" t="str">
        <f aca="false">IF(F438&gt;0,"已查到","未查到")</f>
        <v>未查到</v>
      </c>
    </row>
    <row r="439" customFormat="false" ht="15" hidden="false" customHeight="false" outlineLevel="0" collapsed="false">
      <c r="A439" s="12" t="s">
        <v>325</v>
      </c>
      <c r="B439" s="12" t="s">
        <v>796</v>
      </c>
      <c r="C439" s="12" t="s">
        <v>132</v>
      </c>
      <c r="D439" s="13" t="s">
        <v>332</v>
      </c>
      <c r="E439" s="12" t="s">
        <v>334</v>
      </c>
      <c r="F439" s="13" t="n">
        <f aca="false">COUNTIFS(高中!$A:$A,$B439,高中!$E:$E,$C439,高中!$F:$F,"&lt;&gt;",高中!$C:$C,$D439,高中!$D:$D,$E439)</f>
        <v>0</v>
      </c>
      <c r="G439" s="13" t="str">
        <f aca="false">IF(F439&gt;0,"已查到","未查到")</f>
        <v>未查到</v>
      </c>
    </row>
    <row r="440" customFormat="false" ht="15" hidden="false" customHeight="false" outlineLevel="0" collapsed="false">
      <c r="A440" s="12" t="s">
        <v>325</v>
      </c>
      <c r="B440" s="12" t="s">
        <v>796</v>
      </c>
      <c r="C440" s="12" t="s">
        <v>132</v>
      </c>
      <c r="D440" s="13"/>
      <c r="E440" s="12" t="s">
        <v>339</v>
      </c>
      <c r="F440" s="13" t="n">
        <f aca="false">COUNTIFS(高中!$A:$A,$B440,高中!$E:$E,$C440,高中!$F:$F,"&lt;&gt;",高中!$C:$C,"",高中!$D:$D,$E440)</f>
        <v>0</v>
      </c>
      <c r="G440" s="13" t="str">
        <f aca="false">IF(F440&gt;0,"已查到","未查到")</f>
        <v>未查到</v>
      </c>
    </row>
    <row r="441" customFormat="false" ht="15" hidden="false" customHeight="false" outlineLevel="0" collapsed="false">
      <c r="A441" s="12" t="s">
        <v>325</v>
      </c>
      <c r="B441" s="12" t="s">
        <v>796</v>
      </c>
      <c r="C441" s="12" t="s">
        <v>132</v>
      </c>
      <c r="D441" s="13"/>
      <c r="E441" s="12" t="s">
        <v>340</v>
      </c>
      <c r="F441" s="13" t="n">
        <f aca="false">COUNTIFS(高中!$A:$A,$B441,高中!$E:$E,$C441,高中!$F:$F,"&lt;&gt;",高中!$C:$C,"",高中!$D:$D,$E441)</f>
        <v>0</v>
      </c>
      <c r="G441" s="13" t="str">
        <f aca="false">IF(F441&gt;0,"已查到","未查到")</f>
        <v>未查到</v>
      </c>
    </row>
    <row r="442" customFormat="false" ht="15" hidden="false" customHeight="false" outlineLevel="0" collapsed="false">
      <c r="A442" s="12" t="s">
        <v>325</v>
      </c>
      <c r="B442" s="12" t="s">
        <v>796</v>
      </c>
      <c r="C442" s="12" t="s">
        <v>146</v>
      </c>
      <c r="D442" s="13" t="s">
        <v>326</v>
      </c>
      <c r="E442" s="12" t="s">
        <v>327</v>
      </c>
      <c r="F442" s="13" t="n">
        <f aca="false">COUNTIFS(高中!$A:$A,$B442,高中!$E:$E,$C442,高中!$F:$F,"&lt;&gt;",高中!$C:$C,$D442,高中!$D:$D,$E442)</f>
        <v>0</v>
      </c>
      <c r="G442" s="13" t="str">
        <f aca="false">IF(F442&gt;0,"已查到","未查到")</f>
        <v>未查到</v>
      </c>
    </row>
    <row r="443" customFormat="false" ht="15" hidden="false" customHeight="false" outlineLevel="0" collapsed="false">
      <c r="A443" s="12" t="s">
        <v>325</v>
      </c>
      <c r="B443" s="12" t="s">
        <v>796</v>
      </c>
      <c r="C443" s="12" t="s">
        <v>146</v>
      </c>
      <c r="D443" s="13" t="s">
        <v>326</v>
      </c>
      <c r="E443" s="12" t="s">
        <v>328</v>
      </c>
      <c r="F443" s="13" t="n">
        <f aca="false">COUNTIFS(高中!$A:$A,$B443,高中!$E:$E,$C443,高中!$F:$F,"&lt;&gt;",高中!$C:$C,$D443,高中!$D:$D,$E443)</f>
        <v>0</v>
      </c>
      <c r="G443" s="13" t="str">
        <f aca="false">IF(F443&gt;0,"已查到","未查到")</f>
        <v>未查到</v>
      </c>
    </row>
    <row r="444" customFormat="false" ht="15" hidden="false" customHeight="false" outlineLevel="0" collapsed="false">
      <c r="A444" s="12" t="s">
        <v>325</v>
      </c>
      <c r="B444" s="12" t="s">
        <v>796</v>
      </c>
      <c r="C444" s="12" t="s">
        <v>146</v>
      </c>
      <c r="D444" s="13" t="s">
        <v>329</v>
      </c>
      <c r="E444" s="12" t="s">
        <v>343</v>
      </c>
      <c r="F444" s="13" t="n">
        <f aca="false">COUNTIFS(高中!$A:$A,$B444,高中!$E:$E,$C444,高中!$F:$F,"&lt;&gt;",高中!$C:$C,$D444,高中!$D:$D,$E444)</f>
        <v>0</v>
      </c>
      <c r="G444" s="13" t="str">
        <f aca="false">IF(F444&gt;0,"已查到","未查到")</f>
        <v>未查到</v>
      </c>
    </row>
    <row r="445" customFormat="false" ht="15" hidden="false" customHeight="false" outlineLevel="0" collapsed="false">
      <c r="A445" s="12" t="s">
        <v>325</v>
      </c>
      <c r="B445" s="12" t="s">
        <v>796</v>
      </c>
      <c r="C445" s="12" t="s">
        <v>146</v>
      </c>
      <c r="D445" s="13" t="s">
        <v>329</v>
      </c>
      <c r="E445" s="12" t="s">
        <v>344</v>
      </c>
      <c r="F445" s="13" t="n">
        <f aca="false">COUNTIFS(高中!$A:$A,$B445,高中!$E:$E,$C445,高中!$F:$F,"&lt;&gt;",高中!$C:$C,$D445,高中!$D:$D,$E445)</f>
        <v>0</v>
      </c>
      <c r="G445" s="13" t="str">
        <f aca="false">IF(F445&gt;0,"已查到","未查到")</f>
        <v>未查到</v>
      </c>
    </row>
    <row r="446" customFormat="false" ht="15" hidden="false" customHeight="false" outlineLevel="0" collapsed="false">
      <c r="A446" s="12" t="s">
        <v>325</v>
      </c>
      <c r="B446" s="12" t="s">
        <v>796</v>
      </c>
      <c r="C446" s="12" t="s">
        <v>146</v>
      </c>
      <c r="D446" s="13" t="s">
        <v>329</v>
      </c>
      <c r="E446" s="12" t="s">
        <v>345</v>
      </c>
      <c r="F446" s="13" t="n">
        <f aca="false">COUNTIFS(高中!$A:$A,$B446,高中!$E:$E,$C446,高中!$F:$F,"&lt;&gt;",高中!$C:$C,$D446,高中!$D:$D,$E446)</f>
        <v>0</v>
      </c>
      <c r="G446" s="13" t="str">
        <f aca="false">IF(F446&gt;0,"已查到","未查到")</f>
        <v>未查到</v>
      </c>
    </row>
    <row r="447" customFormat="false" ht="15" hidden="false" customHeight="false" outlineLevel="0" collapsed="false">
      <c r="A447" s="12" t="s">
        <v>325</v>
      </c>
      <c r="B447" s="12" t="s">
        <v>796</v>
      </c>
      <c r="C447" s="12" t="s">
        <v>146</v>
      </c>
      <c r="D447" s="13" t="s">
        <v>329</v>
      </c>
      <c r="E447" s="12" t="s">
        <v>346</v>
      </c>
      <c r="F447" s="13" t="n">
        <f aca="false">COUNTIFS(高中!$A:$A,$B447,高中!$E:$E,$C447,高中!$F:$F,"&lt;&gt;",高中!$C:$C,$D447,高中!$D:$D,$E447)</f>
        <v>0</v>
      </c>
      <c r="G447" s="13" t="str">
        <f aca="false">IF(F447&gt;0,"已查到","未查到")</f>
        <v>未查到</v>
      </c>
    </row>
    <row r="448" customFormat="false" ht="15" hidden="false" customHeight="false" outlineLevel="0" collapsed="false">
      <c r="A448" s="12" t="s">
        <v>325</v>
      </c>
      <c r="B448" s="12" t="s">
        <v>796</v>
      </c>
      <c r="C448" s="12" t="s">
        <v>146</v>
      </c>
      <c r="D448" s="13" t="s">
        <v>332</v>
      </c>
      <c r="E448" s="12" t="s">
        <v>347</v>
      </c>
      <c r="F448" s="13" t="n">
        <f aca="false">COUNTIFS(高中!$A:$A,$B448,高中!$E:$E,$C448,高中!$F:$F,"&lt;&gt;",高中!$C:$C,$D448,高中!$D:$D,$E448)</f>
        <v>0</v>
      </c>
      <c r="G448" s="13" t="str">
        <f aca="false">IF(F448&gt;0,"已查到","未查到")</f>
        <v>未查到</v>
      </c>
    </row>
    <row r="449" customFormat="false" ht="15" hidden="false" customHeight="false" outlineLevel="0" collapsed="false">
      <c r="A449" s="12" t="s">
        <v>325</v>
      </c>
      <c r="B449" s="12" t="s">
        <v>796</v>
      </c>
      <c r="C449" s="12" t="s">
        <v>146</v>
      </c>
      <c r="D449" s="13" t="s">
        <v>332</v>
      </c>
      <c r="E449" s="12" t="s">
        <v>348</v>
      </c>
      <c r="F449" s="13" t="n">
        <f aca="false">COUNTIFS(高中!$A:$A,$B449,高中!$E:$E,$C449,高中!$F:$F,"&lt;&gt;",高中!$C:$C,$D449,高中!$D:$D,$E449)</f>
        <v>0</v>
      </c>
      <c r="G449" s="13" t="str">
        <f aca="false">IF(F449&gt;0,"已查到","未查到")</f>
        <v>未查到</v>
      </c>
    </row>
    <row r="450" customFormat="false" ht="15" hidden="false" customHeight="false" outlineLevel="0" collapsed="false">
      <c r="A450" s="12" t="s">
        <v>325</v>
      </c>
      <c r="B450" s="12" t="s">
        <v>796</v>
      </c>
      <c r="C450" s="12" t="s">
        <v>146</v>
      </c>
      <c r="D450" s="13" t="s">
        <v>332</v>
      </c>
      <c r="E450" s="12" t="s">
        <v>349</v>
      </c>
      <c r="F450" s="13" t="n">
        <f aca="false">COUNTIFS(高中!$A:$A,$B450,高中!$E:$E,$C450,高中!$F:$F,"&lt;&gt;",高中!$C:$C,$D450,高中!$D:$D,$E450)</f>
        <v>0</v>
      </c>
      <c r="G450" s="13" t="str">
        <f aca="false">IF(F450&gt;0,"已查到","未查到")</f>
        <v>未查到</v>
      </c>
    </row>
    <row r="451" customFormat="false" ht="15" hidden="false" customHeight="false" outlineLevel="0" collapsed="false">
      <c r="A451" s="12" t="s">
        <v>325</v>
      </c>
      <c r="B451" s="12" t="s">
        <v>796</v>
      </c>
      <c r="C451" s="12" t="s">
        <v>146</v>
      </c>
      <c r="D451" s="13" t="s">
        <v>332</v>
      </c>
      <c r="E451" s="12" t="s">
        <v>350</v>
      </c>
      <c r="F451" s="13" t="n">
        <f aca="false">COUNTIFS(高中!$A:$A,$B451,高中!$E:$E,$C451,高中!$F:$F,"&lt;&gt;",高中!$C:$C,$D451,高中!$D:$D,$E451)</f>
        <v>0</v>
      </c>
      <c r="G451" s="13" t="str">
        <f aca="false">IF(F451&gt;0,"已查到","未查到")</f>
        <v>未查到</v>
      </c>
    </row>
    <row r="452" customFormat="false" ht="15" hidden="false" customHeight="false" outlineLevel="0" collapsed="false">
      <c r="A452" s="12" t="s">
        <v>325</v>
      </c>
      <c r="B452" s="12" t="s">
        <v>796</v>
      </c>
      <c r="C452" s="12" t="s">
        <v>155</v>
      </c>
      <c r="D452" s="13"/>
      <c r="E452" s="12" t="s">
        <v>352</v>
      </c>
      <c r="F452" s="13" t="n">
        <f aca="false">COUNTIFS(高中!$A:$A,$B452,高中!$E:$E,$C452,高中!$F:$F,"&lt;&gt;",高中!$C:$C,"",高中!$D:$D,$E452)</f>
        <v>0</v>
      </c>
      <c r="G452" s="13" t="str">
        <f aca="false">IF(F452&gt;0,"已查到","未查到")</f>
        <v>未查到</v>
      </c>
    </row>
    <row r="453" customFormat="false" ht="15" hidden="false" customHeight="false" outlineLevel="0" collapsed="false">
      <c r="A453" s="12" t="s">
        <v>325</v>
      </c>
      <c r="B453" s="12" t="s">
        <v>796</v>
      </c>
      <c r="C453" s="12" t="s">
        <v>155</v>
      </c>
      <c r="D453" s="13"/>
      <c r="E453" s="12" t="s">
        <v>354</v>
      </c>
      <c r="F453" s="13" t="n">
        <f aca="false">COUNTIFS(高中!$A:$A,$B453,高中!$E:$E,$C453,高中!$F:$F,"&lt;&gt;",高中!$C:$C,"",高中!$D:$D,$E453)</f>
        <v>0</v>
      </c>
      <c r="G453" s="13" t="str">
        <f aca="false">IF(F453&gt;0,"已查到","未查到")</f>
        <v>未查到</v>
      </c>
    </row>
    <row r="454" customFormat="false" ht="15" hidden="false" customHeight="false" outlineLevel="0" collapsed="false">
      <c r="A454" s="12" t="s">
        <v>325</v>
      </c>
      <c r="B454" s="12" t="s">
        <v>796</v>
      </c>
      <c r="C454" s="12" t="s">
        <v>155</v>
      </c>
      <c r="D454" s="13"/>
      <c r="E454" s="12" t="s">
        <v>355</v>
      </c>
      <c r="F454" s="13" t="n">
        <f aca="false">COUNTIFS(高中!$A:$A,$B454,高中!$E:$E,$C454,高中!$F:$F,"&lt;&gt;",高中!$C:$C,"",高中!$D:$D,$E454)</f>
        <v>0</v>
      </c>
      <c r="G454" s="13" t="str">
        <f aca="false">IF(F454&gt;0,"已查到","未查到")</f>
        <v>未查到</v>
      </c>
    </row>
    <row r="455" customFormat="false" ht="15" hidden="false" customHeight="false" outlineLevel="0" collapsed="false">
      <c r="A455" s="12" t="s">
        <v>325</v>
      </c>
      <c r="B455" s="12" t="s">
        <v>796</v>
      </c>
      <c r="C455" s="12" t="s">
        <v>155</v>
      </c>
      <c r="D455" s="13"/>
      <c r="E455" s="12" t="s">
        <v>357</v>
      </c>
      <c r="F455" s="13" t="n">
        <f aca="false">COUNTIFS(高中!$A:$A,$B455,高中!$E:$E,$C455,高中!$F:$F,"&lt;&gt;",高中!$C:$C,"",高中!$D:$D,$E455)</f>
        <v>0</v>
      </c>
      <c r="G455" s="13" t="str">
        <f aca="false">IF(F455&gt;0,"已查到","未查到")</f>
        <v>未查到</v>
      </c>
    </row>
    <row r="456" customFormat="false" ht="15" hidden="false" customHeight="false" outlineLevel="0" collapsed="false">
      <c r="A456" s="12" t="s">
        <v>325</v>
      </c>
      <c r="B456" s="12" t="s">
        <v>796</v>
      </c>
      <c r="C456" s="12" t="s">
        <v>155</v>
      </c>
      <c r="D456" s="13"/>
      <c r="E456" s="12" t="s">
        <v>358</v>
      </c>
      <c r="F456" s="13" t="n">
        <f aca="false">COUNTIFS(高中!$A:$A,$B456,高中!$E:$E,$C456,高中!$F:$F,"&lt;&gt;",高中!$C:$C,"",高中!$D:$D,$E456)</f>
        <v>0</v>
      </c>
      <c r="G456" s="13" t="str">
        <f aca="false">IF(F456&gt;0,"已查到","未查到")</f>
        <v>未查到</v>
      </c>
    </row>
    <row r="457" customFormat="false" ht="15" hidden="false" customHeight="false" outlineLevel="0" collapsed="false">
      <c r="A457" s="12" t="s">
        <v>325</v>
      </c>
      <c r="B457" s="12" t="s">
        <v>796</v>
      </c>
      <c r="C457" s="12" t="s">
        <v>155</v>
      </c>
      <c r="D457" s="13"/>
      <c r="E457" s="12" t="s">
        <v>359</v>
      </c>
      <c r="F457" s="13" t="n">
        <f aca="false">COUNTIFS(高中!$A:$A,$B457,高中!$E:$E,$C457,高中!$F:$F,"&lt;&gt;",高中!$C:$C,"",高中!$D:$D,$E457)</f>
        <v>0</v>
      </c>
      <c r="G457" s="13" t="str">
        <f aca="false">IF(F457&gt;0,"已查到","未查到")</f>
        <v>未查到</v>
      </c>
    </row>
    <row r="458" customFormat="false" ht="15" hidden="false" customHeight="false" outlineLevel="0" collapsed="false">
      <c r="A458" s="12" t="s">
        <v>325</v>
      </c>
      <c r="B458" s="12" t="s">
        <v>796</v>
      </c>
      <c r="C458" s="12" t="s">
        <v>361</v>
      </c>
      <c r="D458" s="13" t="s">
        <v>326</v>
      </c>
      <c r="E458" s="12" t="s">
        <v>360</v>
      </c>
      <c r="F458" s="13" t="n">
        <f aca="false">COUNTIFS(高中!$A:$A,$B458,高中!$E:$E,$C458,高中!$F:$F,"&lt;&gt;",高中!$C:$C,$D458,高中!$D:$D,$E458)</f>
        <v>2</v>
      </c>
      <c r="G458" s="13" t="str">
        <f aca="false">IF(F458&gt;0,"已查到","未查到")</f>
        <v>已查到</v>
      </c>
    </row>
    <row r="459" customFormat="false" ht="15" hidden="false" customHeight="false" outlineLevel="0" collapsed="false">
      <c r="A459" s="12" t="s">
        <v>325</v>
      </c>
      <c r="B459" s="12" t="s">
        <v>796</v>
      </c>
      <c r="C459" s="12" t="s">
        <v>361</v>
      </c>
      <c r="D459" s="13"/>
      <c r="E459" s="12" t="s">
        <v>362</v>
      </c>
      <c r="F459" s="13" t="n">
        <f aca="false">COUNTIFS(高中!$A:$A,$B459,高中!$E:$E,$C459,高中!$F:$F,"&lt;&gt;",高中!$C:$C,"",高中!$D:$D,$E459)</f>
        <v>0</v>
      </c>
      <c r="G459" s="13" t="str">
        <f aca="false">IF(F459&gt;0,"已查到","未查到")</f>
        <v>未查到</v>
      </c>
    </row>
    <row r="460" customFormat="false" ht="15" hidden="false" customHeight="false" outlineLevel="0" collapsed="false">
      <c r="A460" s="12" t="s">
        <v>325</v>
      </c>
      <c r="B460" s="12" t="s">
        <v>796</v>
      </c>
      <c r="C460" s="12" t="s">
        <v>361</v>
      </c>
      <c r="D460" s="13"/>
      <c r="E460" s="12" t="s">
        <v>363</v>
      </c>
      <c r="F460" s="13" t="n">
        <f aca="false">COUNTIFS(高中!$A:$A,$B460,高中!$E:$E,$C460,高中!$F:$F,"&lt;&gt;",高中!$C:$C,"",高中!$D:$D,$E460)</f>
        <v>0</v>
      </c>
      <c r="G460" s="13" t="str">
        <f aca="false">IF(F460&gt;0,"已查到","未查到")</f>
        <v>未查到</v>
      </c>
    </row>
    <row r="461" customFormat="false" ht="15" hidden="false" customHeight="false" outlineLevel="0" collapsed="false">
      <c r="A461" s="12" t="s">
        <v>325</v>
      </c>
      <c r="B461" s="12" t="s">
        <v>796</v>
      </c>
      <c r="C461" s="12" t="s">
        <v>361</v>
      </c>
      <c r="D461" s="13"/>
      <c r="E461" s="12" t="s">
        <v>364</v>
      </c>
      <c r="F461" s="13" t="n">
        <f aca="false">COUNTIFS(高中!$A:$A,$B461,高中!$E:$E,$C461,高中!$F:$F,"&lt;&gt;",高中!$C:$C,"",高中!$D:$D,$E461)</f>
        <v>1</v>
      </c>
      <c r="G461" s="13" t="str">
        <f aca="false">IF(F461&gt;0,"已查到","未查到")</f>
        <v>已查到</v>
      </c>
    </row>
    <row r="462" customFormat="false" ht="15" hidden="false" customHeight="false" outlineLevel="0" collapsed="false">
      <c r="A462" s="12" t="s">
        <v>325</v>
      </c>
      <c r="B462" s="12" t="s">
        <v>796</v>
      </c>
      <c r="C462" s="12" t="s">
        <v>361</v>
      </c>
      <c r="D462" s="13"/>
      <c r="E462" s="12" t="s">
        <v>365</v>
      </c>
      <c r="F462" s="13" t="n">
        <f aca="false">COUNTIFS(高中!$A:$A,$B462,高中!$E:$E,$C462,高中!$F:$F,"&lt;&gt;",高中!$C:$C,"",高中!$D:$D,$E462)</f>
        <v>0</v>
      </c>
      <c r="G462" s="13" t="str">
        <f aca="false">IF(F462&gt;0,"已查到","未查到")</f>
        <v>未查到</v>
      </c>
    </row>
    <row r="463" customFormat="false" ht="15" hidden="false" customHeight="false" outlineLevel="0" collapsed="false">
      <c r="A463" s="12" t="s">
        <v>325</v>
      </c>
      <c r="B463" s="12" t="s">
        <v>796</v>
      </c>
      <c r="C463" s="12" t="s">
        <v>361</v>
      </c>
      <c r="D463" s="13"/>
      <c r="E463" s="12" t="s">
        <v>366</v>
      </c>
      <c r="F463" s="13" t="n">
        <f aca="false">COUNTIFS(高中!$A:$A,$B463,高中!$E:$E,$C463,高中!$F:$F,"&lt;&gt;",高中!$C:$C,"",高中!$D:$D,$E463)</f>
        <v>0</v>
      </c>
      <c r="G463" s="13" t="str">
        <f aca="false">IF(F463&gt;0,"已查到","未查到")</f>
        <v>未查到</v>
      </c>
    </row>
    <row r="464" customFormat="false" ht="15" hidden="false" customHeight="false" outlineLevel="0" collapsed="false">
      <c r="A464" s="12" t="s">
        <v>325</v>
      </c>
      <c r="B464" s="12" t="s">
        <v>796</v>
      </c>
      <c r="C464" s="12" t="s">
        <v>368</v>
      </c>
      <c r="D464" s="13" t="s">
        <v>329</v>
      </c>
      <c r="E464" s="12" t="s">
        <v>806</v>
      </c>
      <c r="F464" s="13" t="n">
        <f aca="false">COUNTIFS(高中!$A:$A,$B464,高中!$E:$E,$C464,高中!$F:$F,"&lt;&gt;",高中!$C:$C,$D464,高中!$D:$D,$E464)</f>
        <v>2</v>
      </c>
      <c r="G464" s="13" t="str">
        <f aca="false">IF(F464&gt;0,"已查到","未查到")</f>
        <v>已查到</v>
      </c>
    </row>
    <row r="465" customFormat="false" ht="15" hidden="false" customHeight="false" outlineLevel="0" collapsed="false">
      <c r="A465" s="12" t="s">
        <v>325</v>
      </c>
      <c r="B465" s="12" t="s">
        <v>796</v>
      </c>
      <c r="C465" s="12" t="s">
        <v>368</v>
      </c>
      <c r="D465" s="13"/>
      <c r="E465" s="12" t="s">
        <v>483</v>
      </c>
      <c r="F465" s="13" t="n">
        <f aca="false">COUNTIFS(高中!$A:$A,$B465,高中!$E:$E,$C465,高中!$F:$F,"&lt;&gt;",高中!$C:$C,"",高中!$D:$D,$E465)</f>
        <v>0</v>
      </c>
      <c r="G465" s="13" t="str">
        <f aca="false">IF(F465&gt;0,"已查到","未查到")</f>
        <v>未查到</v>
      </c>
    </row>
    <row r="466" customFormat="false" ht="15" hidden="false" customHeight="false" outlineLevel="0" collapsed="false">
      <c r="A466" s="12" t="s">
        <v>325</v>
      </c>
      <c r="B466" s="12" t="s">
        <v>796</v>
      </c>
      <c r="C466" s="12" t="s">
        <v>368</v>
      </c>
      <c r="D466" s="13"/>
      <c r="E466" s="12" t="s">
        <v>384</v>
      </c>
      <c r="F466" s="13" t="n">
        <f aca="false">COUNTIFS(高中!$A:$A,$B466,高中!$E:$E,$C466,高中!$F:$F,"&lt;&gt;",高中!$C:$C,"",高中!$D:$D,$E466)</f>
        <v>0</v>
      </c>
      <c r="G466" s="13" t="str">
        <f aca="false">IF(F466&gt;0,"已查到","未查到")</f>
        <v>未查到</v>
      </c>
    </row>
    <row r="467" customFormat="false" ht="15" hidden="false" customHeight="false" outlineLevel="0" collapsed="false">
      <c r="A467" s="12" t="s">
        <v>325</v>
      </c>
      <c r="B467" s="12" t="s">
        <v>796</v>
      </c>
      <c r="C467" s="12" t="s">
        <v>368</v>
      </c>
      <c r="D467" s="13"/>
      <c r="E467" s="12" t="s">
        <v>385</v>
      </c>
      <c r="F467" s="13" t="n">
        <f aca="false">COUNTIFS(高中!$A:$A,$B467,高中!$E:$E,$C467,高中!$F:$F,"&lt;&gt;",高中!$C:$C,"",高中!$D:$D,$E467)</f>
        <v>0</v>
      </c>
      <c r="G467" s="13" t="str">
        <f aca="false">IF(F467&gt;0,"已查到","未查到")</f>
        <v>未查到</v>
      </c>
    </row>
    <row r="468" customFormat="false" ht="15" hidden="false" customHeight="false" outlineLevel="0" collapsed="false">
      <c r="A468" s="12" t="s">
        <v>325</v>
      </c>
      <c r="B468" s="12" t="s">
        <v>796</v>
      </c>
      <c r="C468" s="12" t="s">
        <v>368</v>
      </c>
      <c r="D468" s="13"/>
      <c r="E468" s="12" t="s">
        <v>387</v>
      </c>
      <c r="F468" s="13" t="n">
        <f aca="false">COUNTIFS(高中!$A:$A,$B468,高中!$E:$E,$C468,高中!$F:$F,"&lt;&gt;",高中!$C:$C,"",高中!$D:$D,$E468)</f>
        <v>0</v>
      </c>
      <c r="G468" s="13" t="str">
        <f aca="false">IF(F468&gt;0,"已查到","未查到")</f>
        <v>未查到</v>
      </c>
    </row>
    <row r="469" customFormat="false" ht="15" hidden="false" customHeight="false" outlineLevel="0" collapsed="false">
      <c r="A469" s="12" t="s">
        <v>325</v>
      </c>
      <c r="B469" s="12" t="s">
        <v>796</v>
      </c>
      <c r="C469" s="12" t="s">
        <v>368</v>
      </c>
      <c r="D469" s="13"/>
      <c r="E469" s="12" t="s">
        <v>388</v>
      </c>
      <c r="F469" s="13" t="n">
        <f aca="false">COUNTIFS(高中!$A:$A,$B469,高中!$E:$E,$C469,高中!$F:$F,"&lt;&gt;",高中!$C:$C,"",高中!$D:$D,$E469)</f>
        <v>0</v>
      </c>
      <c r="G469" s="13" t="str">
        <f aca="false">IF(F469&gt;0,"已查到","未查到")</f>
        <v>未查到</v>
      </c>
    </row>
    <row r="470" customFormat="false" ht="15" hidden="false" customHeight="false" outlineLevel="0" collapsed="false">
      <c r="A470" s="12" t="s">
        <v>325</v>
      </c>
      <c r="B470" s="12" t="s">
        <v>796</v>
      </c>
      <c r="C470" s="12" t="s">
        <v>368</v>
      </c>
      <c r="D470" s="13"/>
      <c r="E470" s="12" t="s">
        <v>389</v>
      </c>
      <c r="F470" s="13" t="n">
        <f aca="false">COUNTIFS(高中!$A:$A,$B470,高中!$E:$E,$C470,高中!$F:$F,"&lt;&gt;",高中!$C:$C,"",高中!$D:$D,$E470)</f>
        <v>0</v>
      </c>
      <c r="G470" s="13" t="str">
        <f aca="false">IF(F470&gt;0,"已查到","未查到")</f>
        <v>未查到</v>
      </c>
    </row>
    <row r="471" customFormat="false" ht="15" hidden="false" customHeight="false" outlineLevel="0" collapsed="false">
      <c r="A471" s="12" t="s">
        <v>325</v>
      </c>
      <c r="B471" s="12" t="s">
        <v>796</v>
      </c>
      <c r="C471" s="12" t="s">
        <v>368</v>
      </c>
      <c r="D471" s="13"/>
      <c r="E471" s="12" t="s">
        <v>484</v>
      </c>
      <c r="F471" s="13" t="n">
        <f aca="false">COUNTIFS(高中!$A:$A,$B471,高中!$E:$E,$C471,高中!$F:$F,"&lt;&gt;",高中!$C:$C,"",高中!$D:$D,$E471)</f>
        <v>0</v>
      </c>
      <c r="G471" s="13" t="str">
        <f aca="false">IF(F471&gt;0,"已查到","未查到")</f>
        <v>未查到</v>
      </c>
    </row>
    <row r="472" customFormat="false" ht="15" hidden="false" customHeight="false" outlineLevel="0" collapsed="false">
      <c r="A472" s="12" t="s">
        <v>325</v>
      </c>
      <c r="B472" s="12" t="s">
        <v>796</v>
      </c>
      <c r="C472" s="12" t="s">
        <v>166</v>
      </c>
      <c r="D472" s="13"/>
      <c r="E472" s="12" t="s">
        <v>390</v>
      </c>
      <c r="F472" s="13" t="n">
        <f aca="false">COUNTIFS(高中!$A:$A,$B472,高中!$E:$E,$C472,高中!$F:$F,"&lt;&gt;",高中!$C:$C,"",高中!$D:$D,$E472)</f>
        <v>0</v>
      </c>
      <c r="G472" s="13" t="str">
        <f aca="false">IF(F472&gt;0,"已查到","未查到")</f>
        <v>未查到</v>
      </c>
    </row>
    <row r="473" customFormat="false" ht="15" hidden="false" customHeight="false" outlineLevel="0" collapsed="false">
      <c r="A473" s="12" t="s">
        <v>325</v>
      </c>
      <c r="B473" s="12" t="s">
        <v>796</v>
      </c>
      <c r="C473" s="12" t="s">
        <v>166</v>
      </c>
      <c r="D473" s="13"/>
      <c r="E473" s="12" t="s">
        <v>391</v>
      </c>
      <c r="F473" s="13" t="n">
        <f aca="false">COUNTIFS(高中!$A:$A,$B473,高中!$E:$E,$C473,高中!$F:$F,"&lt;&gt;",高中!$C:$C,"",高中!$D:$D,$E473)</f>
        <v>0</v>
      </c>
      <c r="G473" s="13" t="str">
        <f aca="false">IF(F473&gt;0,"已查到","未查到")</f>
        <v>未查到</v>
      </c>
    </row>
    <row r="474" customFormat="false" ht="15" hidden="false" customHeight="false" outlineLevel="0" collapsed="false">
      <c r="A474" s="12" t="s">
        <v>325</v>
      </c>
      <c r="B474" s="12" t="s">
        <v>796</v>
      </c>
      <c r="C474" s="12" t="s">
        <v>166</v>
      </c>
      <c r="D474" s="13"/>
      <c r="E474" s="12" t="s">
        <v>392</v>
      </c>
      <c r="F474" s="13" t="n">
        <f aca="false">COUNTIFS(高中!$A:$A,$B474,高中!$E:$E,$C474,高中!$F:$F,"&lt;&gt;",高中!$C:$C,"",高中!$D:$D,$E474)</f>
        <v>0</v>
      </c>
      <c r="G474" s="13" t="str">
        <f aca="false">IF(F474&gt;0,"已查到","未查到")</f>
        <v>未查到</v>
      </c>
    </row>
    <row r="475" customFormat="false" ht="15" hidden="false" customHeight="false" outlineLevel="0" collapsed="false">
      <c r="A475" s="12" t="s">
        <v>325</v>
      </c>
      <c r="B475" s="12" t="s">
        <v>796</v>
      </c>
      <c r="C475" s="12" t="s">
        <v>166</v>
      </c>
      <c r="D475" s="13"/>
      <c r="E475" s="12" t="s">
        <v>393</v>
      </c>
      <c r="F475" s="13" t="n">
        <f aca="false">COUNTIFS(高中!$A:$A,$B475,高中!$E:$E,$C475,高中!$F:$F,"&lt;&gt;",高中!$C:$C,"",高中!$D:$D,$E475)</f>
        <v>0</v>
      </c>
      <c r="G475" s="13" t="str">
        <f aca="false">IF(F475&gt;0,"已查到","未查到")</f>
        <v>未查到</v>
      </c>
    </row>
    <row r="476" customFormat="false" ht="15" hidden="false" customHeight="false" outlineLevel="0" collapsed="false">
      <c r="A476" s="12" t="s">
        <v>325</v>
      </c>
      <c r="B476" s="12" t="s">
        <v>796</v>
      </c>
      <c r="C476" s="12" t="s">
        <v>166</v>
      </c>
      <c r="D476" s="13"/>
      <c r="E476" s="12" t="s">
        <v>394</v>
      </c>
      <c r="F476" s="13" t="n">
        <f aca="false">COUNTIFS(高中!$A:$A,$B476,高中!$E:$E,$C476,高中!$F:$F,"&lt;&gt;",高中!$C:$C,"",高中!$D:$D,$E476)</f>
        <v>0</v>
      </c>
      <c r="G476" s="13" t="str">
        <f aca="false">IF(F476&gt;0,"已查到","未查到")</f>
        <v>未查到</v>
      </c>
    </row>
    <row r="477" customFormat="false" ht="15" hidden="false" customHeight="false" outlineLevel="0" collapsed="false">
      <c r="A477" s="12" t="s">
        <v>325</v>
      </c>
      <c r="B477" s="12" t="s">
        <v>796</v>
      </c>
      <c r="C477" s="12" t="s">
        <v>166</v>
      </c>
      <c r="D477" s="13"/>
      <c r="E477" s="12" t="s">
        <v>395</v>
      </c>
      <c r="F477" s="13" t="n">
        <f aca="false">COUNTIFS(高中!$A:$A,$B477,高中!$E:$E,$C477,高中!$F:$F,"&lt;&gt;",高中!$C:$C,"",高中!$D:$D,$E477)</f>
        <v>0</v>
      </c>
      <c r="G477" s="13" t="str">
        <f aca="false">IF(F477&gt;0,"已查到","未查到")</f>
        <v>未查到</v>
      </c>
    </row>
    <row r="478" customFormat="false" ht="15" hidden="false" customHeight="false" outlineLevel="0" collapsed="false">
      <c r="A478" s="12" t="s">
        <v>325</v>
      </c>
      <c r="B478" s="12" t="s">
        <v>796</v>
      </c>
      <c r="C478" s="12" t="s">
        <v>256</v>
      </c>
      <c r="D478" s="13" t="s">
        <v>326</v>
      </c>
      <c r="E478" s="12" t="s">
        <v>327</v>
      </c>
      <c r="F478" s="13" t="n">
        <f aca="false">COUNTIFS(高中!$A:$A,$B478,高中!$E:$E,$C478,高中!$F:$F,"&lt;&gt;",高中!$C:$C,$D478,高中!$D:$D,$E478)</f>
        <v>0</v>
      </c>
      <c r="G478" s="13" t="str">
        <f aca="false">IF(F478&gt;0,"已查到","未查到")</f>
        <v>未查到</v>
      </c>
    </row>
    <row r="479" customFormat="false" ht="15" hidden="false" customHeight="false" outlineLevel="0" collapsed="false">
      <c r="A479" s="12" t="s">
        <v>325</v>
      </c>
      <c r="B479" s="12" t="s">
        <v>796</v>
      </c>
      <c r="C479" s="12" t="s">
        <v>256</v>
      </c>
      <c r="D479" s="13" t="s">
        <v>326</v>
      </c>
      <c r="E479" s="12" t="s">
        <v>328</v>
      </c>
      <c r="F479" s="13" t="n">
        <f aca="false">COUNTIFS(高中!$A:$A,$B479,高中!$E:$E,$C479,高中!$F:$F,"&lt;&gt;",高中!$C:$C,$D479,高中!$D:$D,$E479)</f>
        <v>0</v>
      </c>
      <c r="G479" s="13" t="str">
        <f aca="false">IF(F479&gt;0,"已查到","未查到")</f>
        <v>未查到</v>
      </c>
    </row>
    <row r="480" customFormat="false" ht="15" hidden="false" customHeight="false" outlineLevel="0" collapsed="false">
      <c r="A480" s="12" t="s">
        <v>325</v>
      </c>
      <c r="B480" s="12" t="s">
        <v>796</v>
      </c>
      <c r="C480" s="12" t="s">
        <v>256</v>
      </c>
      <c r="D480" s="13" t="s">
        <v>329</v>
      </c>
      <c r="E480" s="12" t="s">
        <v>330</v>
      </c>
      <c r="F480" s="13" t="n">
        <f aca="false">COUNTIFS(高中!$A:$A,$B480,高中!$E:$E,$C480,高中!$F:$F,"&lt;&gt;",高中!$C:$C,$D480,高中!$D:$D,$E480)</f>
        <v>0</v>
      </c>
      <c r="G480" s="13" t="str">
        <f aca="false">IF(F480&gt;0,"已查到","未查到")</f>
        <v>未查到</v>
      </c>
    </row>
    <row r="481" customFormat="false" ht="15" hidden="false" customHeight="false" outlineLevel="0" collapsed="false">
      <c r="A481" s="12" t="s">
        <v>325</v>
      </c>
      <c r="B481" s="12" t="s">
        <v>796</v>
      </c>
      <c r="C481" s="12" t="s">
        <v>256</v>
      </c>
      <c r="D481" s="13"/>
      <c r="E481" s="12" t="s">
        <v>397</v>
      </c>
      <c r="F481" s="13" t="n">
        <f aca="false">COUNTIFS(高中!$A:$A,$B481,高中!$E:$E,$C481,高中!$F:$F,"&lt;&gt;",高中!$C:$C,"",高中!$D:$D,$E481)</f>
        <v>0</v>
      </c>
      <c r="G481" s="13" t="str">
        <f aca="false">IF(F481&gt;0,"已查到","未查到")</f>
        <v>未查到</v>
      </c>
    </row>
    <row r="482" customFormat="false" ht="15" hidden="false" customHeight="false" outlineLevel="0" collapsed="false">
      <c r="A482" s="12" t="s">
        <v>325</v>
      </c>
      <c r="B482" s="12" t="s">
        <v>796</v>
      </c>
      <c r="C482" s="12" t="s">
        <v>256</v>
      </c>
      <c r="D482" s="13"/>
      <c r="E482" s="12" t="s">
        <v>398</v>
      </c>
      <c r="F482" s="13" t="n">
        <f aca="false">COUNTIFS(高中!$A:$A,$B482,高中!$E:$E,$C482,高中!$F:$F,"&lt;&gt;",高中!$C:$C,"",高中!$D:$D,$E482)</f>
        <v>0</v>
      </c>
      <c r="G482" s="13" t="str">
        <f aca="false">IF(F482&gt;0,"已查到","未查到")</f>
        <v>未查到</v>
      </c>
    </row>
    <row r="483" customFormat="false" ht="15" hidden="false" customHeight="false" outlineLevel="0" collapsed="false">
      <c r="A483" s="12" t="s">
        <v>325</v>
      </c>
      <c r="B483" s="12" t="s">
        <v>796</v>
      </c>
      <c r="C483" s="12" t="s">
        <v>256</v>
      </c>
      <c r="D483" s="13"/>
      <c r="E483" s="12" t="s">
        <v>399</v>
      </c>
      <c r="F483" s="13" t="n">
        <f aca="false">COUNTIFS(高中!$A:$A,$B483,高中!$E:$E,$C483,高中!$F:$F,"&lt;&gt;",高中!$C:$C,"",高中!$D:$D,$E483)</f>
        <v>0</v>
      </c>
      <c r="G483" s="13" t="str">
        <f aca="false">IF(F483&gt;0,"已查到","未查到")</f>
        <v>未查到</v>
      </c>
    </row>
    <row r="484" customFormat="false" ht="15" hidden="false" customHeight="false" outlineLevel="0" collapsed="false">
      <c r="A484" s="12" t="s">
        <v>325</v>
      </c>
      <c r="B484" s="12" t="s">
        <v>796</v>
      </c>
      <c r="C484" s="12" t="s">
        <v>257</v>
      </c>
      <c r="D484" s="13" t="s">
        <v>326</v>
      </c>
      <c r="E484" s="12" t="s">
        <v>327</v>
      </c>
      <c r="F484" s="13" t="n">
        <f aca="false">COUNTIFS(高中!$A:$A,$B484,高中!$E:$E,$C484,高中!$F:$F,"&lt;&gt;",高中!$C:$C,$D484,高中!$D:$D,$E484)</f>
        <v>0</v>
      </c>
      <c r="G484" s="13" t="str">
        <f aca="false">IF(F484&gt;0,"已查到","未查到")</f>
        <v>未查到</v>
      </c>
    </row>
    <row r="485" customFormat="false" ht="15" hidden="false" customHeight="false" outlineLevel="0" collapsed="false">
      <c r="A485" s="12" t="s">
        <v>325</v>
      </c>
      <c r="B485" s="12" t="s">
        <v>796</v>
      </c>
      <c r="C485" s="12" t="s">
        <v>257</v>
      </c>
      <c r="D485" s="13" t="s">
        <v>326</v>
      </c>
      <c r="E485" s="12" t="s">
        <v>328</v>
      </c>
      <c r="F485" s="13" t="n">
        <f aca="false">COUNTIFS(高中!$A:$A,$B485,高中!$E:$E,$C485,高中!$F:$F,"&lt;&gt;",高中!$C:$C,$D485,高中!$D:$D,$E485)</f>
        <v>0</v>
      </c>
      <c r="G485" s="13" t="str">
        <f aca="false">IF(F485&gt;0,"已查到","未查到")</f>
        <v>未查到</v>
      </c>
    </row>
    <row r="486" customFormat="false" ht="15" hidden="false" customHeight="false" outlineLevel="0" collapsed="false">
      <c r="A486" s="12" t="s">
        <v>325</v>
      </c>
      <c r="B486" s="12" t="s">
        <v>796</v>
      </c>
      <c r="C486" s="12" t="s">
        <v>257</v>
      </c>
      <c r="D486" s="13" t="s">
        <v>329</v>
      </c>
      <c r="E486" s="12" t="s">
        <v>330</v>
      </c>
      <c r="F486" s="13" t="n">
        <f aca="false">COUNTIFS(高中!$A:$A,$B486,高中!$E:$E,$C486,高中!$F:$F,"&lt;&gt;",高中!$C:$C,$D486,高中!$D:$D,$E486)</f>
        <v>0</v>
      </c>
      <c r="G486" s="13" t="str">
        <f aca="false">IF(F486&gt;0,"已查到","未查到")</f>
        <v>未查到</v>
      </c>
    </row>
    <row r="487" customFormat="false" ht="15" hidden="false" customHeight="false" outlineLevel="0" collapsed="false">
      <c r="A487" s="12" t="s">
        <v>325</v>
      </c>
      <c r="B487" s="12" t="s">
        <v>796</v>
      </c>
      <c r="C487" s="12" t="s">
        <v>257</v>
      </c>
      <c r="D487" s="13"/>
      <c r="E487" s="12" t="s">
        <v>400</v>
      </c>
      <c r="F487" s="13" t="n">
        <f aca="false">COUNTIFS(高中!$A:$A,$B487,高中!$E:$E,$C487,高中!$F:$F,"&lt;&gt;",高中!$C:$C,"",高中!$D:$D,$E487)</f>
        <v>0</v>
      </c>
      <c r="G487" s="13" t="str">
        <f aca="false">IF(F487&gt;0,"已查到","未查到")</f>
        <v>未查到</v>
      </c>
    </row>
    <row r="488" customFormat="false" ht="15" hidden="false" customHeight="false" outlineLevel="0" collapsed="false">
      <c r="A488" s="12" t="s">
        <v>325</v>
      </c>
      <c r="B488" s="12" t="s">
        <v>796</v>
      </c>
      <c r="C488" s="12" t="s">
        <v>257</v>
      </c>
      <c r="D488" s="13"/>
      <c r="E488" s="12" t="s">
        <v>401</v>
      </c>
      <c r="F488" s="13" t="n">
        <f aca="false">COUNTIFS(高中!$A:$A,$B488,高中!$E:$E,$C488,高中!$F:$F,"&lt;&gt;",高中!$C:$C,"",高中!$D:$D,$E488)</f>
        <v>0</v>
      </c>
      <c r="G488" s="13" t="str">
        <f aca="false">IF(F488&gt;0,"已查到","未查到")</f>
        <v>未查到</v>
      </c>
    </row>
    <row r="489" customFormat="false" ht="15" hidden="false" customHeight="false" outlineLevel="0" collapsed="false">
      <c r="A489" s="12" t="s">
        <v>325</v>
      </c>
      <c r="B489" s="12" t="s">
        <v>796</v>
      </c>
      <c r="C489" s="12" t="s">
        <v>257</v>
      </c>
      <c r="D489" s="13"/>
      <c r="E489" s="12" t="s">
        <v>402</v>
      </c>
      <c r="F489" s="13" t="n">
        <f aca="false">COUNTIFS(高中!$A:$A,$B489,高中!$E:$E,$C489,高中!$F:$F,"&lt;&gt;",高中!$C:$C,"",高中!$D:$D,$E489)</f>
        <v>0</v>
      </c>
      <c r="G489" s="13" t="str">
        <f aca="false">IF(F489&gt;0,"已查到","未查到")</f>
        <v>未查到</v>
      </c>
    </row>
    <row r="490" customFormat="false" ht="15" hidden="false" customHeight="false" outlineLevel="0" collapsed="false">
      <c r="A490" s="12" t="s">
        <v>325</v>
      </c>
      <c r="B490" s="12" t="s">
        <v>796</v>
      </c>
      <c r="C490" s="12" t="s">
        <v>403</v>
      </c>
      <c r="D490" s="13" t="s">
        <v>326</v>
      </c>
      <c r="E490" s="12" t="s">
        <v>327</v>
      </c>
      <c r="F490" s="13" t="n">
        <f aca="false">COUNTIFS(高中!$A:$A,$B490,高中!$E:$E,$C490,高中!$F:$F,"&lt;&gt;",高中!$C:$C,$D490,高中!$D:$D,$E490)</f>
        <v>0</v>
      </c>
      <c r="G490" s="13" t="str">
        <f aca="false">IF(F490&gt;0,"已查到","未查到")</f>
        <v>未查到</v>
      </c>
    </row>
    <row r="491" customFormat="false" ht="15" hidden="false" customHeight="false" outlineLevel="0" collapsed="false">
      <c r="A491" s="12" t="s">
        <v>325</v>
      </c>
      <c r="B491" s="12" t="s">
        <v>796</v>
      </c>
      <c r="C491" s="12" t="s">
        <v>403</v>
      </c>
      <c r="D491" s="13" t="s">
        <v>326</v>
      </c>
      <c r="E491" s="12" t="s">
        <v>328</v>
      </c>
      <c r="F491" s="13" t="n">
        <f aca="false">COUNTIFS(高中!$A:$A,$B491,高中!$E:$E,$C491,高中!$F:$F,"&lt;&gt;",高中!$C:$C,$D491,高中!$D:$D,$E491)</f>
        <v>0</v>
      </c>
      <c r="G491" s="13" t="str">
        <f aca="false">IF(F491&gt;0,"已查到","未查到")</f>
        <v>未查到</v>
      </c>
    </row>
    <row r="492" customFormat="false" ht="15" hidden="false" customHeight="false" outlineLevel="0" collapsed="false">
      <c r="A492" s="12" t="s">
        <v>325</v>
      </c>
      <c r="B492" s="12" t="s">
        <v>796</v>
      </c>
      <c r="C492" s="12" t="s">
        <v>403</v>
      </c>
      <c r="D492" s="13" t="s">
        <v>329</v>
      </c>
      <c r="E492" s="12" t="s">
        <v>330</v>
      </c>
      <c r="F492" s="13" t="n">
        <f aca="false">COUNTIFS(高中!$A:$A,$B492,高中!$E:$E,$C492,高中!$F:$F,"&lt;&gt;",高中!$C:$C,$D492,高中!$D:$D,$E492)</f>
        <v>0</v>
      </c>
      <c r="G492" s="13" t="str">
        <f aca="false">IF(F492&gt;0,"已查到","未查到")</f>
        <v>未查到</v>
      </c>
    </row>
    <row r="493" customFormat="false" ht="15" hidden="false" customHeight="false" outlineLevel="0" collapsed="false">
      <c r="A493" s="12" t="s">
        <v>325</v>
      </c>
      <c r="B493" s="12" t="s">
        <v>796</v>
      </c>
      <c r="C493" s="12" t="s">
        <v>403</v>
      </c>
      <c r="D493" s="13"/>
      <c r="E493" s="12" t="s">
        <v>404</v>
      </c>
      <c r="F493" s="13" t="n">
        <f aca="false">COUNTIFS(高中!$A:$A,$B493,高中!$E:$E,$C493,高中!$F:$F,"&lt;&gt;",高中!$C:$C,"",高中!$D:$D,$E493)</f>
        <v>0</v>
      </c>
      <c r="G493" s="13" t="str">
        <f aca="false">IF(F493&gt;0,"已查到","未查到")</f>
        <v>未查到</v>
      </c>
    </row>
    <row r="494" customFormat="false" ht="15" hidden="false" customHeight="false" outlineLevel="0" collapsed="false">
      <c r="A494" s="12" t="s">
        <v>325</v>
      </c>
      <c r="B494" s="12" t="s">
        <v>796</v>
      </c>
      <c r="C494" s="12" t="s">
        <v>403</v>
      </c>
      <c r="D494" s="13"/>
      <c r="E494" s="12" t="s">
        <v>405</v>
      </c>
      <c r="F494" s="13" t="n">
        <f aca="false">COUNTIFS(高中!$A:$A,$B494,高中!$E:$E,$C494,高中!$F:$F,"&lt;&gt;",高中!$C:$C,"",高中!$D:$D,$E494)</f>
        <v>0</v>
      </c>
      <c r="G494" s="13" t="str">
        <f aca="false">IF(F494&gt;0,"已查到","未查到")</f>
        <v>未查到</v>
      </c>
    </row>
    <row r="495" customFormat="false" ht="15" hidden="false" customHeight="false" outlineLevel="0" collapsed="false">
      <c r="A495" s="12" t="s">
        <v>325</v>
      </c>
      <c r="B495" s="12" t="s">
        <v>796</v>
      </c>
      <c r="C495" s="12" t="s">
        <v>403</v>
      </c>
      <c r="D495" s="13"/>
      <c r="E495" s="12" t="s">
        <v>406</v>
      </c>
      <c r="F495" s="13" t="n">
        <f aca="false">COUNTIFS(高中!$A:$A,$B495,高中!$E:$E,$C495,高中!$F:$F,"&lt;&gt;",高中!$C:$C,"",高中!$D:$D,$E495)</f>
        <v>0</v>
      </c>
      <c r="G495" s="13" t="str">
        <f aca="false">IF(F495&gt;0,"已查到","未查到")</f>
        <v>未查到</v>
      </c>
    </row>
  </sheetData>
  <autoFilter ref="A1:G49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2026-10-19T13:03:09Z</dcterms:created>
  <dc:creator>openpyxl</dc:creator>
  <dc:description/>
  <dc:language>en-US</dc:language>
  <cp:lastModifiedBy/>
  <dcterms:modified xsi:type="dcterms:W3CDTF">2026-10-19T13:03:10Z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