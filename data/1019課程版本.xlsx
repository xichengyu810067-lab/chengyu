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國中" sheetId="2" state="visible" r:id="rId2"/>
    <sheet xmlns:r="http://schemas.openxmlformats.org/officeDocument/2006/relationships" name="高中" sheetId="3" state="visible" r:id="rId3"/>
    <sheet xmlns:r="http://schemas.openxmlformats.org/officeDocument/2006/relationships" name="涵蓋總覽" sheetId="4" state="visible" r:id="rId4"/>
  </sheets>
  <definedNames>
    <definedName name="_xlnm._FilterDatabase" localSheetId="1" hidden="1">'國中'!$A$1:$K$410</definedName>
    <definedName name="_xlnm._FilterDatabase" localSheetId="2" hidden="1">'高中'!$A$1:$K$533</definedName>
    <definedName name="_xlnm._FilterDatabase" localSheetId="3" hidden="1">'涵蓋總覽'!$A$1:$G$495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es.google.com/hanlin.com.tw/112chwebppt/1%E4%B8%8A" TargetMode="External" Id="rId1"/><Relationship Type="http://schemas.openxmlformats.org/officeDocument/2006/relationships/hyperlink" Target="https://sites.google.com/hanlin.com.tw/112chwebppt/1%E4%B8%8A" TargetMode="External" Id="rId2"/><Relationship Type="http://schemas.openxmlformats.org/officeDocument/2006/relationships/hyperlink" Target="https://sites.google.com/hanlin.com.tw/112chwebppt/1%E4%B8%8A" TargetMode="External" Id="rId3"/><Relationship Type="http://schemas.openxmlformats.org/officeDocument/2006/relationships/hyperlink" Target="https://sites.google.com/hanlin.com.tw/112chwebppt/1%E4%B8%8A" TargetMode="External" Id="rId4"/><Relationship Type="http://schemas.openxmlformats.org/officeDocument/2006/relationships/hyperlink" Target="https://sites.google.com/hanlin.com.tw/112chwebppt/1%E4%B8%8A" TargetMode="External" Id="rId5"/><Relationship Type="http://schemas.openxmlformats.org/officeDocument/2006/relationships/hyperlink" Target="https://sites.google.com/hanlin.com.tw/112chwebppt/1%E4%B8%8A" TargetMode="External" Id="rId6"/><Relationship Type="http://schemas.openxmlformats.org/officeDocument/2006/relationships/hyperlink" Target="https://sites.google.com/hanlin.com.tw/112chwebppt/1%E4%B8%8A" TargetMode="External" Id="rId7"/><Relationship Type="http://schemas.openxmlformats.org/officeDocument/2006/relationships/hyperlink" Target="https://sites.google.com/hanlin.com.tw/112chwebppt/1%E4%B8%8A" TargetMode="External" Id="rId8"/><Relationship Type="http://schemas.openxmlformats.org/officeDocument/2006/relationships/hyperlink" Target="https://sites.google.com/hanlin.com.tw/112chwebppt/1%E4%B8%8A" TargetMode="External" Id="rId9"/><Relationship Type="http://schemas.openxmlformats.org/officeDocument/2006/relationships/hyperlink" Target="https://sites.google.com/hanlin.com.tw/112chwebppt/1%E4%B8%8A" TargetMode="External" Id="rId10"/><Relationship Type="http://schemas.openxmlformats.org/officeDocument/2006/relationships/hyperlink" Target="https://sites.google.com/hanlin.com.tw/112chwebppt/1%E4%B8%8A" TargetMode="External" Id="rId11"/><Relationship Type="http://schemas.openxmlformats.org/officeDocument/2006/relationships/hyperlink" Target="https://sites.google.com/hanlin.com.tw/112chwebppt/1%E4%B8%8A" TargetMode="External" Id="rId12"/><Relationship Type="http://schemas.openxmlformats.org/officeDocument/2006/relationships/hyperlink" Target="https://sites.google.com/hanlin.com.tw/112chwebppt/1%E4%B8%8A" TargetMode="External" Id="rId13"/><Relationship Type="http://schemas.openxmlformats.org/officeDocument/2006/relationships/hyperlink" Target="https://sites.google.com/hanlin.com.tw/112chwebppt/1%E4%B8%8A" TargetMode="External" Id="rId14"/><Relationship Type="http://schemas.openxmlformats.org/officeDocument/2006/relationships/hyperlink" Target="https://sites.google.com/hanlin.com.tw/112chwebppt/1%E4%B8%8A" TargetMode="External" Id="rId15"/><Relationship Type="http://schemas.openxmlformats.org/officeDocument/2006/relationships/hyperlink" Target="https://sites.google.com/hanlin.com.tw/112chwebppt/1%E4%B8%8B" TargetMode="External" Id="rId16"/><Relationship Type="http://schemas.openxmlformats.org/officeDocument/2006/relationships/hyperlink" Target="https://sites.google.com/hanlin.com.tw/112chwebppt/1%E4%B8%8B" TargetMode="External" Id="rId17"/><Relationship Type="http://schemas.openxmlformats.org/officeDocument/2006/relationships/hyperlink" Target="https://sites.google.com/hanlin.com.tw/112chwebppt/1%E4%B8%8B" TargetMode="External" Id="rId18"/><Relationship Type="http://schemas.openxmlformats.org/officeDocument/2006/relationships/hyperlink" Target="https://sites.google.com/hanlin.com.tw/112chwebppt/1%E4%B8%8B" TargetMode="External" Id="rId19"/><Relationship Type="http://schemas.openxmlformats.org/officeDocument/2006/relationships/hyperlink" Target="https://sites.google.com/hanlin.com.tw/112chwebppt/1%E4%B8%8B" TargetMode="External" Id="rId20"/><Relationship Type="http://schemas.openxmlformats.org/officeDocument/2006/relationships/hyperlink" Target="https://sites.google.com/hanlin.com.tw/112chwebppt/1%E4%B8%8B" TargetMode="External" Id="rId21"/><Relationship Type="http://schemas.openxmlformats.org/officeDocument/2006/relationships/hyperlink" Target="https://sites.google.com/hanlin.com.tw/112chwebppt/1%E4%B8%8B" TargetMode="External" Id="rId22"/><Relationship Type="http://schemas.openxmlformats.org/officeDocument/2006/relationships/hyperlink" Target="https://sites.google.com/hanlin.com.tw/112chwebppt/1%E4%B8%8B" TargetMode="External" Id="rId23"/><Relationship Type="http://schemas.openxmlformats.org/officeDocument/2006/relationships/hyperlink" Target="https://sites.google.com/hanlin.com.tw/112chwebppt/1%E4%B8%8B" TargetMode="External" Id="rId24"/><Relationship Type="http://schemas.openxmlformats.org/officeDocument/2006/relationships/hyperlink" Target="https://sites.google.com/hanlin.com.tw/112chwebppt/1%E4%B8%8B" TargetMode="External" Id="rId25"/><Relationship Type="http://schemas.openxmlformats.org/officeDocument/2006/relationships/hyperlink" Target="https://sites.google.com/hanlin.com.tw/112chwebppt/1%E4%B8%8B" TargetMode="External" Id="rId26"/><Relationship Type="http://schemas.openxmlformats.org/officeDocument/2006/relationships/hyperlink" Target="https://sites.google.com/hanlin.com.tw/112chwebppt/1%E4%B8%8B" TargetMode="External" Id="rId27"/><Relationship Type="http://schemas.openxmlformats.org/officeDocument/2006/relationships/hyperlink" Target="https://sites.google.com/hanlin.com.tw/112chwebppt/1%E4%B8%8B" TargetMode="External" Id="rId28"/><Relationship Type="http://schemas.openxmlformats.org/officeDocument/2006/relationships/hyperlink" Target="https://sites.google.com/hanlin.com.tw/112chwebppt/1%E4%B8%8B" TargetMode="External" Id="rId29"/><Relationship Type="http://schemas.openxmlformats.org/officeDocument/2006/relationships/hyperlink" Target="https://sites.google.com/hanlin.com.tw/112chwebppt/2%E4%B8%8A" TargetMode="External" Id="rId30"/><Relationship Type="http://schemas.openxmlformats.org/officeDocument/2006/relationships/hyperlink" Target="https://sites.google.com/hanlin.com.tw/112chwebppt/2%E4%B8%8A" TargetMode="External" Id="rId31"/><Relationship Type="http://schemas.openxmlformats.org/officeDocument/2006/relationships/hyperlink" Target="https://sites.google.com/hanlin.com.tw/112chwebppt/2%E4%B8%8A" TargetMode="External" Id="rId32"/><Relationship Type="http://schemas.openxmlformats.org/officeDocument/2006/relationships/hyperlink" Target="https://sites.google.com/hanlin.com.tw/112chwebppt/2%E4%B8%8A" TargetMode="External" Id="rId33"/><Relationship Type="http://schemas.openxmlformats.org/officeDocument/2006/relationships/hyperlink" Target="https://sites.google.com/hanlin.com.tw/112chwebppt/2%E4%B8%8A" TargetMode="External" Id="rId34"/><Relationship Type="http://schemas.openxmlformats.org/officeDocument/2006/relationships/hyperlink" Target="https://sites.google.com/hanlin.com.tw/112chwebppt/2%E4%B8%8A" TargetMode="External" Id="rId35"/><Relationship Type="http://schemas.openxmlformats.org/officeDocument/2006/relationships/hyperlink" Target="https://sites.google.com/hanlin.com.tw/112chwebppt/2%E4%B8%8A" TargetMode="External" Id="rId36"/><Relationship Type="http://schemas.openxmlformats.org/officeDocument/2006/relationships/hyperlink" Target="https://sites.google.com/hanlin.com.tw/112chwebppt/2%E4%B8%8A" TargetMode="External" Id="rId37"/><Relationship Type="http://schemas.openxmlformats.org/officeDocument/2006/relationships/hyperlink" Target="https://sites.google.com/hanlin.com.tw/112chwebppt/2%E4%B8%8A" TargetMode="External" Id="rId38"/><Relationship Type="http://schemas.openxmlformats.org/officeDocument/2006/relationships/hyperlink" Target="https://sites.google.com/hanlin.com.tw/112chwebppt/2%E4%B8%8A" TargetMode="External" Id="rId39"/><Relationship Type="http://schemas.openxmlformats.org/officeDocument/2006/relationships/hyperlink" Target="https://sites.google.com/hanlin.com.tw/112chwebppt/2%E4%B8%8A" TargetMode="External" Id="rId40"/><Relationship Type="http://schemas.openxmlformats.org/officeDocument/2006/relationships/hyperlink" Target="https://sites.google.com/hanlin.com.tw/112chwebppt/2%E4%B8%8A" TargetMode="External" Id="rId41"/><Relationship Type="http://schemas.openxmlformats.org/officeDocument/2006/relationships/hyperlink" Target="https://sites.google.com/hanlin.com.tw/112chwebppt/2%E4%B8%8A" TargetMode="External" Id="rId42"/><Relationship Type="http://schemas.openxmlformats.org/officeDocument/2006/relationships/hyperlink" Target="https://sites.google.com/hanlin.com.tw/112chwebppt/2%E4%B8%8A" TargetMode="External" Id="rId43"/><Relationship Type="http://schemas.openxmlformats.org/officeDocument/2006/relationships/hyperlink" Target="https://sites.google.com/hanlin.com.tw/112chwebppt/2%E4%B8%8A" TargetMode="External" Id="rId44"/><Relationship Type="http://schemas.openxmlformats.org/officeDocument/2006/relationships/hyperlink" Target="https://sites.google.com/hanlin.com.tw/112chwebppt/2%E4%B8%8B" TargetMode="External" Id="rId45"/><Relationship Type="http://schemas.openxmlformats.org/officeDocument/2006/relationships/hyperlink" Target="https://sites.google.com/hanlin.com.tw/112chwebppt/2%E4%B8%8B" TargetMode="External" Id="rId46"/><Relationship Type="http://schemas.openxmlformats.org/officeDocument/2006/relationships/hyperlink" Target="https://sites.google.com/hanlin.com.tw/112chwebppt/2%E4%B8%8B" TargetMode="External" Id="rId47"/><Relationship Type="http://schemas.openxmlformats.org/officeDocument/2006/relationships/hyperlink" Target="https://sites.google.com/hanlin.com.tw/112chwebppt/2%E4%B8%8B" TargetMode="External" Id="rId48"/><Relationship Type="http://schemas.openxmlformats.org/officeDocument/2006/relationships/hyperlink" Target="https://sites.google.com/hanlin.com.tw/112chwebppt/2%E4%B8%8B" TargetMode="External" Id="rId49"/><Relationship Type="http://schemas.openxmlformats.org/officeDocument/2006/relationships/hyperlink" Target="https://sites.google.com/hanlin.com.tw/112chwebppt/2%E4%B8%8B" TargetMode="External" Id="rId50"/><Relationship Type="http://schemas.openxmlformats.org/officeDocument/2006/relationships/hyperlink" Target="https://sites.google.com/hanlin.com.tw/112chwebppt/2%E4%B8%8B" TargetMode="External" Id="rId51"/><Relationship Type="http://schemas.openxmlformats.org/officeDocument/2006/relationships/hyperlink" Target="https://sites.google.com/hanlin.com.tw/112chwebppt/2%E4%B8%8B" TargetMode="External" Id="rId52"/><Relationship Type="http://schemas.openxmlformats.org/officeDocument/2006/relationships/hyperlink" Target="https://sites.google.com/hanlin.com.tw/112chwebppt/2%E4%B8%8B" TargetMode="External" Id="rId53"/><Relationship Type="http://schemas.openxmlformats.org/officeDocument/2006/relationships/hyperlink" Target="https://sites.google.com/hanlin.com.tw/112chwebppt/2%E4%B8%8B" TargetMode="External" Id="rId54"/><Relationship Type="http://schemas.openxmlformats.org/officeDocument/2006/relationships/hyperlink" Target="https://sites.google.com/hanlin.com.tw/112chwebppt/2%E4%B8%8B" TargetMode="External" Id="rId55"/><Relationship Type="http://schemas.openxmlformats.org/officeDocument/2006/relationships/hyperlink" Target="https://sites.google.com/hanlin.com.tw/112chwebppt/2%E4%B8%8B" TargetMode="External" Id="rId56"/><Relationship Type="http://schemas.openxmlformats.org/officeDocument/2006/relationships/hyperlink" Target="https://sites.google.com/hanlin.com.tw/112chwebppt/2%E4%B8%8B" TargetMode="External" Id="rId57"/><Relationship Type="http://schemas.openxmlformats.org/officeDocument/2006/relationships/hyperlink" Target="https://sites.google.com/hanlin.com.tw/112chwebppt/2%E4%B8%8B" TargetMode="External" Id="rId58"/><Relationship Type="http://schemas.openxmlformats.org/officeDocument/2006/relationships/hyperlink" Target="https://sites.google.com/hanlin.com.tw/112chwebppt/2%E4%B8%8B" TargetMode="External" Id="rId59"/><Relationship Type="http://schemas.openxmlformats.org/officeDocument/2006/relationships/hyperlink" Target="https://sites.google.com/hanlin.com.tw/112chwebppt/3%E4%B8%8A" TargetMode="External" Id="rId60"/><Relationship Type="http://schemas.openxmlformats.org/officeDocument/2006/relationships/hyperlink" Target="https://sites.google.com/hanlin.com.tw/112chwebppt/3%E4%B8%8A" TargetMode="External" Id="rId61"/><Relationship Type="http://schemas.openxmlformats.org/officeDocument/2006/relationships/hyperlink" Target="https://sites.google.com/hanlin.com.tw/112chwebppt/3%E4%B8%8A" TargetMode="External" Id="rId62"/><Relationship Type="http://schemas.openxmlformats.org/officeDocument/2006/relationships/hyperlink" Target="https://sites.google.com/hanlin.com.tw/112chwebppt/3%E4%B8%8A" TargetMode="External" Id="rId63"/><Relationship Type="http://schemas.openxmlformats.org/officeDocument/2006/relationships/hyperlink" Target="https://sites.google.com/hanlin.com.tw/112chwebppt/3%E4%B8%8A" TargetMode="External" Id="rId64"/><Relationship Type="http://schemas.openxmlformats.org/officeDocument/2006/relationships/hyperlink" Target="https://sites.google.com/hanlin.com.tw/112chwebppt/3%E4%B8%8A" TargetMode="External" Id="rId65"/><Relationship Type="http://schemas.openxmlformats.org/officeDocument/2006/relationships/hyperlink" Target="https://sites.google.com/hanlin.com.tw/112chwebppt/3%E4%B8%8A" TargetMode="External" Id="rId66"/><Relationship Type="http://schemas.openxmlformats.org/officeDocument/2006/relationships/hyperlink" Target="https://sites.google.com/hanlin.com.tw/112chwebppt/3%E4%B8%8A" TargetMode="External" Id="rId67"/><Relationship Type="http://schemas.openxmlformats.org/officeDocument/2006/relationships/hyperlink" Target="https://sites.google.com/hanlin.com.tw/112chwebppt/3%E4%B8%8A" TargetMode="External" Id="rId68"/><Relationship Type="http://schemas.openxmlformats.org/officeDocument/2006/relationships/hyperlink" Target="https://sites.google.com/hanlin.com.tw/112chwebppt/3%E4%B8%8A" TargetMode="External" Id="rId69"/><Relationship Type="http://schemas.openxmlformats.org/officeDocument/2006/relationships/hyperlink" Target="https://sites.google.com/hanlin.com.tw/112chwebppt/3%E4%B8%8A" TargetMode="External" Id="rId70"/><Relationship Type="http://schemas.openxmlformats.org/officeDocument/2006/relationships/hyperlink" Target="https://sites.google.com/hanlin.com.tw/112chwebppt/3%E4%B8%8A" TargetMode="External" Id="rId71"/><Relationship Type="http://schemas.openxmlformats.org/officeDocument/2006/relationships/hyperlink" Target="https://sites.google.com/hanlin.com.tw/112chwebppt/3%E4%B8%8A" TargetMode="External" Id="rId72"/><Relationship Type="http://schemas.openxmlformats.org/officeDocument/2006/relationships/hyperlink" Target="https://sites.google.com/hanlin.com.tw/112chwebppt/3%E4%B8%8B" TargetMode="External" Id="rId73"/><Relationship Type="http://schemas.openxmlformats.org/officeDocument/2006/relationships/hyperlink" Target="https://sites.google.com/hanlin.com.tw/112chwebppt/3%E4%B8%8B" TargetMode="External" Id="rId74"/><Relationship Type="http://schemas.openxmlformats.org/officeDocument/2006/relationships/hyperlink" Target="https://sites.google.com/hanlin.com.tw/112chwebppt/3%E4%B8%8B" TargetMode="External" Id="rId75"/><Relationship Type="http://schemas.openxmlformats.org/officeDocument/2006/relationships/hyperlink" Target="https://sites.google.com/hanlin.com.tw/112chwebppt/3%E4%B8%8B" TargetMode="External" Id="rId76"/><Relationship Type="http://schemas.openxmlformats.org/officeDocument/2006/relationships/hyperlink" Target="https://sites.google.com/hanlin.com.tw/112chwebppt/3%E4%B8%8B" TargetMode="External" Id="rId77"/><Relationship Type="http://schemas.openxmlformats.org/officeDocument/2006/relationships/hyperlink" Target="https://sites.google.com/hanlin.com.tw/112chwebppt/3%E4%B8%8B" TargetMode="External" Id="rId78"/><Relationship Type="http://schemas.openxmlformats.org/officeDocument/2006/relationships/hyperlink" Target="https://sites.google.com/hanlin.com.tw/112chwebppt/3%E4%B8%8B" TargetMode="External" Id="rId79"/><Relationship Type="http://schemas.openxmlformats.org/officeDocument/2006/relationships/hyperlink" Target="https://sites.google.com/hanlin.com.tw/112chwebppt/3%E4%B8%8B" TargetMode="External" Id="rId80"/><Relationship Type="http://schemas.openxmlformats.org/officeDocument/2006/relationships/hyperlink" Target="https://sites.google.com/hanlin.com.tw/112chwebppt/3%E4%B8%8B" TargetMode="External" Id="rId8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3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7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6"/><Relationship Type="http://schemas.openxmlformats.org/officeDocument/2006/relationships/hyperlink" Target="https://www.nmjh.tp.edu.tw/wp-content/uploads/doc/nmjh332/114&#19971;&#24180;&#32026;&#22283;&#35486;&#25991;&#38936;&#22495;.pdf" TargetMode="External" Id="rId277"/><Relationship Type="http://schemas.openxmlformats.org/officeDocument/2006/relationships/hyperlink" Target="https://acerksy.pixnet.net/blog/posts/14220018170" TargetMode="External" Id="rId278"/><Relationship Type="http://schemas.openxmlformats.org/officeDocument/2006/relationships/hyperlink" Target="https://acerksy.pixnet.net/blog/posts/14220018170" TargetMode="External" Id="rId279"/><Relationship Type="http://schemas.openxmlformats.org/officeDocument/2006/relationships/hyperlink" Target="https://acerksy.pixnet.net/blog/posts/14220018170" TargetMode="External" Id="rId280"/><Relationship Type="http://schemas.openxmlformats.org/officeDocument/2006/relationships/hyperlink" Target="https://digitalmaster.knsh.com.tw/all/video/j/mandarin_page.html?l1=8%E4%B8%8B&amp;l2=%E8%87%AA%E4%B8%80%E3%80%80%E9%81%8B%E5%8B%95%E5%AE%B6%E7%9A%84%E9%A2%A8%E5%BA%A6" TargetMode="External" Id="rId281"/><Relationship Type="http://schemas.openxmlformats.org/officeDocument/2006/relationships/hyperlink" Target="https://www.learnmode.net/course/592128/content" TargetMode="External" Id="rId282"/><Relationship Type="http://schemas.openxmlformats.org/officeDocument/2006/relationships/hyperlink" Target="https://www.learnmode.net/course/592128/content" TargetMode="External" Id="rId283"/><Relationship Type="http://schemas.openxmlformats.org/officeDocument/2006/relationships/hyperlink" Target="https://www.learnmode.net/course/592128/content" TargetMode="External" Id="rId284"/><Relationship Type="http://schemas.openxmlformats.org/officeDocument/2006/relationships/hyperlink" Target="https://www.junyiacademy.org/topics/k-m7a" TargetMode="External" Id="rId285"/><Relationship Type="http://schemas.openxmlformats.org/officeDocument/2006/relationships/hyperlink" Target="https://www.junyiacademy.org/topics/k-m7a" TargetMode="External" Id="rId286"/><Relationship Type="http://schemas.openxmlformats.org/officeDocument/2006/relationships/hyperlink" Target="https://www.junyiacademy.org/topics/k-m7a" TargetMode="External" Id="rId287"/><Relationship Type="http://schemas.openxmlformats.org/officeDocument/2006/relationships/hyperlink" Target="https://www.junyiacademy.org/topics/k-m7a" TargetMode="External" Id="rId288"/><Relationship Type="http://schemas.openxmlformats.org/officeDocument/2006/relationships/hyperlink" Target="https://www.junyiacademy.org/topics/k-m7a" TargetMode="External" Id="rId289"/><Relationship Type="http://schemas.openxmlformats.org/officeDocument/2006/relationships/hyperlink" Target="https://www.junyiacademy.org/topics/k-m7a" TargetMode="External" Id="rId290"/><Relationship Type="http://schemas.openxmlformats.org/officeDocument/2006/relationships/hyperlink" Target="https://www.junyiacademy.org/topics/k-m8a" TargetMode="External" Id="rId291"/><Relationship Type="http://schemas.openxmlformats.org/officeDocument/2006/relationships/hyperlink" Target="https://www.junyiacademy.org/topics/k-m8a" TargetMode="External" Id="rId292"/><Relationship Type="http://schemas.openxmlformats.org/officeDocument/2006/relationships/hyperlink" Target="https://www.junyiacademy.org/topics/k-m8a" TargetMode="External" Id="rId293"/><Relationship Type="http://schemas.openxmlformats.org/officeDocument/2006/relationships/hyperlink" Target="https://www.junyiacademy.org/topics/k-m8a" TargetMode="External" Id="rId294"/><Relationship Type="http://schemas.openxmlformats.org/officeDocument/2006/relationships/hyperlink" Target="https://www.junyiacademy.org/topics/k-m8a" TargetMode="External" Id="rId295"/><Relationship Type="http://schemas.openxmlformats.org/officeDocument/2006/relationships/hyperlink" Target="https://www.learnmode.net/course/638732/content" TargetMode="External" Id="rId296"/><Relationship Type="http://schemas.openxmlformats.org/officeDocument/2006/relationships/hyperlink" Target="https://www.learnmode.net/course/638732/content" TargetMode="External" Id="rId297"/><Relationship Type="http://schemas.openxmlformats.org/officeDocument/2006/relationships/hyperlink" Target="https://www.learnmode.net/course/638732/content" TargetMode="External" Id="rId298"/><Relationship Type="http://schemas.openxmlformats.org/officeDocument/2006/relationships/hyperlink" Target="https://www.learnmode.net/course/638732/content" TargetMode="External" Id="rId299"/><Relationship Type="http://schemas.openxmlformats.org/officeDocument/2006/relationships/hyperlink" Target="https://digitalmaster.knsh.com.tw/ju/math/webgames/B5.html" TargetMode="External" Id="rId300"/><Relationship Type="http://schemas.openxmlformats.org/officeDocument/2006/relationships/hyperlink" Target="https://digitalmaster.knsh.com.tw/ju/math/webgames/B5.html" TargetMode="External" Id="rId301"/><Relationship Type="http://schemas.openxmlformats.org/officeDocument/2006/relationships/hyperlink" Target="https://digitalmaster.knsh.com.tw/ju/math/webgames/B5.html" TargetMode="External" Id="rId302"/><Relationship Type="http://schemas.openxmlformats.org/officeDocument/2006/relationships/hyperlink" Target="https://digitalmaster.knsh.com.tw/all/video/j/math_page.html?l1=%E7%BF%92%E4%BD%9C%E8%A7%A3%E9%A1%8C&amp;l2=9%E4%B8%8B" TargetMode="External" Id="rId303"/><Relationship Type="http://schemas.openxmlformats.org/officeDocument/2006/relationships/hyperlink" Target="https://digitalmaster.knsh.com.tw/all/video/j/math_page.html?l1=%E7%BF%92%E4%BD%9C%E8%A7%A3%E9%A1%8C&amp;l2=9%E4%B8%8B" TargetMode="External" Id="rId304"/><Relationship Type="http://schemas.openxmlformats.org/officeDocument/2006/relationships/hyperlink" Target="https://digitalmaster.knsh.com.tw/ju/math/webgames/B6.html" TargetMode="External" Id="rId305"/><Relationship Type="http://schemas.openxmlformats.org/officeDocument/2006/relationships/hyperlink" Target="https://digitalmaster.knsh.com.tw/all/video/j/cs_page.html?l1=8%E4%B8%8B&amp;l2=%E7%AC%AC3%E8%AA%B2%E3%80%80%E7%8A%AF%E7%BD%AA%E8%88%87%E5%88%91%E7%BD%B0" TargetMode="External" Id="rId306"/><Relationship Type="http://schemas.openxmlformats.org/officeDocument/2006/relationships/hyperlink" Target="https://course.cyc.edu.tw/upfile/course110/sub1/14793292177358929.pdf" TargetMode="External" Id="rId307"/><Relationship Type="http://schemas.openxmlformats.org/officeDocument/2006/relationships/hyperlink" Target="https://course.cyc.edu.tw/upfile/course110/sub1/14793292177358929.pdf" TargetMode="External" Id="rId308"/><Relationship Type="http://schemas.openxmlformats.org/officeDocument/2006/relationships/hyperlink" Target="https://course.cyc.edu.tw/upfile/course110/sub1/14793292177358929.pdf" TargetMode="External" Id="rId309"/><Relationship Type="http://schemas.openxmlformats.org/officeDocument/2006/relationships/hyperlink" Target="https://course.cyc.edu.tw/upfile/course110/sub1/14793292177358929.pdf" TargetMode="External" Id="rId310"/><Relationship Type="http://schemas.openxmlformats.org/officeDocument/2006/relationships/hyperlink" Target="https://course.cyc.edu.tw/upfile/course110/sub1/14793292177358929.pdf" TargetMode="External" Id="rId311"/><Relationship Type="http://schemas.openxmlformats.org/officeDocument/2006/relationships/hyperlink" Target="https://course.cyc.edu.tw/upfile/course110/sub1/14793292177358929.pdf" TargetMode="External" Id="rId312"/><Relationship Type="http://schemas.openxmlformats.org/officeDocument/2006/relationships/hyperlink" Target="https://course.cyc.edu.tw/upfile/course110/sub1/14793292177358929.pdf" TargetMode="External" Id="rId313"/><Relationship Type="http://schemas.openxmlformats.org/officeDocument/2006/relationships/hyperlink" Target="https://course.cyc.edu.tw/upfile/course110/sub1/14793292177358929.pdf" TargetMode="External" Id="rId314"/><Relationship Type="http://schemas.openxmlformats.org/officeDocument/2006/relationships/hyperlink" Target="https://course.cyc.edu.tw/upfile/course110/sub1/14793292177358929.pdf" TargetMode="External" Id="rId315"/><Relationship Type="http://schemas.openxmlformats.org/officeDocument/2006/relationships/hyperlink" Target="https://www.junyiacademy.org/topics/n-m7a" TargetMode="External" Id="rId316"/><Relationship Type="http://schemas.openxmlformats.org/officeDocument/2006/relationships/hyperlink" Target="https://www.junyiacademy.org/topics/n-m7a" TargetMode="External" Id="rId317"/><Relationship Type="http://schemas.openxmlformats.org/officeDocument/2006/relationships/hyperlink" Target="https://www.junyiacademy.org/topics/n-m7a" TargetMode="External" Id="rId318"/><Relationship Type="http://schemas.openxmlformats.org/officeDocument/2006/relationships/hyperlink" Target="https://junyiacademy.org/n-m7b-c01" TargetMode="External" Id="rId319"/><Relationship Type="http://schemas.openxmlformats.org/officeDocument/2006/relationships/hyperlink" Target="https://www.junyiacademy.org/topics/n-m7a" TargetMode="External" Id="rId320"/><Relationship Type="http://schemas.openxmlformats.org/officeDocument/2006/relationships/hyperlink" Target="https://www.junyiacademy.org/topics/n-m7a" TargetMode="External" Id="rId321"/><Relationship Type="http://schemas.openxmlformats.org/officeDocument/2006/relationships/hyperlink" Target="https://www.junyiacademy.org/topics/n-m7a" TargetMode="External" Id="rId322"/><Relationship Type="http://schemas.openxmlformats.org/officeDocument/2006/relationships/hyperlink" Target="https://www.junyiacademy.org/topics/n-m7a" TargetMode="External" Id="rId323"/><Relationship Type="http://schemas.openxmlformats.org/officeDocument/2006/relationships/hyperlink" Target="https://www.junyiacademy.org/topics/n-m7a" TargetMode="External" Id="rId324"/><Relationship Type="http://schemas.openxmlformats.org/officeDocument/2006/relationships/hyperlink" Target="https://www.junyiacademy.org/topics/n-m8a" TargetMode="External" Id="rId325"/><Relationship Type="http://schemas.openxmlformats.org/officeDocument/2006/relationships/hyperlink" Target="https://www.junyiacademy.org/topics/n-m8a" TargetMode="External" Id="rId326"/><Relationship Type="http://schemas.openxmlformats.org/officeDocument/2006/relationships/hyperlink" Target="https://www.junyiacademy.org/topics/n-m8a" TargetMode="External" Id="rId327"/><Relationship Type="http://schemas.openxmlformats.org/officeDocument/2006/relationships/hyperlink" Target="https://www.junyiacademy.org/topics/n-m8a" TargetMode="External" Id="rId328"/><Relationship Type="http://schemas.openxmlformats.org/officeDocument/2006/relationships/hyperlink" Target="https://www.junyiacademy.org/topics/n-m8b-c01" TargetMode="External" Id="rId329"/><Relationship Type="http://schemas.openxmlformats.org/officeDocument/2006/relationships/hyperlink" Target="https://www.junyiacademy.org/topics/n-m8a" TargetMode="External" Id="rId330"/><Relationship Type="http://schemas.openxmlformats.org/officeDocument/2006/relationships/hyperlink" Target="https://www.junyiacademy.org/topics/n-m8b-c03" TargetMode="External" Id="rId331"/><Relationship Type="http://schemas.openxmlformats.org/officeDocument/2006/relationships/hyperlink" Target="https://www.junyiacademy.org/topics/n-m8a" TargetMode="External" Id="rId332"/><Relationship Type="http://schemas.openxmlformats.org/officeDocument/2006/relationships/hyperlink" Target="https://www.junyiacademy.org/n-m9a-c01" TargetMode="External" Id="rId333"/><Relationship Type="http://schemas.openxmlformats.org/officeDocument/2006/relationships/hyperlink" Target="https://www.junyiacademy.org/topics/math-9" TargetMode="External" Id="rId334"/><Relationship Type="http://schemas.openxmlformats.org/officeDocument/2006/relationships/hyperlink" Target="https://www.junyiacademy.org/videos/GRSPmQ04hB0?topic=course-compare%2Fmath-juni%2Fmath-9%2Fn-m9a%2Fn-m9a-c03%2Fn-m9a-c03-1" TargetMode="External" Id="rId335"/><Relationship Type="http://schemas.openxmlformats.org/officeDocument/2006/relationships/hyperlink" Target="https://www.junyiacademy.org/exercise/n-m9bch3-2-4a?parent-topic-id=n-m9b-c02-1" TargetMode="External" Id="rId336"/><Relationship Type="http://schemas.openxmlformats.org/officeDocument/2006/relationships/hyperlink" Target="https://www.junyiacademy.org/n-m9b-c03" TargetMode="External" Id="rId337"/><Relationship Type="http://schemas.openxmlformats.org/officeDocument/2006/relationships/hyperlink" Target="https://www.junyiacademy.org/exercises/njbsb7cb?topic=junyi-science%2Fscience-juni%2Ftmp_js%2Fn-s7a%2Fn-s7a-ch1" TargetMode="External" Id="rId33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hush.tp.edu.tw/wp-content/uploads/doc/nhush602/109&#24180;&#24230;&#31532;2&#23416;&#26399;&#39640;&#19968;&#21270;&#23416;.pdf" TargetMode="External" Id="rId1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2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3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4"/><Relationship Type="http://schemas.openxmlformats.org/officeDocument/2006/relationships/hyperlink" Target="https://www.hs.ntnu.edu.tw/static/webroot/G162269151451663/application/NW167904652851841.pdf" TargetMode="External" Id="rId5"/><Relationship Type="http://schemas.openxmlformats.org/officeDocument/2006/relationships/hyperlink" Target="https://www.hs.ntnu.edu.tw/static/webroot/G162269151451663/application/NW167904652851841.pdf" TargetMode="External" Id="rId6"/><Relationship Type="http://schemas.openxmlformats.org/officeDocument/2006/relationships/hyperlink" Target="https://www.sanmin.com.tw/product/index/013368794" TargetMode="External" Id="rId7"/><Relationship Type="http://schemas.openxmlformats.org/officeDocument/2006/relationships/hyperlink" Target="https://www.sanmin.com.tw/product/index/013368794" TargetMode="External" Id="rId8"/><Relationship Type="http://schemas.openxmlformats.org/officeDocument/2006/relationships/hyperlink" Target="https://www.sanmin.com.tw/product/index/013368794" TargetMode="External" Id="rId9"/><Relationship Type="http://schemas.openxmlformats.org/officeDocument/2006/relationships/hyperlink" Target="https://www.sanmin.com.tw/product/index/007588879" TargetMode="External" Id="rId10"/><Relationship Type="http://schemas.openxmlformats.org/officeDocument/2006/relationships/hyperlink" Target="https://www.sanmin.com.tw/product/index/007588879" TargetMode="External" Id="rId11"/><Relationship Type="http://schemas.openxmlformats.org/officeDocument/2006/relationships/hyperlink" Target="https://www.sanmin.com.tw/product/index/007588879" TargetMode="External" Id="rId12"/><Relationship Type="http://schemas.openxmlformats.org/officeDocument/2006/relationships/hyperlink" Target="https://www.sanmin.com.tw/product/index/007588879" TargetMode="External" Id="rId13"/><Relationship Type="http://schemas.openxmlformats.org/officeDocument/2006/relationships/hyperlink" Target="https://www.sanmin.com.tw/product/index/007588879" TargetMode="External" Id="rId14"/><Relationship Type="http://schemas.openxmlformats.org/officeDocument/2006/relationships/hyperlink" Target="https://www.sanmin.com.tw/product/index/007762030" TargetMode="External" Id="rId15"/><Relationship Type="http://schemas.openxmlformats.org/officeDocument/2006/relationships/hyperlink" Target="https://www.sanmin.com.tw/product/index/007762030" TargetMode="External" Id="rId16"/><Relationship Type="http://schemas.openxmlformats.org/officeDocument/2006/relationships/hyperlink" Target="https://www.sanmin.com.tw/product/index/007762030" TargetMode="External" Id="rId17"/><Relationship Type="http://schemas.openxmlformats.org/officeDocument/2006/relationships/hyperlink" Target="https://www.sanmin.com.tw/product/index/007761890" TargetMode="External" Id="rId18"/><Relationship Type="http://schemas.openxmlformats.org/officeDocument/2006/relationships/hyperlink" Target="https://www.sanmin.com.tw/product/index/007761890" TargetMode="External" Id="rId19"/><Relationship Type="http://schemas.openxmlformats.org/officeDocument/2006/relationships/hyperlink" Target="https://www.sanmin.com.tw/product/index/007761890" TargetMode="External" Id="rId20"/><Relationship Type="http://schemas.openxmlformats.org/officeDocument/2006/relationships/hyperlink" Target="https://www.sanmin.com.tw/product/index/008521408" TargetMode="External" Id="rId21"/><Relationship Type="http://schemas.openxmlformats.org/officeDocument/2006/relationships/hyperlink" Target="https://www.sanmin.com.tw/product/index/008521408" TargetMode="External" Id="rId22"/><Relationship Type="http://schemas.openxmlformats.org/officeDocument/2006/relationships/hyperlink" Target="https://www.sanmin.com.tw/product/index/008521408" TargetMode="External" Id="rId23"/><Relationship Type="http://schemas.openxmlformats.org/officeDocument/2006/relationships/hyperlink" Target="https://www.sanmin.com.tw/product/index/008521408" TargetMode="External" Id="rId24"/><Relationship Type="http://schemas.openxmlformats.org/officeDocument/2006/relationships/hyperlink" Target="https://www.sanmin.com.tw/product/index/010193633" TargetMode="External" Id="rId25"/><Relationship Type="http://schemas.openxmlformats.org/officeDocument/2006/relationships/hyperlink" Target="https://www.sanmin.com.tw/product/index/010193633" TargetMode="External" Id="rId26"/><Relationship Type="http://schemas.openxmlformats.org/officeDocument/2006/relationships/hyperlink" Target="https://www.sanmin.com.tw/product/index/010193633" TargetMode="External" Id="rId27"/><Relationship Type="http://schemas.openxmlformats.org/officeDocument/2006/relationships/hyperlink" Target="https://www.sanmin.com.tw/product/index/009636572" TargetMode="External" Id="rId28"/><Relationship Type="http://schemas.openxmlformats.org/officeDocument/2006/relationships/hyperlink" Target="https://www.sanmin.com.tw/product/index/009636572" TargetMode="External" Id="rId29"/><Relationship Type="http://schemas.openxmlformats.org/officeDocument/2006/relationships/hyperlink" Target="https://www.sanmin.com.tw/product/index/009636572" TargetMode="External" Id="rId30"/><Relationship Type="http://schemas.openxmlformats.org/officeDocument/2006/relationships/hyperlink" Target="https://www.sanmin.com.tw/product/index/010611856" TargetMode="External" Id="rId31"/><Relationship Type="http://schemas.openxmlformats.org/officeDocument/2006/relationships/hyperlink" Target="https://www.sanmin.com.tw/product/index/010611856" TargetMode="External" Id="rId32"/><Relationship Type="http://schemas.openxmlformats.org/officeDocument/2006/relationships/hyperlink" Target="https://www.sanmin.com.tw/product/index/010611856" TargetMode="External" Id="rId33"/><Relationship Type="http://schemas.openxmlformats.org/officeDocument/2006/relationships/hyperlink" Target="https://www.sanmin.com.tw/product/index/010194614" TargetMode="External" Id="rId34"/><Relationship Type="http://schemas.openxmlformats.org/officeDocument/2006/relationships/hyperlink" Target="https://www.sanmin.com.tw/product/index/010194614" TargetMode="External" Id="rId35"/><Relationship Type="http://schemas.openxmlformats.org/officeDocument/2006/relationships/hyperlink" Target="https://www.sanmin.com.tw/product/index/010194614" TargetMode="External" Id="rId36"/><Relationship Type="http://schemas.openxmlformats.org/officeDocument/2006/relationships/hyperlink" Target="https://www.ltedu.com.tw/web/prodDetail.aspx?ID=9723" TargetMode="External" Id="rId37"/><Relationship Type="http://schemas.openxmlformats.org/officeDocument/2006/relationships/hyperlink" Target="https://www.ltedu.com.tw/web/prodDetail.aspx?ID=9723" TargetMode="External" Id="rId38"/><Relationship Type="http://schemas.openxmlformats.org/officeDocument/2006/relationships/hyperlink" Target="https://www.ltedu.com.tw/web/prodDetail.aspx?ID=9723" TargetMode="External" Id="rId39"/><Relationship Type="http://schemas.openxmlformats.org/officeDocument/2006/relationships/hyperlink" Target="https://www.ltedu.com.tw/web/prodDetail.aspx?ID=9723" TargetMode="External" Id="rId40"/><Relationship Type="http://schemas.openxmlformats.org/officeDocument/2006/relationships/hyperlink" Target="https://www.ltedu.com.tw/web/prodDetail.aspx?ID=9723" TargetMode="External" Id="rId41"/><Relationship Type="http://schemas.openxmlformats.org/officeDocument/2006/relationships/hyperlink" Target="https://www.ltedu.com.tw/web/prodDetail.aspx?ID=9723" TargetMode="External" Id="rId42"/><Relationship Type="http://schemas.openxmlformats.org/officeDocument/2006/relationships/hyperlink" Target="https://www.ltedu.com.tw/web/prodDetail.aspx?ID=9723" TargetMode="External" Id="rId43"/><Relationship Type="http://schemas.openxmlformats.org/officeDocument/2006/relationships/hyperlink" Target="https://www.ltedu.com.tw/web/prodDetail.aspx?ID=9723" TargetMode="External" Id="rId44"/><Relationship Type="http://schemas.openxmlformats.org/officeDocument/2006/relationships/hyperlink" Target="https://www.ltedu.com.tw/web/prodDetail.aspx?ID=9723" TargetMode="External" Id="rId45"/><Relationship Type="http://schemas.openxmlformats.org/officeDocument/2006/relationships/hyperlink" Target="https://www.ltedu.com.tw/web/prodDetail.aspx?ID=9723" TargetMode="External" Id="rId46"/><Relationship Type="http://schemas.openxmlformats.org/officeDocument/2006/relationships/hyperlink" Target="https://www.ltedu.com.tw/web/prodDetail.aspx?ID=9723" TargetMode="External" Id="rId47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48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49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0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1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2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3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4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5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6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7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8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9"/><Relationship Type="http://schemas.openxmlformats.org/officeDocument/2006/relationships/hyperlink" Target="https://www.ltedu.com.tw/web/prodDetail.aspx?ID=9994" TargetMode="External" Id="rId60"/><Relationship Type="http://schemas.openxmlformats.org/officeDocument/2006/relationships/hyperlink" Target="https://www.ltedu.com.tw/web/prodDetail.aspx?ID=9994" TargetMode="External" Id="rId61"/><Relationship Type="http://schemas.openxmlformats.org/officeDocument/2006/relationships/hyperlink" Target="https://www.ltedu.com.tw/web/prodDetail.aspx?ID=9994" TargetMode="External" Id="rId62"/><Relationship Type="http://schemas.openxmlformats.org/officeDocument/2006/relationships/hyperlink" Target="https://www.ltedu.com.tw/web/prodDetail.aspx?ID=9994" TargetMode="External" Id="rId63"/><Relationship Type="http://schemas.openxmlformats.org/officeDocument/2006/relationships/hyperlink" Target="https://www.ltedu.com.tw/web/prodDetail.aspx?ID=9994" TargetMode="External" Id="rId64"/><Relationship Type="http://schemas.openxmlformats.org/officeDocument/2006/relationships/hyperlink" Target="https://www.ltedu.com.tw/web/prodDetail.aspx?ID=9994" TargetMode="External" Id="rId65"/><Relationship Type="http://schemas.openxmlformats.org/officeDocument/2006/relationships/hyperlink" Target="https://www.ltedu.com.tw/web/prodDetail.aspx?ID=9994" TargetMode="External" Id="rId66"/><Relationship Type="http://schemas.openxmlformats.org/officeDocument/2006/relationships/hyperlink" Target="https://www.ltedu.com.tw/web/prodDetail.aspx?ID=9994" TargetMode="External" Id="rId67"/><Relationship Type="http://schemas.openxmlformats.org/officeDocument/2006/relationships/hyperlink" Target="https://www.ltedu.com.tw/web/prodDetail.aspx?ID=9994" TargetMode="External" Id="rId68"/><Relationship Type="http://schemas.openxmlformats.org/officeDocument/2006/relationships/hyperlink" Target="https://www.ltedu.com.tw/web/prodDetail.aspx?ID=9994" TargetMode="External" Id="rId69"/><Relationship Type="http://schemas.openxmlformats.org/officeDocument/2006/relationships/hyperlink" Target="https://www.ltedu.com.tw/web/prodDetail.aspx?ID=9972" TargetMode="External" Id="rId70"/><Relationship Type="http://schemas.openxmlformats.org/officeDocument/2006/relationships/hyperlink" Target="https://www.ltedu.com.tw/web/prodDetail.aspx?ID=9972" TargetMode="External" Id="rId71"/><Relationship Type="http://schemas.openxmlformats.org/officeDocument/2006/relationships/hyperlink" Target="https://www.ltedu.com.tw/web/prodDetail.aspx?ID=9972" TargetMode="External" Id="rId72"/><Relationship Type="http://schemas.openxmlformats.org/officeDocument/2006/relationships/hyperlink" Target="https://www.ltedu.com.tw/web/prodDetail.aspx?ID=9972" TargetMode="External" Id="rId73"/><Relationship Type="http://schemas.openxmlformats.org/officeDocument/2006/relationships/hyperlink" Target="https://www.ltedu.com.tw/web/prodDetail.aspx?ID=9972" TargetMode="External" Id="rId74"/><Relationship Type="http://schemas.openxmlformats.org/officeDocument/2006/relationships/hyperlink" Target="https://www.ltedu.com.tw/web/prodDetail.aspx?ID=9972" TargetMode="External" Id="rId75"/><Relationship Type="http://schemas.openxmlformats.org/officeDocument/2006/relationships/hyperlink" Target="https://www.ltedu.com.tw/web/prodDetail.aspx?ID=9972" TargetMode="External" Id="rId76"/><Relationship Type="http://schemas.openxmlformats.org/officeDocument/2006/relationships/hyperlink" Target="https://www.ltedu.com.tw/web/prodDetail.aspx?ID=10111" TargetMode="External" Id="rId77"/><Relationship Type="http://schemas.openxmlformats.org/officeDocument/2006/relationships/hyperlink" Target="https://www.ltedu.com.tw/web/prodDetail.aspx?ID=10111" TargetMode="External" Id="rId78"/><Relationship Type="http://schemas.openxmlformats.org/officeDocument/2006/relationships/hyperlink" Target="https://www.ltedu.com.tw/web/prodDetail.aspx?ID=10111" TargetMode="External" Id="rId79"/><Relationship Type="http://schemas.openxmlformats.org/officeDocument/2006/relationships/hyperlink" Target="https://www.ltedu.com.tw/web/prodDetail.aspx?ID=10111" TargetMode="External" Id="rId80"/><Relationship Type="http://schemas.openxmlformats.org/officeDocument/2006/relationships/hyperlink" Target="https://www.ltedu.com.tw/web/prodDetail.aspx?ID=10111" TargetMode="External" Id="rId81"/><Relationship Type="http://schemas.openxmlformats.org/officeDocument/2006/relationships/hyperlink" Target="https://www.ltedu.com.tw/web/prodDetail.aspx?ID=10111" TargetMode="External" Id="rId82"/><Relationship Type="http://schemas.openxmlformats.org/officeDocument/2006/relationships/hyperlink" Target="https://www.ltedu.com.tw/web/prodDetail.aspx?ID=10111" TargetMode="External" Id="rId83"/><Relationship Type="http://schemas.openxmlformats.org/officeDocument/2006/relationships/hyperlink" Target="https://www.ltedu.com.tw/web/prodDetail.aspx?ID=10111" TargetMode="External" Id="rId84"/><Relationship Type="http://schemas.openxmlformats.org/officeDocument/2006/relationships/hyperlink" Target="https://www.ltedu.com.tw/web/prodDetail.aspx?ID=10111" TargetMode="External" Id="rId85"/><Relationship Type="http://schemas.openxmlformats.org/officeDocument/2006/relationships/hyperlink" Target="https://www.ltedu.com.tw/web/prodDetail.aspx?ID=10111" TargetMode="External" Id="rId86"/><Relationship Type="http://schemas.openxmlformats.org/officeDocument/2006/relationships/hyperlink" Target="https://www.ltedu.com.tw/web/prodDetail.aspx?ID=10102" TargetMode="External" Id="rId87"/><Relationship Type="http://schemas.openxmlformats.org/officeDocument/2006/relationships/hyperlink" Target="https://www.ltedu.com.tw/web/prodDetail.aspx?ID=10102" TargetMode="External" Id="rId88"/><Relationship Type="http://schemas.openxmlformats.org/officeDocument/2006/relationships/hyperlink" Target="https://www.ltedu.com.tw/web/prodDetail.aspx?ID=10102" TargetMode="External" Id="rId89"/><Relationship Type="http://schemas.openxmlformats.org/officeDocument/2006/relationships/hyperlink" Target="https://www.ltedu.com.tw/web/prodDetail.aspx?ID=10166" TargetMode="External" Id="rId90"/><Relationship Type="http://schemas.openxmlformats.org/officeDocument/2006/relationships/hyperlink" Target="https://www.ltedu.com.tw/web/prodDetail.aspx?ID=10166" TargetMode="External" Id="rId91"/><Relationship Type="http://schemas.openxmlformats.org/officeDocument/2006/relationships/hyperlink" Target="https://www.ltedu.com.tw/web/prodDetail.aspx?ID=10166" TargetMode="External" Id="rId92"/><Relationship Type="http://schemas.openxmlformats.org/officeDocument/2006/relationships/hyperlink" Target="https://www.ltedu.com.tw/web/prodDetail.aspx?ID=10166" TargetMode="External" Id="rId93"/><Relationship Type="http://schemas.openxmlformats.org/officeDocument/2006/relationships/hyperlink" Target="https://www.ltedu.com.tw/web/prodDetail.aspx?ID=10166" TargetMode="External" Id="rId94"/><Relationship Type="http://schemas.openxmlformats.org/officeDocument/2006/relationships/hyperlink" Target="https://www.ltedu.com.tw/web/prodDetail.aspx?ID=10300" TargetMode="External" Id="rId95"/><Relationship Type="http://schemas.openxmlformats.org/officeDocument/2006/relationships/hyperlink" Target="https://www.ltedu.com.tw/web/prodDetail.aspx?ID=10300" TargetMode="External" Id="rId96"/><Relationship Type="http://schemas.openxmlformats.org/officeDocument/2006/relationships/hyperlink" Target="https://www.ltedu.com.tw/web/prodDetail.aspx?ID=10300" TargetMode="External" Id="rId97"/><Relationship Type="http://schemas.openxmlformats.org/officeDocument/2006/relationships/hyperlink" Target="https://www.ltedu.com.tw/web/prodDetail.aspx?ID=10300" TargetMode="External" Id="rId98"/><Relationship Type="http://schemas.openxmlformats.org/officeDocument/2006/relationships/hyperlink" Target="https://www.ltedu.com.tw/web/prodDetail.aspx?ID=10300" TargetMode="External" Id="rId99"/><Relationship Type="http://schemas.openxmlformats.org/officeDocument/2006/relationships/hyperlink" Target="https://www.ltedu.com.tw/web/prodDetail.aspx?ID=10300" TargetMode="External" Id="rId100"/><Relationship Type="http://schemas.openxmlformats.org/officeDocument/2006/relationships/hyperlink" Target="https://www.ltedu.com.tw/web/prodDetail.aspx?ID=10402" TargetMode="External" Id="rId101"/><Relationship Type="http://schemas.openxmlformats.org/officeDocument/2006/relationships/hyperlink" Target="https://www.ltedu.com.tw/web/prodDetail.aspx?ID=10402" TargetMode="External" Id="rId102"/><Relationship Type="http://schemas.openxmlformats.org/officeDocument/2006/relationships/hyperlink" Target="https://www.ltedu.com.tw/web/prodDetail.aspx?ID=10402" TargetMode="External" Id="rId103"/><Relationship Type="http://schemas.openxmlformats.org/officeDocument/2006/relationships/hyperlink" Target="https://www.ltedu.com.tw/web/prodDetail.aspx?ID=10402" TargetMode="External" Id="rId104"/><Relationship Type="http://schemas.openxmlformats.org/officeDocument/2006/relationships/hyperlink" Target="https://www.ltedu.com.tw/web/prodDetail.aspx?ID=10402" TargetMode="External" Id="rId105"/><Relationship Type="http://schemas.openxmlformats.org/officeDocument/2006/relationships/hyperlink" Target="https://www.ltedu.com.tw/web/prodDetail.aspx?ID=10298" TargetMode="External" Id="rId106"/><Relationship Type="http://schemas.openxmlformats.org/officeDocument/2006/relationships/hyperlink" Target="https://www.ltedu.com.tw/web/prodDetail.aspx?ID=10298" TargetMode="External" Id="rId107"/><Relationship Type="http://schemas.openxmlformats.org/officeDocument/2006/relationships/hyperlink" Target="https://www.ltedu.com.tw/web/prodDetail.aspx?ID=10298" TargetMode="External" Id="rId108"/><Relationship Type="http://schemas.openxmlformats.org/officeDocument/2006/relationships/hyperlink" Target="https://www.ltedu.com.tw/web/prodDetail.aspx?ID=10298" TargetMode="External" Id="rId109"/><Relationship Type="http://schemas.openxmlformats.org/officeDocument/2006/relationships/hyperlink" Target="https://www.ltedu.com.tw/web/prodDetail.aspx?ID=10298" TargetMode="External" Id="rId110"/><Relationship Type="http://schemas.openxmlformats.org/officeDocument/2006/relationships/hyperlink" Target="https://www.ltedu.com.tw/web/prodDetail.aspx?ID=10298" TargetMode="External" Id="rId111"/><Relationship Type="http://schemas.openxmlformats.org/officeDocument/2006/relationships/hyperlink" Target="https://www.ltedu.com.tw/web/prodDetail.aspx?ID=10403" TargetMode="External" Id="rId112"/><Relationship Type="http://schemas.openxmlformats.org/officeDocument/2006/relationships/hyperlink" Target="https://www.ltedu.com.tw/web/prodDetail.aspx?ID=10403" TargetMode="External" Id="rId113"/><Relationship Type="http://schemas.openxmlformats.org/officeDocument/2006/relationships/hyperlink" Target="https://www.ltedu.com.tw/web/prodDetail.aspx?ID=10403" TargetMode="External" Id="rId114"/><Relationship Type="http://schemas.openxmlformats.org/officeDocument/2006/relationships/hyperlink" Target="https://www.ltedu.com.tw/web/prodDetail.aspx?ID=10403" TargetMode="External" Id="rId115"/><Relationship Type="http://schemas.openxmlformats.org/officeDocument/2006/relationships/hyperlink" Target="https://www.ltedu.com.tw/web/prodDetail.aspx?ID=10403" TargetMode="External" Id="rId116"/><Relationship Type="http://schemas.openxmlformats.org/officeDocument/2006/relationships/hyperlink" Target="https://www.ltedu.com.tw/web/prodDetail.aspx?ID=10403" TargetMode="External" Id="rId117"/><Relationship Type="http://schemas.openxmlformats.org/officeDocument/2006/relationships/hyperlink" Target="https://www.ltedu.com.tw/web/prodDetail.aspx?ID=10403" TargetMode="External" Id="rId118"/><Relationship Type="http://schemas.openxmlformats.org/officeDocument/2006/relationships/hyperlink" Target="https://www.ltedu.com.tw/web/prodDetail.aspx?ID=9724" TargetMode="External" Id="rId119"/><Relationship Type="http://schemas.openxmlformats.org/officeDocument/2006/relationships/hyperlink" Target="https://www.ltedu.com.tw/web/prodDetail.aspx?ID=9724" TargetMode="External" Id="rId120"/><Relationship Type="http://schemas.openxmlformats.org/officeDocument/2006/relationships/hyperlink" Target="https://www.ltedu.com.tw/web/prodDetail.aspx?ID=9724" TargetMode="External" Id="rId121"/><Relationship Type="http://schemas.openxmlformats.org/officeDocument/2006/relationships/hyperlink" Target="https://www.ltedu.com.tw/web/prodDetail.aspx?ID=10308" TargetMode="External" Id="rId122"/><Relationship Type="http://schemas.openxmlformats.org/officeDocument/2006/relationships/hyperlink" Target="https://www.ltedu.com.tw/web/prodDetail.aspx?ID=10308" TargetMode="External" Id="rId123"/><Relationship Type="http://schemas.openxmlformats.org/officeDocument/2006/relationships/hyperlink" Target="https://www.ltedu.com.tw/web/prodDetail.aspx?ID=10308" TargetMode="External" Id="rId124"/><Relationship Type="http://schemas.openxmlformats.org/officeDocument/2006/relationships/hyperlink" Target="https://www.ltedu.com.tw/web/prodDetail.aspx?ID=10118" TargetMode="External" Id="rId125"/><Relationship Type="http://schemas.openxmlformats.org/officeDocument/2006/relationships/hyperlink" Target="https://www.ltedu.com.tw/web/prodDetail.aspx?ID=9984" TargetMode="External" Id="rId126"/><Relationship Type="http://schemas.openxmlformats.org/officeDocument/2006/relationships/hyperlink" Target="https://www.ltedu.com.tw/web/prodDetail.aspx?ID=9984" TargetMode="External" Id="rId127"/><Relationship Type="http://schemas.openxmlformats.org/officeDocument/2006/relationships/hyperlink" Target="https://www.ltedu.com.tw/web/prodDetail.aspx?ID=9984" TargetMode="External" Id="rId128"/><Relationship Type="http://schemas.openxmlformats.org/officeDocument/2006/relationships/hyperlink" Target="https://www.ltedu.com.tw/web/prodDetail.aspx?ID=9990" TargetMode="External" Id="rId129"/><Relationship Type="http://schemas.openxmlformats.org/officeDocument/2006/relationships/hyperlink" Target="https://www.ltedu.com.tw/web/prodDetail.aspx?ID=9990" TargetMode="External" Id="rId130"/><Relationship Type="http://schemas.openxmlformats.org/officeDocument/2006/relationships/hyperlink" Target="https://www.ltedu.com.tw/web/prodDetail.aspx?ID=9990" TargetMode="External" Id="rId131"/><Relationship Type="http://schemas.openxmlformats.org/officeDocument/2006/relationships/hyperlink" Target="https://www.ltedu.com.tw/web/prodDetail.aspx?ID=9990" TargetMode="External" Id="rId132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3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4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5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6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7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8"/><Relationship Type="http://schemas.openxmlformats.org/officeDocument/2006/relationships/hyperlink" Target="https://www.hs.ntnu.edu.tw/static/webroot/G162269151451663/application/NW172662319529837.pdf" TargetMode="External" Id="rId139"/><Relationship Type="http://schemas.openxmlformats.org/officeDocument/2006/relationships/hyperlink" Target="https://schoolday.dcsh.tp.edu.tw/sites/schoolday/files/teach_plan/113-1/%E5%BB%96%E5%AE%87%E6%96%B0-%E5%8A%9B%E5%AD%B8%E4%B8%80-206%2C%20209.docx" TargetMode="External" Id="rId140"/><Relationship Type="http://schemas.openxmlformats.org/officeDocument/2006/relationships/hyperlink" Target="https://schoolday.dcsh.tp.edu.tw/sites/schoolday/files/teach_plan/110-2/h271-%E7%89%A9%E7%90%86-306.docx" TargetMode="External" Id="rId141"/><Relationship Type="http://schemas.openxmlformats.org/officeDocument/2006/relationships/hyperlink" Target="https://schoolday.dcsh.tp.edu.tw/sites/schoolday/files/teach_plan/110-2/h271-%E7%89%A9%E7%90%86-306.docx" TargetMode="External" Id="rId142"/><Relationship Type="http://schemas.openxmlformats.org/officeDocument/2006/relationships/hyperlink" Target="https://schoolday.dcsh.tp.edu.tw/sites/schoolday/files/teach_plan/110-2/h271-%E7%89%A9%E7%90%86-306.docx" TargetMode="External" Id="rId143"/><Relationship Type="http://schemas.openxmlformats.org/officeDocument/2006/relationships/hyperlink" Target="https://schoolday.dcsh.tp.edu.tw/sites/schoolday/files/teach_plan/110-2/h271-%E7%89%A9%E7%90%86-306.docx" TargetMode="External" Id="rId144"/><Relationship Type="http://schemas.openxmlformats.org/officeDocument/2006/relationships/hyperlink" Target="https://schoolday.dcsh.tp.edu.tw/sites/schoolday/files/teach_plan/113-1/%E9%BB%83%E4%BF%A1%E9%9B%84-%E7%89%A9%E7%90%86-310.docx" TargetMode="External" Id="rId145"/><Relationship Type="http://schemas.openxmlformats.org/officeDocument/2006/relationships/hyperlink" Target="https://www.hs.ntnu.edu.tw/static/webroot/G162269151451663/application/NW172662311667323.pdf" TargetMode="External" Id="rId146"/><Relationship Type="http://schemas.openxmlformats.org/officeDocument/2006/relationships/hyperlink" Target="https://www.hs.ntnu.edu.tw/static/webroot/G162269151451663/application/NW172662311667323.pdf" TargetMode="External" Id="rId147"/><Relationship Type="http://schemas.openxmlformats.org/officeDocument/2006/relationships/hyperlink" Target="https://www.hs.ntnu.edu.tw/static/webroot/G162269151451663/application/NW175876360256029.pdf" TargetMode="External" Id="rId148"/><Relationship Type="http://schemas.openxmlformats.org/officeDocument/2006/relationships/hyperlink" Target="https://www.hs.ntnu.edu.tw/static/webroot/G162269151451663/application/NW175876360256029.pdf" TargetMode="External" Id="rId149"/><Relationship Type="http://schemas.openxmlformats.org/officeDocument/2006/relationships/hyperlink" Target="https://oldcsjh.kl.edu.tw/docs/file/451/113_1_%E9%AB%98%E4%B8%80%E5%9C%B0%E7%90%83%E7%A7%91%E5%AD%B8%E6%95%99%E5%AD%B8%E8%A8%88%E7%95%AB.docx" TargetMode="External" Id="rId150"/><Relationship Type="http://schemas.openxmlformats.org/officeDocument/2006/relationships/hyperlink" Target="https://www.ltedu.com.tw/web/prodDetail.aspx?ID=9753" TargetMode="External" Id="rId151"/><Relationship Type="http://schemas.openxmlformats.org/officeDocument/2006/relationships/hyperlink" Target="https://www.ltedu.com.tw/web/prodDetail.aspx?ID=9753" TargetMode="External" Id="rId152"/><Relationship Type="http://schemas.openxmlformats.org/officeDocument/2006/relationships/hyperlink" Target="https://www.ltedu.com.tw/web/prodDetail.aspx?ID=9753" TargetMode="External" Id="rId153"/><Relationship Type="http://schemas.openxmlformats.org/officeDocument/2006/relationships/hyperlink" Target="https://www.ltedu.com.tw/web/prodDetail.aspx?ID=9753" TargetMode="External" Id="rId154"/><Relationship Type="http://schemas.openxmlformats.org/officeDocument/2006/relationships/hyperlink" Target="https://www.ltedu.com.tw/web/prodDetail.aspx?ID=9753" TargetMode="External" Id="rId155"/><Relationship Type="http://schemas.openxmlformats.org/officeDocument/2006/relationships/hyperlink" Target="https://www.ltedu.com.tw/web/prodDetail.aspx?ID=9753" TargetMode="External" Id="rId156"/><Relationship Type="http://schemas.openxmlformats.org/officeDocument/2006/relationships/hyperlink" Target="https://www.ltedu.com.tw/web/prodDetail.aspx?ID=9753" TargetMode="External" Id="rId157"/><Relationship Type="http://schemas.openxmlformats.org/officeDocument/2006/relationships/hyperlink" Target="https://ltedu.com.tw/web/prodDetail.aspx?1=&amp;ID=9861" TargetMode="External" Id="rId158"/><Relationship Type="http://schemas.openxmlformats.org/officeDocument/2006/relationships/hyperlink" Target="https://ltedu.com.tw/web/prodDetail.aspx?1=&amp;ID=9861" TargetMode="External" Id="rId159"/><Relationship Type="http://schemas.openxmlformats.org/officeDocument/2006/relationships/hyperlink" Target="https://ltedu.com.tw/web/prodDetail.aspx?1=&amp;ID=9861" TargetMode="External" Id="rId160"/><Relationship Type="http://schemas.openxmlformats.org/officeDocument/2006/relationships/hyperlink" Target="https://ltedu.com.tw/web/prodDetail.aspx?1=&amp;ID=9861" TargetMode="External" Id="rId161"/><Relationship Type="http://schemas.openxmlformats.org/officeDocument/2006/relationships/hyperlink" Target="https://ltedu.com.tw/web/prodDetail.aspx?1=&amp;ID=9861" TargetMode="External" Id="rId162"/><Relationship Type="http://schemas.openxmlformats.org/officeDocument/2006/relationships/hyperlink" Target="https://ltedu.com.tw/web/prodDetail.aspx?1=&amp;ID=9861" TargetMode="External" Id="rId163"/><Relationship Type="http://schemas.openxmlformats.org/officeDocument/2006/relationships/hyperlink" Target="https://www.ltedu.com.tw/web/prodDetail.aspx?ID=10020" TargetMode="External" Id="rId164"/><Relationship Type="http://schemas.openxmlformats.org/officeDocument/2006/relationships/hyperlink" Target="https://www.ltedu.com.tw/web/prodDetail.aspx?ID=10020" TargetMode="External" Id="rId165"/><Relationship Type="http://schemas.openxmlformats.org/officeDocument/2006/relationships/hyperlink" Target="https://www.ltedu.com.tw/web/prodDetail.aspx?ID=10020" TargetMode="External" Id="rId166"/><Relationship Type="http://schemas.openxmlformats.org/officeDocument/2006/relationships/hyperlink" Target="https://www.ltedu.com.tw/web/prodDetail.aspx?ID=10020" TargetMode="External" Id="rId167"/><Relationship Type="http://schemas.openxmlformats.org/officeDocument/2006/relationships/hyperlink" Target="https://www.ltedu.com.tw/web/prodDetail.aspx?ID=10020" TargetMode="External" Id="rId168"/><Relationship Type="http://schemas.openxmlformats.org/officeDocument/2006/relationships/hyperlink" Target="https://www.ltedu.com.tw/web/prodDetail.aspx?ID=10020" TargetMode="External" Id="rId169"/><Relationship Type="http://schemas.openxmlformats.org/officeDocument/2006/relationships/hyperlink" Target="https://www.ltedu.com.tw/web/prodDetail.aspx?ID=10022" TargetMode="External" Id="rId170"/><Relationship Type="http://schemas.openxmlformats.org/officeDocument/2006/relationships/hyperlink" Target="https://www.ltedu.com.tw/web/prodDetail.aspx?ID=10022" TargetMode="External" Id="rId171"/><Relationship Type="http://schemas.openxmlformats.org/officeDocument/2006/relationships/hyperlink" Target="https://www.ltedu.com.tw/web/prodDetail.aspx?ID=10022" TargetMode="External" Id="rId172"/><Relationship Type="http://schemas.openxmlformats.org/officeDocument/2006/relationships/hyperlink" Target="https://www.ltedu.com.tw/web/prodDetail.aspx?ID=10022" TargetMode="External" Id="rId173"/><Relationship Type="http://schemas.openxmlformats.org/officeDocument/2006/relationships/hyperlink" Target="https://www.ltedu.com.tw/web/prodDetail.aspx?ID=10317" TargetMode="External" Id="rId174"/><Relationship Type="http://schemas.openxmlformats.org/officeDocument/2006/relationships/hyperlink" Target="https://www.ltedu.com.tw/web/prodDetail.aspx?ID=10317" TargetMode="External" Id="rId175"/><Relationship Type="http://schemas.openxmlformats.org/officeDocument/2006/relationships/hyperlink" Target="https://www.ltedu.com.tw/web/prodDetail.aspx?ID=10317" TargetMode="External" Id="rId176"/><Relationship Type="http://schemas.openxmlformats.org/officeDocument/2006/relationships/hyperlink" Target="https://www.ltedu.com.tw/web/prodDetail.aspx?ID=10317" TargetMode="External" Id="rId177"/><Relationship Type="http://schemas.openxmlformats.org/officeDocument/2006/relationships/hyperlink" Target="https://www.ltedu.com.tw/web/prodDetail.aspx?ID=10317" TargetMode="External" Id="rId178"/><Relationship Type="http://schemas.openxmlformats.org/officeDocument/2006/relationships/hyperlink" Target="https://www.ltedu.com.tw/web/prodDetail.aspx?ID=10317" TargetMode="External" Id="rId179"/><Relationship Type="http://schemas.openxmlformats.org/officeDocument/2006/relationships/hyperlink" Target="https://www.ltedu.com.tw/Web/mobile2/prodlist2.aspx?ID=10552&amp;SourceType=Subject&amp;SbjSubjectDesc=%E6%AD%B7%E5%8F%B2" TargetMode="External" Id="rId180"/><Relationship Type="http://schemas.openxmlformats.org/officeDocument/2006/relationships/hyperlink" Target="https://www.ltedu.com.tw/Web/mobile2/prodlist2.aspx?ID=10552&amp;SourceType=Subject&amp;SbjSubjectDesc=%E6%AD%B7%E5%8F%B2" TargetMode="External" Id="rId181"/><Relationship Type="http://schemas.openxmlformats.org/officeDocument/2006/relationships/hyperlink" Target="https://www.ltedu.com.tw/Web/mobile2/prodlist2.aspx?ID=10552&amp;SourceType=Subject&amp;SbjSubjectDesc=%E6%AD%B7%E5%8F%B2" TargetMode="External" Id="rId182"/><Relationship Type="http://schemas.openxmlformats.org/officeDocument/2006/relationships/hyperlink" Target="https://www.ltedu.com.tw/Web/mobile2/prodlist2.aspx?ID=10552&amp;SourceType=Subject&amp;SbjSubjectDesc=%E6%AD%B7%E5%8F%B2" TargetMode="External" Id="rId183"/><Relationship Type="http://schemas.openxmlformats.org/officeDocument/2006/relationships/hyperlink" Target="https://www.ltedu.com.tw/Web/mobile2/prodlist2.aspx?ID=10552&amp;SourceType=Subject&amp;SbjSubjectDesc=%E6%AD%B7%E5%8F%B2" TargetMode="External" Id="rId184"/><Relationship Type="http://schemas.openxmlformats.org/officeDocument/2006/relationships/hyperlink" Target="https://www.ltedu.com.tw/Web/mobile2/prodlist2.aspx?ID=10552&amp;SourceType=Subject&amp;SbjSubjectDesc=%E6%AD%B7%E5%8F%B2" TargetMode="External" Id="rId185"/><Relationship Type="http://schemas.openxmlformats.org/officeDocument/2006/relationships/hyperlink" Target="https://www.ltedu.com.tw/web/prodDetail.aspx?ID=10431" TargetMode="External" Id="rId186"/><Relationship Type="http://schemas.openxmlformats.org/officeDocument/2006/relationships/hyperlink" Target="https://www.ltedu.com.tw/web/prodDetail.aspx?ID=10431" TargetMode="External" Id="rId187"/><Relationship Type="http://schemas.openxmlformats.org/officeDocument/2006/relationships/hyperlink" Target="https://www.ltedu.com.tw/web/prodDetail.aspx?ID=10431" TargetMode="External" Id="rId188"/><Relationship Type="http://schemas.openxmlformats.org/officeDocument/2006/relationships/hyperlink" Target="https://www.ltedu.com.tw/web/prodDetail.aspx?ID=10431" TargetMode="External" Id="rId189"/><Relationship Type="http://schemas.openxmlformats.org/officeDocument/2006/relationships/hyperlink" Target="https://www.ltedu.com.tw/web/prodDetail.aspx?ID=10431" TargetMode="External" Id="rId190"/><Relationship Type="http://schemas.openxmlformats.org/officeDocument/2006/relationships/hyperlink" Target="https://www.ltedu.com.tw/Web/prodDetail.aspx?ID=10322" TargetMode="External" Id="rId191"/><Relationship Type="http://schemas.openxmlformats.org/officeDocument/2006/relationships/hyperlink" Target="https://www.ltedu.com.tw/web/prodDetail.aspx?ID=10349" TargetMode="External" Id="rId192"/><Relationship Type="http://schemas.openxmlformats.org/officeDocument/2006/relationships/hyperlink" Target="https://www.ltedu.com.tw/web/prodDetail.aspx?ID=10349" TargetMode="External" Id="rId193"/><Relationship Type="http://schemas.openxmlformats.org/officeDocument/2006/relationships/hyperlink" Target="https://www.ltedu.com.tw/web/prodDetail.aspx?ID=10349" TargetMode="External" Id="rId194"/><Relationship Type="http://schemas.openxmlformats.org/officeDocument/2006/relationships/hyperlink" Target="https://www.ltedu.com.tw/web/prodDetail.aspx?ID=10349" TargetMode="External" Id="rId195"/><Relationship Type="http://schemas.openxmlformats.org/officeDocument/2006/relationships/hyperlink" Target="https://www.ltedu.com.tw/web/prodDetail.aspx?ID=10349" TargetMode="External" Id="rId196"/><Relationship Type="http://schemas.openxmlformats.org/officeDocument/2006/relationships/hyperlink" Target="https://www.ltedu.com.tw/web/prodDetail.aspx?ID=10349" TargetMode="External" Id="rId197"/><Relationship Type="http://schemas.openxmlformats.org/officeDocument/2006/relationships/hyperlink" Target="https://www.ltedu.com.tw/web/prodDetail.aspx?ID=10349" TargetMode="External" Id="rId198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199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0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1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2"/><Relationship Type="http://schemas.openxmlformats.org/officeDocument/2006/relationships/hyperlink" Target="https://www.ltedu.com.tw/Web/Sharefile/EDM/curriculum-map/ghs/civ/index.html" TargetMode="External" Id="rId203"/><Relationship Type="http://schemas.openxmlformats.org/officeDocument/2006/relationships/hyperlink" Target="https://www.ltedu.com.tw/Web/Sharefile/EDM/curriculum-map/ghs/civ/index.html" TargetMode="External" Id="rId204"/><Relationship Type="http://schemas.openxmlformats.org/officeDocument/2006/relationships/hyperlink" Target="https://www.ltedu.com.tw/Web/Sharefile/EDM/curriculum-map/ghs/civ/index.html" TargetMode="External" Id="rId205"/><Relationship Type="http://schemas.openxmlformats.org/officeDocument/2006/relationships/hyperlink" Target="https://www.ltedu.com.tw/Web/Sharefile/EDM/curriculum-map/ghs/civ/index.html" TargetMode="External" Id="rId206"/><Relationship Type="http://schemas.openxmlformats.org/officeDocument/2006/relationships/hyperlink" Target="https://www.ltedu.com.tw/Web/Sharefile/EDM/curriculum-map/ghs/civ/index.html" TargetMode="External" Id="rId207"/><Relationship Type="http://schemas.openxmlformats.org/officeDocument/2006/relationships/hyperlink" Target="https://www.ltedu.com.tw/Web/Sharefile/EDM/curriculum-map/ghs/civ/index.html" TargetMode="External" Id="rId208"/><Relationship Type="http://schemas.openxmlformats.org/officeDocument/2006/relationships/hyperlink" Target="https://www.ltedu.com.tw/Web/Sharefile/EDM/curriculum-map/ghs/civ/map.pdf" TargetMode="External" Id="rId209"/><Relationship Type="http://schemas.openxmlformats.org/officeDocument/2006/relationships/hyperlink" Target="https://www.ltedu.com.tw/Web/Sharefile/EDM/curriculum-map/ghs/civ/map.pdf" TargetMode="External" Id="rId210"/><Relationship Type="http://schemas.openxmlformats.org/officeDocument/2006/relationships/hyperlink" Target="https://www.ltedu.com.tw/Web/Sharefile/EDM/curriculum-map/ghs/civ/map.pdf" TargetMode="External" Id="rId211"/><Relationship Type="http://schemas.openxmlformats.org/officeDocument/2006/relationships/hyperlink" Target="https://www.ltedu.com.tw/Web/Sharefile/EDM/curriculum-map/ghs/civ/map.pdf" TargetMode="External" Id="rId212"/><Relationship Type="http://schemas.openxmlformats.org/officeDocument/2006/relationships/hyperlink" Target="https://www.ltedu.com.tw/Web/Sharefile/EDM/curriculum-map/ghs/civ/map.pdf" TargetMode="External" Id="rId213"/><Relationship Type="http://schemas.openxmlformats.org/officeDocument/2006/relationships/hyperlink" Target="https://www.pymhs.tyc.edu.tw/uploads/1677224026927kIufN9Qi.pdf" TargetMode="External" Id="rId214"/><Relationship Type="http://schemas.openxmlformats.org/officeDocument/2006/relationships/hyperlink" Target="https://www.hs.ntnu.edu.tw/static/webroot/G162269151451663/application/NW174253993646046.pdf" TargetMode="External" Id="rId215"/><Relationship Type="http://schemas.openxmlformats.org/officeDocument/2006/relationships/hyperlink" Target="https://www.hs.ntnu.edu.tw/static/webroot/G162269151451663/application/NW175876390615937.pdf" TargetMode="External" Id="rId216"/><Relationship Type="http://schemas.openxmlformats.org/officeDocument/2006/relationships/hyperlink" Target="https://www.hs.ntnu.edu.tw/static/webroot/G162269151451663/application/NW175876390615937.pdf" TargetMode="External" Id="rId217"/><Relationship Type="http://schemas.openxmlformats.org/officeDocument/2006/relationships/hyperlink" Target="https://www.hs.ntnu.edu.tw/static/webroot/G162269151451663/application/NW172662366015169.pdf" TargetMode="External" Id="rId218"/><Relationship Type="http://schemas.openxmlformats.org/officeDocument/2006/relationships/hyperlink" Target="https://www.hs.ntnu.edu.tw/static/webroot/G162269151451663/application/NW172662342237371.pdf" TargetMode="External" Id="rId219"/><Relationship Type="http://schemas.openxmlformats.org/officeDocument/2006/relationships/hyperlink" Target="https://www.hs.ntnu.edu.tw/static/webroot/G162269151451663/application/NW172662342237371.pdf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1019課程版本：各出版商國高中課本目錄統整</t>
        </is>
      </c>
    </row>
    <row r="2">
      <c r="A2" s="2" t="inlineStr"/>
    </row>
    <row r="3">
      <c r="A3" s="1" t="inlineStr">
        <is>
          <t>資料範圍</t>
        </is>
      </c>
    </row>
    <row r="4">
      <c r="A4" s="2" t="inlineStr">
        <is>
          <t>國中：翰林、康軒、南一，7–9 年級上下冊。國文、英文、數學、自然（生物、理化、地球科學）、社會（歷史、地理、公民）。</t>
        </is>
      </c>
    </row>
    <row r="5">
      <c r="A5" s="2" t="inlineStr">
        <is>
          <t>高中：三民、龍騰、南一、全華、泰宇。10 科部定必修與加深加廣選修。</t>
        </is>
      </c>
    </row>
    <row r="6">
      <c r="A6" s="2" t="inlineStr">
        <is>
          <t>以 115 學年度現行版本為準；只找到 114 學年度資料時，「學年度」欄會註明。</t>
        </is>
      </c>
    </row>
    <row r="7">
      <c r="A7" s="2" t="inlineStr"/>
    </row>
    <row r="8">
      <c r="A8" s="1" t="inlineStr">
        <is>
          <t>資料來源與限制</t>
        </is>
      </c>
    </row>
    <row r="9">
      <c r="A9" s="2" t="inlineStr">
        <is>
          <t>蒐集時，出版商官網在作業環境中無法連線（網路政策阻擋），因此本版資料來自網路搜尋，主要是各校公開的課程計畫與教學計畫表，每列都附來源網址。</t>
        </is>
      </c>
    </row>
    <row r="10">
      <c r="A10" s="2" t="inlineStr">
        <is>
          <t>只收錄來源中實際看到、且明確標示版本的章節；查不到的冊次保留一列，章節空白（黃底），不做推測。</t>
        </is>
      </c>
    </row>
    <row r="11">
      <c r="A11" s="2" t="inlineStr">
        <is>
          <t>學校課程計畫的單元名稱可能經過學校簡化或調整，與課本原文可能有些微差異；以出版商官網或課本為準。</t>
        </is>
      </c>
    </row>
    <row r="12">
      <c r="A12" s="2" t="inlineStr">
        <is>
          <t>待辦：開放出版商網域後，到官網逐冊核對，並補上空白冊次；核對過的列，「來源類型」會改為「出版商官網」。</t>
        </is>
      </c>
    </row>
    <row r="13">
      <c r="A13" s="2" t="inlineStr">
        <is>
          <t>官網網域：翰林 hle.com.tw、康軒 knsh.com.tw、南一 nani.com.tw、三民 sanmin.com.tw、龍騰 ltedu.com.tw、全華 chwa.com.tw、泰宇 tyedu.com.tw（泰宇待確認）。</t>
        </is>
      </c>
    </row>
    <row r="14">
      <c r="A14" s="2" t="inlineStr"/>
    </row>
    <row r="15">
      <c r="A15" s="1" t="inlineStr">
        <is>
          <t>欄位說明</t>
        </is>
      </c>
    </row>
    <row r="16">
      <c r="A16" s="2" t="inlineStr">
        <is>
          <t>「國中」「高中」：一章（國文、英文為一課）一列；「節」以全形分號「；」分隔。</t>
        </is>
      </c>
    </row>
    <row r="17">
      <c r="A17" s="2" t="inlineStr">
        <is>
          <t>「涵蓋總覽」：每冊已查到的章數，以公式從資料表計算，資料增修後會自動更新。</t>
        </is>
      </c>
    </row>
    <row r="18">
      <c r="A18" s="2" t="inlineStr"/>
    </row>
    <row r="19">
      <c r="A19" s="2" t="inlineStr">
        <is>
          <t>目前共 941 列，其中 554 列有章節內容。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4" t="inlineStr">
        <is>
          <t>翰林</t>
        </is>
      </c>
      <c r="B2" s="4" t="inlineStr">
        <is>
          <t>國中</t>
        </is>
      </c>
      <c r="C2" s="4" t="inlineStr">
        <is>
          <t>7</t>
        </is>
      </c>
      <c r="D2" s="4" t="inlineStr">
        <is>
          <t>上</t>
        </is>
      </c>
      <c r="E2" s="4" t="inlineStr">
        <is>
          <t>國文</t>
        </is>
      </c>
      <c r="F2" s="4" t="inlineStr">
        <is>
          <t>第一課 夏夜</t>
        </is>
      </c>
      <c r="G2" s="4" t="n"/>
      <c r="H2" s="4" t="inlineStr">
        <is>
          <t>115</t>
        </is>
      </c>
      <c r="I2" s="4" t="inlineStr">
        <is>
          <t>出版商頁面</t>
        </is>
      </c>
      <c r="J2" s="5" t="inlineStr">
        <is>
          <t>https://sites.google.com/hanlin.com.tw/112chwebppt/1%E4%B8%8A</t>
        </is>
      </c>
      <c r="K2" s="4" t="inlineStr">
        <is>
          <t>來源為翰林官方Google Sites「國文網頁版PPT」課次清單，頁面標示【115上】入口；經搜尋摘要擷取，非直接開啟頁面</t>
        </is>
      </c>
    </row>
    <row r="3">
      <c r="A3" s="4" t="inlineStr">
        <is>
          <t>翰林</t>
        </is>
      </c>
      <c r="B3" s="4" t="inlineStr">
        <is>
          <t>國中</t>
        </is>
      </c>
      <c r="C3" s="4" t="inlineStr">
        <is>
          <t>7</t>
        </is>
      </c>
      <c r="D3" s="4" t="inlineStr">
        <is>
          <t>上</t>
        </is>
      </c>
      <c r="E3" s="4" t="inlineStr">
        <is>
          <t>國文</t>
        </is>
      </c>
      <c r="F3" s="4" t="inlineStr">
        <is>
          <t>第二課 無心的錯誤</t>
        </is>
      </c>
      <c r="G3" s="4" t="n"/>
      <c r="H3" s="4" t="inlineStr">
        <is>
          <t>115</t>
        </is>
      </c>
      <c r="I3" s="4" t="inlineStr">
        <is>
          <t>出版商頁面</t>
        </is>
      </c>
      <c r="J3" s="5" t="inlineStr">
        <is>
          <t>https://sites.google.com/hanlin.com.tw/112chwebppt/1%E4%B8%8A</t>
        </is>
      </c>
      <c r="K3" s="4" t="inlineStr">
        <is>
          <t>來源為翰林官方Google Sites「國文網頁版PPT」課次清單，頁面標示【115上】入口；經搜尋摘要擷取，非直接開啟頁面</t>
        </is>
      </c>
    </row>
    <row r="4">
      <c r="A4" s="4" t="inlineStr">
        <is>
          <t>翰林</t>
        </is>
      </c>
      <c r="B4" s="4" t="inlineStr">
        <is>
          <t>國中</t>
        </is>
      </c>
      <c r="C4" s="4" t="inlineStr">
        <is>
          <t>7</t>
        </is>
      </c>
      <c r="D4" s="4" t="inlineStr">
        <is>
          <t>上</t>
        </is>
      </c>
      <c r="E4" s="4" t="inlineStr">
        <is>
          <t>國文</t>
        </is>
      </c>
      <c r="F4" s="4" t="inlineStr">
        <is>
          <t>第三課 母親的教誨</t>
        </is>
      </c>
      <c r="G4" s="4" t="n"/>
      <c r="H4" s="4" t="inlineStr">
        <is>
          <t>115</t>
        </is>
      </c>
      <c r="I4" s="4" t="inlineStr">
        <is>
          <t>出版商頁面</t>
        </is>
      </c>
      <c r="J4" s="5" t="inlineStr">
        <is>
          <t>https://sites.google.com/hanlin.com.tw/112chwebppt/1%E4%B8%8A</t>
        </is>
      </c>
      <c r="K4" s="4" t="inlineStr">
        <is>
          <t>來源為翰林官方Google Sites「國文網頁版PPT」課次清單，頁面標示【115上】入口；經搜尋摘要擷取，非直接開啟頁面</t>
        </is>
      </c>
    </row>
    <row r="5">
      <c r="A5" s="4" t="inlineStr">
        <is>
          <t>翰林</t>
        </is>
      </c>
      <c r="B5" s="4" t="inlineStr">
        <is>
          <t>國中</t>
        </is>
      </c>
      <c r="C5" s="4" t="inlineStr">
        <is>
          <t>7</t>
        </is>
      </c>
      <c r="D5" s="4" t="inlineStr">
        <is>
          <t>上</t>
        </is>
      </c>
      <c r="E5" s="4" t="inlineStr">
        <is>
          <t>國文</t>
        </is>
      </c>
      <c r="F5" s="4" t="inlineStr">
        <is>
          <t>語文常識一 標點符號使用法</t>
        </is>
      </c>
      <c r="G5" s="4" t="n"/>
      <c r="H5" s="4" t="inlineStr">
        <is>
          <t>115</t>
        </is>
      </c>
      <c r="I5" s="4" t="inlineStr">
        <is>
          <t>出版商頁面</t>
        </is>
      </c>
      <c r="J5" s="5" t="inlineStr">
        <is>
          <t>https://sites.google.com/hanlin.com.tw/112chwebppt/1%E4%B8%8A</t>
        </is>
      </c>
      <c r="K5" s="4" t="inlineStr">
        <is>
          <t>來源為翰林官方Google Sites「國文網頁版PPT」課次清單，頁面標示【115上】入口；經搜尋摘要擷取，非直接開啟頁面</t>
        </is>
      </c>
    </row>
    <row r="6">
      <c r="A6" s="4" t="inlineStr">
        <is>
          <t>翰林</t>
        </is>
      </c>
      <c r="B6" s="4" t="inlineStr">
        <is>
          <t>國中</t>
        </is>
      </c>
      <c r="C6" s="4" t="inlineStr">
        <is>
          <t>7</t>
        </is>
      </c>
      <c r="D6" s="4" t="inlineStr">
        <is>
          <t>上</t>
        </is>
      </c>
      <c r="E6" s="4" t="inlineStr">
        <is>
          <t>國文</t>
        </is>
      </c>
      <c r="F6" s="4" t="inlineStr">
        <is>
          <t>第四課 論語選</t>
        </is>
      </c>
      <c r="G6" s="4" t="n"/>
      <c r="H6" s="4" t="inlineStr">
        <is>
          <t>115</t>
        </is>
      </c>
      <c r="I6" s="4" t="inlineStr">
        <is>
          <t>出版商頁面</t>
        </is>
      </c>
      <c r="J6" s="5" t="inlineStr">
        <is>
          <t>https://sites.google.com/hanlin.com.tw/112chwebppt/1%E4%B8%8A</t>
        </is>
      </c>
      <c r="K6" s="4" t="inlineStr">
        <is>
          <t>來源為翰林官方Google Sites「國文網頁版PPT」課次清單，頁面標示【115上】入口；經搜尋摘要擷取，非直接開啟頁面</t>
        </is>
      </c>
    </row>
    <row r="7">
      <c r="A7" s="4" t="inlineStr">
        <is>
          <t>翰林</t>
        </is>
      </c>
      <c r="B7" s="4" t="inlineStr">
        <is>
          <t>國中</t>
        </is>
      </c>
      <c r="C7" s="4" t="inlineStr">
        <is>
          <t>7</t>
        </is>
      </c>
      <c r="D7" s="4" t="inlineStr">
        <is>
          <t>上</t>
        </is>
      </c>
      <c r="E7" s="4" t="inlineStr">
        <is>
          <t>國文</t>
        </is>
      </c>
      <c r="F7" s="4" t="inlineStr">
        <is>
          <t>第五課 背影</t>
        </is>
      </c>
      <c r="G7" s="4" t="n"/>
      <c r="H7" s="4" t="inlineStr">
        <is>
          <t>115</t>
        </is>
      </c>
      <c r="I7" s="4" t="inlineStr">
        <is>
          <t>出版商頁面</t>
        </is>
      </c>
      <c r="J7" s="5" t="inlineStr">
        <is>
          <t>https://sites.google.com/hanlin.com.tw/112chwebppt/1%E4%B8%8A</t>
        </is>
      </c>
      <c r="K7" s="4" t="inlineStr">
        <is>
          <t>來源為翰林官方Google Sites「國文網頁版PPT」課次清單，頁面標示【115上】入口；經搜尋摘要擷取，非直接開啟頁面</t>
        </is>
      </c>
    </row>
    <row r="8">
      <c r="A8" s="4" t="inlineStr">
        <is>
          <t>翰林</t>
        </is>
      </c>
      <c r="B8" s="4" t="inlineStr">
        <is>
          <t>國中</t>
        </is>
      </c>
      <c r="C8" s="4" t="inlineStr">
        <is>
          <t>7</t>
        </is>
      </c>
      <c r="D8" s="4" t="inlineStr">
        <is>
          <t>上</t>
        </is>
      </c>
      <c r="E8" s="4" t="inlineStr">
        <is>
          <t>國文</t>
        </is>
      </c>
      <c r="F8" s="4" t="inlineStr">
        <is>
          <t>第六課 心囚</t>
        </is>
      </c>
      <c r="G8" s="4" t="n"/>
      <c r="H8" s="4" t="inlineStr">
        <is>
          <t>115</t>
        </is>
      </c>
      <c r="I8" s="4" t="inlineStr">
        <is>
          <t>出版商頁面</t>
        </is>
      </c>
      <c r="J8" s="5" t="inlineStr">
        <is>
          <t>https://sites.google.com/hanlin.com.tw/112chwebppt/1%E4%B8%8A</t>
        </is>
      </c>
      <c r="K8" s="4" t="inlineStr">
        <is>
          <t>來源為翰林官方Google Sites「國文網頁版PPT」課次清單，頁面標示【115上】入口；經搜尋摘要擷取，非直接開啟頁面</t>
        </is>
      </c>
    </row>
    <row r="9">
      <c r="A9" s="4" t="inlineStr">
        <is>
          <t>翰林</t>
        </is>
      </c>
      <c r="B9" s="4" t="inlineStr">
        <is>
          <t>國中</t>
        </is>
      </c>
      <c r="C9" s="4" t="inlineStr">
        <is>
          <t>7</t>
        </is>
      </c>
      <c r="D9" s="4" t="inlineStr">
        <is>
          <t>上</t>
        </is>
      </c>
      <c r="E9" s="4" t="inlineStr">
        <is>
          <t>國文</t>
        </is>
      </c>
      <c r="F9" s="4" t="inlineStr">
        <is>
          <t>語文常識二 策略運用與資訊檢索</t>
        </is>
      </c>
      <c r="G9" s="4" t="n"/>
      <c r="H9" s="4" t="inlineStr">
        <is>
          <t>115</t>
        </is>
      </c>
      <c r="I9" s="4" t="inlineStr">
        <is>
          <t>出版商頁面</t>
        </is>
      </c>
      <c r="J9" s="5" t="inlineStr">
        <is>
          <t>https://sites.google.com/hanlin.com.tw/112chwebppt/1%E4%B8%8A</t>
        </is>
      </c>
      <c r="K9" s="4" t="inlineStr">
        <is>
          <t>來源為翰林官方Google Sites「國文網頁版PPT」課次清單，頁面標示【115上】入口；經搜尋摘要擷取，非直接開啟頁面</t>
        </is>
      </c>
    </row>
    <row r="10">
      <c r="A10" s="4" t="inlineStr">
        <is>
          <t>翰林</t>
        </is>
      </c>
      <c r="B10" s="4" t="inlineStr">
        <is>
          <t>國中</t>
        </is>
      </c>
      <c r="C10" s="4" t="inlineStr">
        <is>
          <t>7</t>
        </is>
      </c>
      <c r="D10" s="4" t="inlineStr">
        <is>
          <t>上</t>
        </is>
      </c>
      <c r="E10" s="4" t="inlineStr">
        <is>
          <t>國文</t>
        </is>
      </c>
      <c r="F10" s="4" t="inlineStr">
        <is>
          <t>第七課 兒時記趣</t>
        </is>
      </c>
      <c r="G10" s="4" t="n"/>
      <c r="H10" s="4" t="inlineStr">
        <is>
          <t>115</t>
        </is>
      </c>
      <c r="I10" s="4" t="inlineStr">
        <is>
          <t>出版商頁面</t>
        </is>
      </c>
      <c r="J10" s="5" t="inlineStr">
        <is>
          <t>https://sites.google.com/hanlin.com.tw/112chwebppt/1%E4%B8%8A</t>
        </is>
      </c>
      <c r="K10" s="4" t="inlineStr">
        <is>
          <t>來源為翰林官方Google Sites「國文網頁版PPT」課次清單，頁面標示【115上】入口；經搜尋摘要擷取，非直接開啟頁面</t>
        </is>
      </c>
    </row>
    <row r="11">
      <c r="A11" s="4" t="inlineStr">
        <is>
          <t>翰林</t>
        </is>
      </c>
      <c r="B11" s="4" t="inlineStr">
        <is>
          <t>國中</t>
        </is>
      </c>
      <c r="C11" s="4" t="inlineStr">
        <is>
          <t>7</t>
        </is>
      </c>
      <c r="D11" s="4" t="inlineStr">
        <is>
          <t>上</t>
        </is>
      </c>
      <c r="E11" s="4" t="inlineStr">
        <is>
          <t>國文</t>
        </is>
      </c>
      <c r="F11" s="4" t="inlineStr">
        <is>
          <t>第八課 朋友相交</t>
        </is>
      </c>
      <c r="G11" s="4" t="n"/>
      <c r="H11" s="4" t="inlineStr">
        <is>
          <t>115</t>
        </is>
      </c>
      <c r="I11" s="4" t="inlineStr">
        <is>
          <t>出版商頁面</t>
        </is>
      </c>
      <c r="J11" s="5" t="inlineStr">
        <is>
          <t>https://sites.google.com/hanlin.com.tw/112chwebppt/1%E4%B8%8A</t>
        </is>
      </c>
      <c r="K11" s="4" t="inlineStr">
        <is>
          <t>來源為翰林官方Google Sites「國文網頁版PPT」課次清單，頁面標示【115上】入口；經搜尋摘要擷取，非直接開啟頁面</t>
        </is>
      </c>
    </row>
    <row r="12">
      <c r="A12" s="4" t="inlineStr">
        <is>
          <t>翰林</t>
        </is>
      </c>
      <c r="B12" s="4" t="inlineStr">
        <is>
          <t>國中</t>
        </is>
      </c>
      <c r="C12" s="4" t="inlineStr">
        <is>
          <t>7</t>
        </is>
      </c>
      <c r="D12" s="4" t="inlineStr">
        <is>
          <t>上</t>
        </is>
      </c>
      <c r="E12" s="4" t="inlineStr">
        <is>
          <t>國文</t>
        </is>
      </c>
      <c r="F12" s="4" t="inlineStr">
        <is>
          <t>第九課 音樂家與職籃巨星</t>
        </is>
      </c>
      <c r="G12" s="4" t="n"/>
      <c r="H12" s="4" t="inlineStr">
        <is>
          <t>115</t>
        </is>
      </c>
      <c r="I12" s="4" t="inlineStr">
        <is>
          <t>出版商頁面</t>
        </is>
      </c>
      <c r="J12" s="5" t="inlineStr">
        <is>
          <t>https://sites.google.com/hanlin.com.tw/112chwebppt/1%E4%B8%8A</t>
        </is>
      </c>
      <c r="K12" s="4" t="inlineStr">
        <is>
          <t>來源為翰林官方Google Sites「國文網頁版PPT」課次清單，頁面標示【115上】入口；經搜尋摘要擷取，非直接開啟頁面</t>
        </is>
      </c>
    </row>
    <row r="13">
      <c r="A13" s="4" t="inlineStr">
        <is>
          <t>翰林</t>
        </is>
      </c>
      <c r="B13" s="4" t="inlineStr">
        <is>
          <t>國中</t>
        </is>
      </c>
      <c r="C13" s="4" t="inlineStr">
        <is>
          <t>7</t>
        </is>
      </c>
      <c r="D13" s="4" t="inlineStr">
        <is>
          <t>上</t>
        </is>
      </c>
      <c r="E13" s="4" t="inlineStr">
        <is>
          <t>國文</t>
        </is>
      </c>
      <c r="F13" s="4" t="inlineStr">
        <is>
          <t>第十課 玫瑰淚</t>
        </is>
      </c>
      <c r="G13" s="4" t="n"/>
      <c r="H13" s="4" t="inlineStr">
        <is>
          <t>115</t>
        </is>
      </c>
      <c r="I13" s="4" t="inlineStr">
        <is>
          <t>出版商頁面</t>
        </is>
      </c>
      <c r="J13" s="5" t="inlineStr">
        <is>
          <t>https://sites.google.com/hanlin.com.tw/112chwebppt/1%E4%B8%8A</t>
        </is>
      </c>
      <c r="K13" s="4" t="inlineStr">
        <is>
          <t>來源為翰林官方Google Sites「國文網頁版PPT」課次清單，頁面標示【115上】入口；經搜尋摘要擷取，非直接開啟頁面；翰林114學年度「數位互動資源平台」將L10列為〈藍色串珠項鍊〉，與此處不同</t>
        </is>
      </c>
    </row>
    <row r="14">
      <c r="A14" s="4" t="inlineStr">
        <is>
          <t>翰林</t>
        </is>
      </c>
      <c r="B14" s="4" t="inlineStr">
        <is>
          <t>國中</t>
        </is>
      </c>
      <c r="C14" s="4" t="inlineStr">
        <is>
          <t>7</t>
        </is>
      </c>
      <c r="D14" s="4" t="inlineStr">
        <is>
          <t>上</t>
        </is>
      </c>
      <c r="E14" s="4" t="inlineStr">
        <is>
          <t>國文</t>
        </is>
      </c>
      <c r="F14" s="4" t="inlineStr">
        <is>
          <t>自學一 古代神話與寓言選</t>
        </is>
      </c>
      <c r="G14" s="4" t="n"/>
      <c r="H14" s="4" t="inlineStr">
        <is>
          <t>115</t>
        </is>
      </c>
      <c r="I14" s="4" t="inlineStr">
        <is>
          <t>出版商頁面</t>
        </is>
      </c>
      <c r="J14" s="5" t="inlineStr">
        <is>
          <t>https://sites.google.com/hanlin.com.tw/112chwebppt/1%E4%B8%8A</t>
        </is>
      </c>
      <c r="K14" s="4" t="inlineStr">
        <is>
          <t>來源為翰林官方Google Sites「國文網頁版PPT」課次清單，頁面標示【115上】入口；經搜尋摘要擷取，非直接開啟頁面</t>
        </is>
      </c>
    </row>
    <row r="15">
      <c r="A15" s="4" t="inlineStr">
        <is>
          <t>翰林</t>
        </is>
      </c>
      <c r="B15" s="4" t="inlineStr">
        <is>
          <t>國中</t>
        </is>
      </c>
      <c r="C15" s="4" t="inlineStr">
        <is>
          <t>7</t>
        </is>
      </c>
      <c r="D15" s="4" t="inlineStr">
        <is>
          <t>上</t>
        </is>
      </c>
      <c r="E15" s="4" t="inlineStr">
        <is>
          <t>國文</t>
        </is>
      </c>
      <c r="F15" s="4" t="inlineStr">
        <is>
          <t>自學二 貪睡的長頸鹿</t>
        </is>
      </c>
      <c r="G15" s="4" t="n"/>
      <c r="H15" s="4" t="inlineStr">
        <is>
          <t>115</t>
        </is>
      </c>
      <c r="I15" s="4" t="inlineStr">
        <is>
          <t>出版商頁面</t>
        </is>
      </c>
      <c r="J15" s="5" t="inlineStr">
        <is>
          <t>https://sites.google.com/hanlin.com.tw/112chwebppt/1%E4%B8%8A</t>
        </is>
      </c>
      <c r="K15" s="4" t="inlineStr">
        <is>
          <t>來源為翰林官方Google Sites「國文網頁版PPT」課次清單，頁面標示【115上】入口；經搜尋摘要擷取，非直接開啟頁面</t>
        </is>
      </c>
    </row>
    <row r="16">
      <c r="A16" s="4" t="inlineStr">
        <is>
          <t>翰林</t>
        </is>
      </c>
      <c r="B16" s="4" t="inlineStr">
        <is>
          <t>國中</t>
        </is>
      </c>
      <c r="C16" s="4" t="inlineStr">
        <is>
          <t>7</t>
        </is>
      </c>
      <c r="D16" s="4" t="inlineStr">
        <is>
          <t>上</t>
        </is>
      </c>
      <c r="E16" s="4" t="inlineStr">
        <is>
          <t>國文</t>
        </is>
      </c>
      <c r="F16" s="4" t="inlineStr">
        <is>
          <t>自學三 行動的水滴才能匯流大河</t>
        </is>
      </c>
      <c r="G16" s="4" t="n"/>
      <c r="H16" s="4" t="inlineStr">
        <is>
          <t>115</t>
        </is>
      </c>
      <c r="I16" s="4" t="inlineStr">
        <is>
          <t>出版商頁面</t>
        </is>
      </c>
      <c r="J16" s="5" t="inlineStr">
        <is>
          <t>https://sites.google.com/hanlin.com.tw/112chwebppt/1%E4%B8%8A</t>
        </is>
      </c>
      <c r="K16" s="4" t="inlineStr">
        <is>
          <t>來源為翰林官方Google Sites「國文網頁版PPT」課次清單，頁面標示【115上】入口；經搜尋摘要擷取，非直接開啟頁面</t>
        </is>
      </c>
    </row>
    <row r="17">
      <c r="A17" s="4" t="inlineStr">
        <is>
          <t>翰林</t>
        </is>
      </c>
      <c r="B17" s="4" t="inlineStr">
        <is>
          <t>國中</t>
        </is>
      </c>
      <c r="C17" s="4" t="inlineStr">
        <is>
          <t>7</t>
        </is>
      </c>
      <c r="D17" s="4" t="inlineStr">
        <is>
          <t>下</t>
        </is>
      </c>
      <c r="E17" s="4" t="inlineStr">
        <is>
          <t>國文</t>
        </is>
      </c>
      <c r="F17" s="4" t="inlineStr">
        <is>
          <t>第一課 聲音鐘</t>
        </is>
      </c>
      <c r="G17" s="4" t="n"/>
      <c r="H17" s="4" t="inlineStr">
        <is>
          <t>114</t>
        </is>
      </c>
      <c r="I17" s="4" t="inlineStr">
        <is>
          <t>出版商頁面</t>
        </is>
      </c>
      <c r="J17" s="5" t="inlineStr">
        <is>
          <t>https://sites.google.com/hanlin.com.tw/112chwebppt/1%E4%B8%8B</t>
        </is>
      </c>
      <c r="K17" s="4" t="inlineStr">
        <is>
          <t>來源為翰林官方Google Sites「國文網頁版PPT」課次清單，頁面標題寫115年但入口標示【114下】，故記為114學年度；經搜尋摘要擷取</t>
        </is>
      </c>
    </row>
    <row r="18">
      <c r="A18" s="4" t="inlineStr">
        <is>
          <t>翰林</t>
        </is>
      </c>
      <c r="B18" s="4" t="inlineStr">
        <is>
          <t>國中</t>
        </is>
      </c>
      <c r="C18" s="4" t="inlineStr">
        <is>
          <t>7</t>
        </is>
      </c>
      <c r="D18" s="4" t="inlineStr">
        <is>
          <t>下</t>
        </is>
      </c>
      <c r="E18" s="4" t="inlineStr">
        <is>
          <t>國文</t>
        </is>
      </c>
      <c r="F18" s="4" t="inlineStr">
        <is>
          <t>第二課 孩子的鐘塔</t>
        </is>
      </c>
      <c r="G18" s="4" t="n"/>
      <c r="H18" s="4" t="inlineStr">
        <is>
          <t>114</t>
        </is>
      </c>
      <c r="I18" s="4" t="inlineStr">
        <is>
          <t>出版商頁面</t>
        </is>
      </c>
      <c r="J18" s="5" t="inlineStr">
        <is>
          <t>https://sites.google.com/hanlin.com.tw/112chwebppt/1%E4%B8%8B</t>
        </is>
      </c>
      <c r="K18" s="4" t="inlineStr">
        <is>
          <t>來源為翰林官方Google Sites「國文網頁版PPT」課次清單，頁面標題寫115年但入口標示【114下】，故記為114學年度；經搜尋摘要擷取</t>
        </is>
      </c>
    </row>
    <row r="19">
      <c r="A19" s="4" t="inlineStr">
        <is>
          <t>翰林</t>
        </is>
      </c>
      <c r="B19" s="4" t="inlineStr">
        <is>
          <t>國中</t>
        </is>
      </c>
      <c r="C19" s="4" t="inlineStr">
        <is>
          <t>7</t>
        </is>
      </c>
      <c r="D19" s="4" t="inlineStr">
        <is>
          <t>下</t>
        </is>
      </c>
      <c r="E19" s="4" t="inlineStr">
        <is>
          <t>國文</t>
        </is>
      </c>
      <c r="F19" s="4" t="inlineStr">
        <is>
          <t>第三課 紙船印象</t>
        </is>
      </c>
      <c r="G19" s="4" t="n"/>
      <c r="H19" s="4" t="inlineStr">
        <is>
          <t>114</t>
        </is>
      </c>
      <c r="I19" s="4" t="inlineStr">
        <is>
          <t>出版商頁面</t>
        </is>
      </c>
      <c r="J19" s="5" t="inlineStr">
        <is>
          <t>https://sites.google.com/hanlin.com.tw/112chwebppt/1%E4%B8%8B</t>
        </is>
      </c>
      <c r="K19" s="4" t="inlineStr">
        <is>
          <t>來源為翰林官方Google Sites「國文網頁版PPT」課次清單，頁面標題寫115年但入口標示【114下】，故記為114學年度；經搜尋摘要擷取</t>
        </is>
      </c>
    </row>
    <row r="20">
      <c r="A20" s="4" t="inlineStr">
        <is>
          <t>翰林</t>
        </is>
      </c>
      <c r="B20" s="4" t="inlineStr">
        <is>
          <t>國中</t>
        </is>
      </c>
      <c r="C20" s="4" t="inlineStr">
        <is>
          <t>7</t>
        </is>
      </c>
      <c r="D20" s="4" t="inlineStr">
        <is>
          <t>下</t>
        </is>
      </c>
      <c r="E20" s="4" t="inlineStr">
        <is>
          <t>國文</t>
        </is>
      </c>
      <c r="F20" s="4" t="inlineStr">
        <is>
          <t>語文常識一 漢字的結構</t>
        </is>
      </c>
      <c r="G20" s="4" t="n"/>
      <c r="H20" s="4" t="inlineStr">
        <is>
          <t>114</t>
        </is>
      </c>
      <c r="I20" s="4" t="inlineStr">
        <is>
          <t>出版商頁面</t>
        </is>
      </c>
      <c r="J20" s="5" t="inlineStr">
        <is>
          <t>https://sites.google.com/hanlin.com.tw/112chwebppt/1%E4%B8%8B</t>
        </is>
      </c>
      <c r="K20" s="4" t="inlineStr">
        <is>
          <t>來源為翰林官方Google Sites「國文網頁版PPT」課次清單，頁面標題寫115年但入口標示【114下】，故記為114學年度；經搜尋摘要擷取；位於第三課與第四課之間；本冊語文常識二未查到</t>
        </is>
      </c>
    </row>
    <row r="21">
      <c r="A21" s="4" t="inlineStr">
        <is>
          <t>翰林</t>
        </is>
      </c>
      <c r="B21" s="4" t="inlineStr">
        <is>
          <t>國中</t>
        </is>
      </c>
      <c r="C21" s="4" t="inlineStr">
        <is>
          <t>7</t>
        </is>
      </c>
      <c r="D21" s="4" t="inlineStr">
        <is>
          <t>下</t>
        </is>
      </c>
      <c r="E21" s="4" t="inlineStr">
        <is>
          <t>國文</t>
        </is>
      </c>
      <c r="F21" s="4" t="inlineStr">
        <is>
          <t>第四課 小詩選</t>
        </is>
      </c>
      <c r="G21" s="4" t="n"/>
      <c r="H21" s="4" t="inlineStr">
        <is>
          <t>114</t>
        </is>
      </c>
      <c r="I21" s="4" t="inlineStr">
        <is>
          <t>出版商頁面</t>
        </is>
      </c>
      <c r="J21" s="5" t="inlineStr">
        <is>
          <t>https://sites.google.com/hanlin.com.tw/112chwebppt/1%E4%B8%8B</t>
        </is>
      </c>
      <c r="K21" s="4" t="inlineStr">
        <is>
          <t>來源為翰林官方Google Sites「國文網頁版PPT」課次清單，頁面標題寫115年但入口標示【114下】，故記為114學年度；經搜尋摘要擷取</t>
        </is>
      </c>
    </row>
    <row r="22">
      <c r="A22" s="4" t="inlineStr">
        <is>
          <t>翰林</t>
        </is>
      </c>
      <c r="B22" s="4" t="inlineStr">
        <is>
          <t>國中</t>
        </is>
      </c>
      <c r="C22" s="4" t="inlineStr">
        <is>
          <t>7</t>
        </is>
      </c>
      <c r="D22" s="4" t="inlineStr">
        <is>
          <t>下</t>
        </is>
      </c>
      <c r="E22" s="4" t="inlineStr">
        <is>
          <t>國文</t>
        </is>
      </c>
      <c r="F22" s="4" t="inlineStr">
        <is>
          <t>第五課 近體詩選</t>
        </is>
      </c>
      <c r="G22" s="4" t="n"/>
      <c r="H22" s="4" t="inlineStr">
        <is>
          <t>114</t>
        </is>
      </c>
      <c r="I22" s="4" t="inlineStr">
        <is>
          <t>出版商頁面</t>
        </is>
      </c>
      <c r="J22" s="5" t="inlineStr">
        <is>
          <t>https://sites.google.com/hanlin.com.tw/112chwebppt/1%E4%B8%8B</t>
        </is>
      </c>
      <c r="K22" s="4" t="inlineStr">
        <is>
          <t>來源為翰林官方Google Sites「國文網頁版PPT」課次清單，頁面標題寫115年但入口標示【114下】，故記為114學年度；經搜尋摘要擷取</t>
        </is>
      </c>
    </row>
    <row r="23">
      <c r="A23" s="4" t="inlineStr">
        <is>
          <t>翰林</t>
        </is>
      </c>
      <c r="B23" s="4" t="inlineStr">
        <is>
          <t>國中</t>
        </is>
      </c>
      <c r="C23" s="4" t="inlineStr">
        <is>
          <t>7</t>
        </is>
      </c>
      <c r="D23" s="4" t="inlineStr">
        <is>
          <t>下</t>
        </is>
      </c>
      <c r="E23" s="4" t="inlineStr">
        <is>
          <t>國文</t>
        </is>
      </c>
      <c r="F23" s="4" t="inlineStr">
        <is>
          <t>第六課 石虎是我們的龍貓</t>
        </is>
      </c>
      <c r="G23" s="4" t="n"/>
      <c r="H23" s="4" t="inlineStr">
        <is>
          <t>114</t>
        </is>
      </c>
      <c r="I23" s="4" t="inlineStr">
        <is>
          <t>出版商頁面</t>
        </is>
      </c>
      <c r="J23" s="5" t="inlineStr">
        <is>
          <t>https://sites.google.com/hanlin.com.tw/112chwebppt/1%E4%B8%8B</t>
        </is>
      </c>
      <c r="K23" s="4" t="inlineStr">
        <is>
          <t>來源為翰林官方Google Sites「國文網頁版PPT」課次清單，頁面標題寫115年但入口標示【114下】，故記為114學年度；經搜尋摘要擷取</t>
        </is>
      </c>
    </row>
    <row r="24">
      <c r="A24" s="4" t="inlineStr">
        <is>
          <t>翰林</t>
        </is>
      </c>
      <c r="B24" s="4" t="inlineStr">
        <is>
          <t>國中</t>
        </is>
      </c>
      <c r="C24" s="4" t="inlineStr">
        <is>
          <t>7</t>
        </is>
      </c>
      <c r="D24" s="4" t="inlineStr">
        <is>
          <t>下</t>
        </is>
      </c>
      <c r="E24" s="4" t="inlineStr">
        <is>
          <t>國文</t>
        </is>
      </c>
      <c r="F24" s="4" t="inlineStr">
        <is>
          <t>第七課 五柳先生傳</t>
        </is>
      </c>
      <c r="G24" s="4" t="n"/>
      <c r="H24" s="4" t="inlineStr">
        <is>
          <t>114</t>
        </is>
      </c>
      <c r="I24" s="4" t="inlineStr">
        <is>
          <t>出版商頁面</t>
        </is>
      </c>
      <c r="J24" s="5" t="inlineStr">
        <is>
          <t>https://sites.google.com/hanlin.com.tw/112chwebppt/1%E4%B8%8B</t>
        </is>
      </c>
      <c r="K24" s="4" t="inlineStr">
        <is>
          <t>來源為翰林官方Google Sites「國文網頁版PPT」課次清單，頁面標題寫115年但入口標示【114下】，故記為114學年度；經搜尋摘要擷取</t>
        </is>
      </c>
    </row>
    <row r="25">
      <c r="A25" s="4" t="inlineStr">
        <is>
          <t>翰林</t>
        </is>
      </c>
      <c r="B25" s="4" t="inlineStr">
        <is>
          <t>國中</t>
        </is>
      </c>
      <c r="C25" s="4" t="inlineStr">
        <is>
          <t>7</t>
        </is>
      </c>
      <c r="D25" s="4" t="inlineStr">
        <is>
          <t>下</t>
        </is>
      </c>
      <c r="E25" s="4" t="inlineStr">
        <is>
          <t>國文</t>
        </is>
      </c>
      <c r="F25" s="4" t="inlineStr">
        <is>
          <t>第八課 摩登土產鳳梨酥</t>
        </is>
      </c>
      <c r="G25" s="4" t="n"/>
      <c r="H25" s="4" t="inlineStr">
        <is>
          <t>114</t>
        </is>
      </c>
      <c r="I25" s="4" t="inlineStr">
        <is>
          <t>出版商頁面</t>
        </is>
      </c>
      <c r="J25" s="5" t="inlineStr">
        <is>
          <t>https://sites.google.com/hanlin.com.tw/112chwebppt/1%E4%B8%8B</t>
        </is>
      </c>
      <c r="K25" s="4" t="inlineStr">
        <is>
          <t>來源為翰林官方Google Sites「國文網頁版PPT」課次清單，頁面標題寫115年但入口標示【114下】，故記為114學年度；經搜尋摘要擷取</t>
        </is>
      </c>
    </row>
    <row r="26">
      <c r="A26" s="4" t="inlineStr">
        <is>
          <t>翰林</t>
        </is>
      </c>
      <c r="B26" s="4" t="inlineStr">
        <is>
          <t>國中</t>
        </is>
      </c>
      <c r="C26" s="4" t="inlineStr">
        <is>
          <t>7</t>
        </is>
      </c>
      <c r="D26" s="4" t="inlineStr">
        <is>
          <t>下</t>
        </is>
      </c>
      <c r="E26" s="4" t="inlineStr">
        <is>
          <t>國文</t>
        </is>
      </c>
      <c r="F26" s="4" t="inlineStr">
        <is>
          <t>第九課 謝天</t>
        </is>
      </c>
      <c r="G26" s="4" t="n"/>
      <c r="H26" s="4" t="inlineStr">
        <is>
          <t>114</t>
        </is>
      </c>
      <c r="I26" s="4" t="inlineStr">
        <is>
          <t>出版商頁面</t>
        </is>
      </c>
      <c r="J26" s="5" t="inlineStr">
        <is>
          <t>https://sites.google.com/hanlin.com.tw/112chwebppt/1%E4%B8%8B</t>
        </is>
      </c>
      <c r="K26" s="4" t="inlineStr">
        <is>
          <t>來源為翰林官方Google Sites「國文網頁版PPT」課次清單，頁面標題寫115年但入口標示【114下】，故記為114學年度；經搜尋摘要擷取</t>
        </is>
      </c>
    </row>
    <row r="27">
      <c r="A27" s="4" t="inlineStr">
        <is>
          <t>翰林</t>
        </is>
      </c>
      <c r="B27" s="4" t="inlineStr">
        <is>
          <t>國中</t>
        </is>
      </c>
      <c r="C27" s="4" t="inlineStr">
        <is>
          <t>7</t>
        </is>
      </c>
      <c r="D27" s="4" t="inlineStr">
        <is>
          <t>下</t>
        </is>
      </c>
      <c r="E27" s="4" t="inlineStr">
        <is>
          <t>國文</t>
        </is>
      </c>
      <c r="F27" s="4" t="inlineStr">
        <is>
          <t>第十課 貓的天堂</t>
        </is>
      </c>
      <c r="G27" s="4" t="n"/>
      <c r="H27" s="4" t="inlineStr">
        <is>
          <t>114</t>
        </is>
      </c>
      <c r="I27" s="4" t="inlineStr">
        <is>
          <t>出版商頁面</t>
        </is>
      </c>
      <c r="J27" s="5" t="inlineStr">
        <is>
          <t>https://sites.google.com/hanlin.com.tw/112chwebppt/1%E4%B8%8B</t>
        </is>
      </c>
      <c r="K27" s="4" t="inlineStr">
        <is>
          <t>來源為翰林官方Google Sites「國文網頁版PPT」課次清單，頁面標題寫115年但入口標示【114下】，故記為114學年度；經搜尋摘要擷取</t>
        </is>
      </c>
    </row>
    <row r="28">
      <c r="A28" s="4" t="inlineStr">
        <is>
          <t>翰林</t>
        </is>
      </c>
      <c r="B28" s="4" t="inlineStr">
        <is>
          <t>國中</t>
        </is>
      </c>
      <c r="C28" s="4" t="inlineStr">
        <is>
          <t>7</t>
        </is>
      </c>
      <c r="D28" s="4" t="inlineStr">
        <is>
          <t>下</t>
        </is>
      </c>
      <c r="E28" s="4" t="inlineStr">
        <is>
          <t>國文</t>
        </is>
      </c>
      <c r="F28" s="4" t="inlineStr">
        <is>
          <t>自學一 六朝志怪小說選</t>
        </is>
      </c>
      <c r="G28" s="4" t="n"/>
      <c r="H28" s="4" t="inlineStr">
        <is>
          <t>114</t>
        </is>
      </c>
      <c r="I28" s="4" t="inlineStr">
        <is>
          <t>出版商頁面</t>
        </is>
      </c>
      <c r="J28" s="5" t="inlineStr">
        <is>
          <t>https://sites.google.com/hanlin.com.tw/112chwebppt/1%E4%B8%8B</t>
        </is>
      </c>
      <c r="K28" s="4" t="inlineStr">
        <is>
          <t>來源為翰林官方Google Sites「國文網頁版PPT」課次清單，頁面標題寫115年但入口標示【114下】，故記為114學年度；經搜尋摘要擷取</t>
        </is>
      </c>
    </row>
    <row r="29">
      <c r="A29" s="4" t="inlineStr">
        <is>
          <t>翰林</t>
        </is>
      </c>
      <c r="B29" s="4" t="inlineStr">
        <is>
          <t>國中</t>
        </is>
      </c>
      <c r="C29" s="4" t="inlineStr">
        <is>
          <t>7</t>
        </is>
      </c>
      <c r="D29" s="4" t="inlineStr">
        <is>
          <t>下</t>
        </is>
      </c>
      <c r="E29" s="4" t="inlineStr">
        <is>
          <t>國文</t>
        </is>
      </c>
      <c r="F29" s="4" t="inlineStr">
        <is>
          <t>自學二 放天燈</t>
        </is>
      </c>
      <c r="G29" s="4" t="n"/>
      <c r="H29" s="4" t="inlineStr">
        <is>
          <t>114</t>
        </is>
      </c>
      <c r="I29" s="4" t="inlineStr">
        <is>
          <t>出版商頁面</t>
        </is>
      </c>
      <c r="J29" s="5" t="inlineStr">
        <is>
          <t>https://sites.google.com/hanlin.com.tw/112chwebppt/1%E4%B8%8B</t>
        </is>
      </c>
      <c r="K29" s="4" t="inlineStr">
        <is>
          <t>來源為翰林官方Google Sites「國文網頁版PPT」課次清單，頁面標題寫115年但入口標示【114下】，故記為114學年度；經搜尋摘要擷取</t>
        </is>
      </c>
    </row>
    <row r="30">
      <c r="A30" s="4" t="inlineStr">
        <is>
          <t>翰林</t>
        </is>
      </c>
      <c r="B30" s="4" t="inlineStr">
        <is>
          <t>國中</t>
        </is>
      </c>
      <c r="C30" s="4" t="inlineStr">
        <is>
          <t>7</t>
        </is>
      </c>
      <c r="D30" s="4" t="inlineStr">
        <is>
          <t>下</t>
        </is>
      </c>
      <c r="E30" s="4" t="inlineStr">
        <is>
          <t>國文</t>
        </is>
      </c>
      <c r="F30" s="4" t="inlineStr">
        <is>
          <t>自學三 越南安妮</t>
        </is>
      </c>
      <c r="G30" s="4" t="n"/>
      <c r="H30" s="4" t="inlineStr">
        <is>
          <t>114</t>
        </is>
      </c>
      <c r="I30" s="4" t="inlineStr">
        <is>
          <t>出版商頁面</t>
        </is>
      </c>
      <c r="J30" s="5" t="inlineStr">
        <is>
          <t>https://sites.google.com/hanlin.com.tw/112chwebppt/1%E4%B8%8B</t>
        </is>
      </c>
      <c r="K30" s="4" t="inlineStr">
        <is>
          <t>來源為翰林官方Google Sites「國文網頁版PPT」課次清單，頁面標題寫115年但入口標示【114下】，故記為114學年度；經搜尋摘要擷取</t>
        </is>
      </c>
    </row>
    <row r="31">
      <c r="A31" s="4" t="inlineStr">
        <is>
          <t>翰林</t>
        </is>
      </c>
      <c r="B31" s="4" t="inlineStr">
        <is>
          <t>國中</t>
        </is>
      </c>
      <c r="C31" s="4" t="inlineStr">
        <is>
          <t>8</t>
        </is>
      </c>
      <c r="D31" s="4" t="inlineStr">
        <is>
          <t>上</t>
        </is>
      </c>
      <c r="E31" s="4" t="inlineStr">
        <is>
          <t>國文</t>
        </is>
      </c>
      <c r="F31" s="4" t="inlineStr">
        <is>
          <t>第一課 田園之秋選</t>
        </is>
      </c>
      <c r="G31" s="4" t="n"/>
      <c r="H31" s="4" t="inlineStr">
        <is>
          <t>115</t>
        </is>
      </c>
      <c r="I31" s="4" t="inlineStr">
        <is>
          <t>出版商頁面</t>
        </is>
      </c>
      <c r="J31" s="5" t="inlineStr">
        <is>
          <t>https://sites.google.com/hanlin.com.tw/112chwebppt/2%E4%B8%8A</t>
        </is>
      </c>
      <c r="K31" s="4" t="inlineStr">
        <is>
          <t>來源為翰林官方Google Sites「國文網頁版PPT」課次清單，頁面標示【115上】入口；經搜尋摘要擷取，非直接開啟頁面</t>
        </is>
      </c>
    </row>
    <row r="32">
      <c r="A32" s="4" t="inlineStr">
        <is>
          <t>翰林</t>
        </is>
      </c>
      <c r="B32" s="4" t="inlineStr">
        <is>
          <t>國中</t>
        </is>
      </c>
      <c r="C32" s="4" t="inlineStr">
        <is>
          <t>8</t>
        </is>
      </c>
      <c r="D32" s="4" t="inlineStr">
        <is>
          <t>上</t>
        </is>
      </c>
      <c r="E32" s="4" t="inlineStr">
        <is>
          <t>國文</t>
        </is>
      </c>
      <c r="F32" s="4" t="inlineStr">
        <is>
          <t>第二課 古詩選</t>
        </is>
      </c>
      <c r="G32" s="4" t="n"/>
      <c r="H32" s="4" t="inlineStr">
        <is>
          <t>115</t>
        </is>
      </c>
      <c r="I32" s="4" t="inlineStr">
        <is>
          <t>出版商頁面</t>
        </is>
      </c>
      <c r="J32" s="5" t="inlineStr">
        <is>
          <t>https://sites.google.com/hanlin.com.tw/112chwebppt/2%E4%B8%8A</t>
        </is>
      </c>
      <c r="K32" s="4" t="inlineStr">
        <is>
          <t>來源為翰林官方Google Sites「國文網頁版PPT」課次清單，頁面標示【115上】入口；經搜尋摘要擷取，非直接開啟頁面</t>
        </is>
      </c>
    </row>
    <row r="33">
      <c r="A33" s="4" t="inlineStr">
        <is>
          <t>翰林</t>
        </is>
      </c>
      <c r="B33" s="4" t="inlineStr">
        <is>
          <t>國中</t>
        </is>
      </c>
      <c r="C33" s="4" t="inlineStr">
        <is>
          <t>8</t>
        </is>
      </c>
      <c r="D33" s="4" t="inlineStr">
        <is>
          <t>上</t>
        </is>
      </c>
      <c r="E33" s="4" t="inlineStr">
        <is>
          <t>國文</t>
        </is>
      </c>
      <c r="F33" s="4" t="inlineStr">
        <is>
          <t>第三課 下雨天，真好</t>
        </is>
      </c>
      <c r="G33" s="4" t="n"/>
      <c r="H33" s="4" t="inlineStr">
        <is>
          <t>115</t>
        </is>
      </c>
      <c r="I33" s="4" t="inlineStr">
        <is>
          <t>出版商頁面</t>
        </is>
      </c>
      <c r="J33" s="5" t="inlineStr">
        <is>
          <t>https://sites.google.com/hanlin.com.tw/112chwebppt/2%E4%B8%8A</t>
        </is>
      </c>
      <c r="K33" s="4" t="inlineStr">
        <is>
          <t>來源為翰林官方Google Sites「國文網頁版PPT」課次清單，頁面標示【115上】入口；經搜尋摘要擷取，非直接開啟頁面</t>
        </is>
      </c>
    </row>
    <row r="34">
      <c r="A34" s="4" t="inlineStr">
        <is>
          <t>翰林</t>
        </is>
      </c>
      <c r="B34" s="4" t="inlineStr">
        <is>
          <t>國中</t>
        </is>
      </c>
      <c r="C34" s="4" t="inlineStr">
        <is>
          <t>8</t>
        </is>
      </c>
      <c r="D34" s="4" t="inlineStr">
        <is>
          <t>上</t>
        </is>
      </c>
      <c r="E34" s="4" t="inlineStr">
        <is>
          <t>國文</t>
        </is>
      </c>
      <c r="F34" s="4" t="inlineStr">
        <is>
          <t>語文常識一 語法(上)詞類</t>
        </is>
      </c>
      <c r="G34" s="4" t="n"/>
      <c r="H34" s="4" t="inlineStr">
        <is>
          <t>115</t>
        </is>
      </c>
      <c r="I34" s="4" t="inlineStr">
        <is>
          <t>出版商頁面</t>
        </is>
      </c>
      <c r="J34" s="5" t="inlineStr">
        <is>
          <t>https://sites.google.com/hanlin.com.tw/112chwebppt/2%E4%B8%8A</t>
        </is>
      </c>
      <c r="K34" s="4" t="inlineStr">
        <is>
          <t>來源為翰林官方Google Sites「國文網頁版PPT」課次清單，頁面標示【115上】入口；經搜尋摘要擷取，非直接開啟頁面</t>
        </is>
      </c>
    </row>
    <row r="35">
      <c r="A35" s="4" t="inlineStr">
        <is>
          <t>翰林</t>
        </is>
      </c>
      <c r="B35" s="4" t="inlineStr">
        <is>
          <t>國中</t>
        </is>
      </c>
      <c r="C35" s="4" t="inlineStr">
        <is>
          <t>8</t>
        </is>
      </c>
      <c r="D35" s="4" t="inlineStr">
        <is>
          <t>上</t>
        </is>
      </c>
      <c r="E35" s="4" t="inlineStr">
        <is>
          <t>國文</t>
        </is>
      </c>
      <c r="F35" s="4" t="inlineStr">
        <is>
          <t>第四課 愛蓮說</t>
        </is>
      </c>
      <c r="G35" s="4" t="n"/>
      <c r="H35" s="4" t="inlineStr">
        <is>
          <t>115</t>
        </is>
      </c>
      <c r="I35" s="4" t="inlineStr">
        <is>
          <t>出版商頁面</t>
        </is>
      </c>
      <c r="J35" s="5" t="inlineStr">
        <is>
          <t>https://sites.google.com/hanlin.com.tw/112chwebppt/2%E4%B8%8A</t>
        </is>
      </c>
      <c r="K35" s="4" t="inlineStr">
        <is>
          <t>來源為翰林官方Google Sites「國文網頁版PPT」課次清單，頁面標示【115上】入口；經搜尋摘要擷取，非直接開啟頁面</t>
        </is>
      </c>
    </row>
    <row r="36">
      <c r="A36" s="4" t="inlineStr">
        <is>
          <t>翰林</t>
        </is>
      </c>
      <c r="B36" s="4" t="inlineStr">
        <is>
          <t>國中</t>
        </is>
      </c>
      <c r="C36" s="4" t="inlineStr">
        <is>
          <t>8</t>
        </is>
      </c>
      <c r="D36" s="4" t="inlineStr">
        <is>
          <t>上</t>
        </is>
      </c>
      <c r="E36" s="4" t="inlineStr">
        <is>
          <t>國文</t>
        </is>
      </c>
      <c r="F36" s="4" t="inlineStr">
        <is>
          <t>第五課 生命中的碎珠</t>
        </is>
      </c>
      <c r="G36" s="4" t="n"/>
      <c r="H36" s="4" t="inlineStr">
        <is>
          <t>115</t>
        </is>
      </c>
      <c r="I36" s="4" t="inlineStr">
        <is>
          <t>出版商頁面</t>
        </is>
      </c>
      <c r="J36" s="5" t="inlineStr">
        <is>
          <t>https://sites.google.com/hanlin.com.tw/112chwebppt/2%E4%B8%8A</t>
        </is>
      </c>
      <c r="K36" s="4" t="inlineStr">
        <is>
          <t>來源為翰林官方Google Sites「國文網頁版PPT」課次清單，頁面標示【115上】入口；經搜尋摘要擷取，非直接開啟頁面</t>
        </is>
      </c>
    </row>
    <row r="37">
      <c r="A37" s="4" t="inlineStr">
        <is>
          <t>翰林</t>
        </is>
      </c>
      <c r="B37" s="4" t="inlineStr">
        <is>
          <t>國中</t>
        </is>
      </c>
      <c r="C37" s="4" t="inlineStr">
        <is>
          <t>8</t>
        </is>
      </c>
      <c r="D37" s="4" t="inlineStr">
        <is>
          <t>上</t>
        </is>
      </c>
      <c r="E37" s="4" t="inlineStr">
        <is>
          <t>國文</t>
        </is>
      </c>
      <c r="F37" s="4" t="inlineStr">
        <is>
          <t>第六課 鳥</t>
        </is>
      </c>
      <c r="G37" s="4" t="n"/>
      <c r="H37" s="4" t="inlineStr">
        <is>
          <t>115</t>
        </is>
      </c>
      <c r="I37" s="4" t="inlineStr">
        <is>
          <t>出版商頁面</t>
        </is>
      </c>
      <c r="J37" s="5" t="inlineStr">
        <is>
          <t>https://sites.google.com/hanlin.com.tw/112chwebppt/2%E4%B8%8A</t>
        </is>
      </c>
      <c r="K37" s="4" t="inlineStr">
        <is>
          <t>來源為翰林官方Google Sites「國文網頁版PPT」課次清單，頁面標示【115上】入口；經搜尋摘要擷取，非直接開啟頁面</t>
        </is>
      </c>
    </row>
    <row r="38">
      <c r="A38" s="4" t="inlineStr">
        <is>
          <t>翰林</t>
        </is>
      </c>
      <c r="B38" s="4" t="inlineStr">
        <is>
          <t>國中</t>
        </is>
      </c>
      <c r="C38" s="4" t="inlineStr">
        <is>
          <t>8</t>
        </is>
      </c>
      <c r="D38" s="4" t="inlineStr">
        <is>
          <t>上</t>
        </is>
      </c>
      <c r="E38" s="4" t="inlineStr">
        <is>
          <t>國文</t>
        </is>
      </c>
      <c r="F38" s="4" t="inlineStr">
        <is>
          <t>語文常識二 語法(下)句子</t>
        </is>
      </c>
      <c r="G38" s="4" t="n"/>
      <c r="H38" s="4" t="inlineStr">
        <is>
          <t>115</t>
        </is>
      </c>
      <c r="I38" s="4" t="inlineStr">
        <is>
          <t>出版商頁面</t>
        </is>
      </c>
      <c r="J38" s="5" t="inlineStr">
        <is>
          <t>https://sites.google.com/hanlin.com.tw/112chwebppt/2%E4%B8%8A</t>
        </is>
      </c>
      <c r="K38" s="4" t="inlineStr">
        <is>
          <t>來源為翰林官方Google Sites「國文網頁版PPT」課次清單，頁面標示【115上】入口；經搜尋摘要擷取，非直接開啟頁面</t>
        </is>
      </c>
    </row>
    <row r="39">
      <c r="A39" s="4" t="inlineStr">
        <is>
          <t>翰林</t>
        </is>
      </c>
      <c r="B39" s="4" t="inlineStr">
        <is>
          <t>國中</t>
        </is>
      </c>
      <c r="C39" s="4" t="inlineStr">
        <is>
          <t>8</t>
        </is>
      </c>
      <c r="D39" s="4" t="inlineStr">
        <is>
          <t>上</t>
        </is>
      </c>
      <c r="E39" s="4" t="inlineStr">
        <is>
          <t>國文</t>
        </is>
      </c>
      <c r="F39" s="4" t="inlineStr">
        <is>
          <t>第七課 張釋之執法</t>
        </is>
      </c>
      <c r="G39" s="4" t="n"/>
      <c r="H39" s="4" t="inlineStr">
        <is>
          <t>115</t>
        </is>
      </c>
      <c r="I39" s="4" t="inlineStr">
        <is>
          <t>出版商頁面</t>
        </is>
      </c>
      <c r="J39" s="5" t="inlineStr">
        <is>
          <t>https://sites.google.com/hanlin.com.tw/112chwebppt/2%E4%B8%8A</t>
        </is>
      </c>
      <c r="K39" s="4" t="inlineStr">
        <is>
          <t>來源為翰林官方Google Sites「國文網頁版PPT」課次清單，頁面標示【115上】入口；經搜尋摘要擷取，非直接開啟頁面</t>
        </is>
      </c>
    </row>
    <row r="40">
      <c r="A40" s="4" t="inlineStr">
        <is>
          <t>翰林</t>
        </is>
      </c>
      <c r="B40" s="4" t="inlineStr">
        <is>
          <t>國中</t>
        </is>
      </c>
      <c r="C40" s="4" t="inlineStr">
        <is>
          <t>8</t>
        </is>
      </c>
      <c r="D40" s="4" t="inlineStr">
        <is>
          <t>上</t>
        </is>
      </c>
      <c r="E40" s="4" t="inlineStr">
        <is>
          <t>國文</t>
        </is>
      </c>
      <c r="F40" s="4" t="inlineStr">
        <is>
          <t>第八課 找尋失落的水源</t>
        </is>
      </c>
      <c r="G40" s="4" t="n"/>
      <c r="H40" s="4" t="inlineStr">
        <is>
          <t>115</t>
        </is>
      </c>
      <c r="I40" s="4" t="inlineStr">
        <is>
          <t>出版商頁面</t>
        </is>
      </c>
      <c r="J40" s="5" t="inlineStr">
        <is>
          <t>https://sites.google.com/hanlin.com.tw/112chwebppt/2%E4%B8%8A</t>
        </is>
      </c>
      <c r="K40" s="4" t="inlineStr">
        <is>
          <t>來源為翰林官方Google Sites「國文網頁版PPT」課次清單，頁面標示【115上】入口；經搜尋摘要擷取，非直接開啟頁面</t>
        </is>
      </c>
    </row>
    <row r="41">
      <c r="A41" s="4" t="inlineStr">
        <is>
          <t>翰林</t>
        </is>
      </c>
      <c r="B41" s="4" t="inlineStr">
        <is>
          <t>國中</t>
        </is>
      </c>
      <c r="C41" s="4" t="inlineStr">
        <is>
          <t>8</t>
        </is>
      </c>
      <c r="D41" s="4" t="inlineStr">
        <is>
          <t>上</t>
        </is>
      </c>
      <c r="E41" s="4" t="inlineStr">
        <is>
          <t>國文</t>
        </is>
      </c>
      <c r="F41" s="4" t="inlineStr">
        <is>
          <t>第九課 一棵開花的樹</t>
        </is>
      </c>
      <c r="G41" s="4" t="n"/>
      <c r="H41" s="4" t="inlineStr">
        <is>
          <t>115</t>
        </is>
      </c>
      <c r="I41" s="4" t="inlineStr">
        <is>
          <t>出版商頁面</t>
        </is>
      </c>
      <c r="J41" s="5" t="inlineStr">
        <is>
          <t>https://sites.google.com/hanlin.com.tw/112chwebppt/2%E4%B8%8A</t>
        </is>
      </c>
      <c r="K41" s="4" t="inlineStr">
        <is>
          <t>來源為翰林官方Google Sites「國文網頁版PPT」課次清單，頁面標示【115上】入口；經搜尋摘要擷取，非直接開啟頁面</t>
        </is>
      </c>
    </row>
    <row r="42">
      <c r="A42" s="4" t="inlineStr">
        <is>
          <t>翰林</t>
        </is>
      </c>
      <c r="B42" s="4" t="inlineStr">
        <is>
          <t>國中</t>
        </is>
      </c>
      <c r="C42" s="4" t="inlineStr">
        <is>
          <t>8</t>
        </is>
      </c>
      <c r="D42" s="4" t="inlineStr">
        <is>
          <t>上</t>
        </is>
      </c>
      <c r="E42" s="4" t="inlineStr">
        <is>
          <t>國文</t>
        </is>
      </c>
      <c r="F42" s="4" t="inlineStr">
        <is>
          <t>第十課 畫的哀傷</t>
        </is>
      </c>
      <c r="G42" s="4" t="n"/>
      <c r="H42" s="4" t="inlineStr">
        <is>
          <t>115</t>
        </is>
      </c>
      <c r="I42" s="4" t="inlineStr">
        <is>
          <t>出版商頁面</t>
        </is>
      </c>
      <c r="J42" s="5" t="inlineStr">
        <is>
          <t>https://sites.google.com/hanlin.com.tw/112chwebppt/2%E4%B8%8A</t>
        </is>
      </c>
      <c r="K42" s="4" t="inlineStr">
        <is>
          <t>來源為翰林官方Google Sites「國文網頁版PPT」課次清單，頁面標示【115上】入口；經搜尋摘要擷取，非直接開啟頁面</t>
        </is>
      </c>
    </row>
    <row r="43">
      <c r="A43" s="4" t="inlineStr">
        <is>
          <t>翰林</t>
        </is>
      </c>
      <c r="B43" s="4" t="inlineStr">
        <is>
          <t>國中</t>
        </is>
      </c>
      <c r="C43" s="4" t="inlineStr">
        <is>
          <t>8</t>
        </is>
      </c>
      <c r="D43" s="4" t="inlineStr">
        <is>
          <t>上</t>
        </is>
      </c>
      <c r="E43" s="4" t="inlineStr">
        <is>
          <t>國文</t>
        </is>
      </c>
      <c r="F43" s="4" t="inlineStr">
        <is>
          <t>自學一 世說新語選</t>
        </is>
      </c>
      <c r="G43" s="4" t="n"/>
      <c r="H43" s="4" t="inlineStr">
        <is>
          <t>115</t>
        </is>
      </c>
      <c r="I43" s="4" t="inlineStr">
        <is>
          <t>出版商頁面</t>
        </is>
      </c>
      <c r="J43" s="5" t="inlineStr">
        <is>
          <t>https://sites.google.com/hanlin.com.tw/112chwebppt/2%E4%B8%8A</t>
        </is>
      </c>
      <c r="K43" s="4" t="inlineStr">
        <is>
          <t>來源為翰林官方Google Sites「國文網頁版PPT」課次清單，頁面標示【115上】入口；經搜尋摘要擷取，非直接開啟頁面</t>
        </is>
      </c>
    </row>
    <row r="44">
      <c r="A44" s="4" t="inlineStr">
        <is>
          <t>翰林</t>
        </is>
      </c>
      <c r="B44" s="4" t="inlineStr">
        <is>
          <t>國中</t>
        </is>
      </c>
      <c r="C44" s="4" t="inlineStr">
        <is>
          <t>8</t>
        </is>
      </c>
      <c r="D44" s="4" t="inlineStr">
        <is>
          <t>上</t>
        </is>
      </c>
      <c r="E44" s="4" t="inlineStr">
        <is>
          <t>國文</t>
        </is>
      </c>
      <c r="F44" s="4" t="inlineStr">
        <is>
          <t>自學二 一團人生</t>
        </is>
      </c>
      <c r="G44" s="4" t="n"/>
      <c r="H44" s="4" t="inlineStr">
        <is>
          <t>115</t>
        </is>
      </c>
      <c r="I44" s="4" t="inlineStr">
        <is>
          <t>出版商頁面</t>
        </is>
      </c>
      <c r="J44" s="5" t="inlineStr">
        <is>
          <t>https://sites.google.com/hanlin.com.tw/112chwebppt/2%E4%B8%8A</t>
        </is>
      </c>
      <c r="K44" s="4" t="inlineStr">
        <is>
          <t>來源為翰林官方Google Sites「國文網頁版PPT」課次清單，頁面標示【115上】入口；經搜尋摘要擷取，非直接開啟頁面</t>
        </is>
      </c>
    </row>
    <row r="45">
      <c r="A45" s="4" t="inlineStr">
        <is>
          <t>翰林</t>
        </is>
      </c>
      <c r="B45" s="4" t="inlineStr">
        <is>
          <t>國中</t>
        </is>
      </c>
      <c r="C45" s="4" t="inlineStr">
        <is>
          <t>8</t>
        </is>
      </c>
      <c r="D45" s="4" t="inlineStr">
        <is>
          <t>上</t>
        </is>
      </c>
      <c r="E45" s="4" t="inlineStr">
        <is>
          <t>國文</t>
        </is>
      </c>
      <c r="F45" s="4" t="inlineStr">
        <is>
          <t>自學三 孤獨，也要讓夢想開花</t>
        </is>
      </c>
      <c r="G45" s="4" t="n"/>
      <c r="H45" s="4" t="inlineStr">
        <is>
          <t>115</t>
        </is>
      </c>
      <c r="I45" s="4" t="inlineStr">
        <is>
          <t>出版商頁面</t>
        </is>
      </c>
      <c r="J45" s="5" t="inlineStr">
        <is>
          <t>https://sites.google.com/hanlin.com.tw/112chwebppt/2%E4%B8%8A</t>
        </is>
      </c>
      <c r="K45" s="4" t="inlineStr">
        <is>
          <t>來源為翰林官方Google Sites「國文網頁版PPT」課次清單，頁面標示【115上】入口；經搜尋摘要擷取，非直接開啟頁面</t>
        </is>
      </c>
    </row>
    <row r="46">
      <c r="A46" s="4" t="inlineStr">
        <is>
          <t>翰林</t>
        </is>
      </c>
      <c r="B46" s="4" t="inlineStr">
        <is>
          <t>國中</t>
        </is>
      </c>
      <c r="C46" s="4" t="inlineStr">
        <is>
          <t>8</t>
        </is>
      </c>
      <c r="D46" s="4" t="inlineStr">
        <is>
          <t>下</t>
        </is>
      </c>
      <c r="E46" s="4" t="inlineStr">
        <is>
          <t>國文</t>
        </is>
      </c>
      <c r="F46" s="4" t="inlineStr">
        <is>
          <t>第一課 運動家的風度</t>
        </is>
      </c>
      <c r="G46" s="4" t="n"/>
      <c r="H46" s="4" t="inlineStr">
        <is>
          <t>114</t>
        </is>
      </c>
      <c r="I46" s="4" t="inlineStr">
        <is>
          <t>出版商頁面</t>
        </is>
      </c>
      <c r="J46" s="5" t="inlineStr">
        <is>
          <t>https://sites.google.com/hanlin.com.tw/112chwebppt/2%E4%B8%8B</t>
        </is>
      </c>
      <c r="K46" s="4" t="inlineStr">
        <is>
          <t>來源為翰林官方Google Sites「國文網頁版PPT」課次清單，頁面標題寫115年但入口標示【114下】，故記為114學年度；經搜尋摘要擷取</t>
        </is>
      </c>
    </row>
    <row r="47">
      <c r="A47" s="4" t="inlineStr">
        <is>
          <t>翰林</t>
        </is>
      </c>
      <c r="B47" s="4" t="inlineStr">
        <is>
          <t>國中</t>
        </is>
      </c>
      <c r="C47" s="4" t="inlineStr">
        <is>
          <t>8</t>
        </is>
      </c>
      <c r="D47" s="4" t="inlineStr">
        <is>
          <t>下</t>
        </is>
      </c>
      <c r="E47" s="4" t="inlineStr">
        <is>
          <t>國文</t>
        </is>
      </c>
      <c r="F47" s="4" t="inlineStr">
        <is>
          <t>第二課 木蘭詩</t>
        </is>
      </c>
      <c r="G47" s="4" t="n"/>
      <c r="H47" s="4" t="inlineStr">
        <is>
          <t>114</t>
        </is>
      </c>
      <c r="I47" s="4" t="inlineStr">
        <is>
          <t>出版商頁面</t>
        </is>
      </c>
      <c r="J47" s="5" t="inlineStr">
        <is>
          <t>https://sites.google.com/hanlin.com.tw/112chwebppt/2%E4%B8%8B</t>
        </is>
      </c>
      <c r="K47" s="4" t="inlineStr">
        <is>
          <t>來源為翰林官方Google Sites「國文網頁版PPT」課次清單，頁面標題寫115年但入口標示【114下】，故記為114學年度；經搜尋摘要擷取</t>
        </is>
      </c>
    </row>
    <row r="48">
      <c r="A48" s="4" t="inlineStr">
        <is>
          <t>翰林</t>
        </is>
      </c>
      <c r="B48" s="4" t="inlineStr">
        <is>
          <t>國中</t>
        </is>
      </c>
      <c r="C48" s="4" t="inlineStr">
        <is>
          <t>8</t>
        </is>
      </c>
      <c r="D48" s="4" t="inlineStr">
        <is>
          <t>下</t>
        </is>
      </c>
      <c r="E48" s="4" t="inlineStr">
        <is>
          <t>國文</t>
        </is>
      </c>
      <c r="F48" s="4" t="inlineStr">
        <is>
          <t>第三課 管好舌頭</t>
        </is>
      </c>
      <c r="G48" s="4" t="n"/>
      <c r="H48" s="4" t="inlineStr">
        <is>
          <t>114</t>
        </is>
      </c>
      <c r="I48" s="4" t="inlineStr">
        <is>
          <t>出版商頁面</t>
        </is>
      </c>
      <c r="J48" s="5" t="inlineStr">
        <is>
          <t>https://sites.google.com/hanlin.com.tw/112chwebppt/2%E4%B8%8B</t>
        </is>
      </c>
      <c r="K48" s="4" t="inlineStr">
        <is>
          <t>來源為翰林官方Google Sites「國文網頁版PPT」課次清單，頁面標題寫115年但入口標示【114下】，故記為114學年度；經搜尋摘要擷取</t>
        </is>
      </c>
    </row>
    <row r="49">
      <c r="A49" s="4" t="inlineStr">
        <is>
          <t>翰林</t>
        </is>
      </c>
      <c r="B49" s="4" t="inlineStr">
        <is>
          <t>國中</t>
        </is>
      </c>
      <c r="C49" s="4" t="inlineStr">
        <is>
          <t>8</t>
        </is>
      </c>
      <c r="D49" s="4" t="inlineStr">
        <is>
          <t>下</t>
        </is>
      </c>
      <c r="E49" s="4" t="inlineStr">
        <is>
          <t>國文</t>
        </is>
      </c>
      <c r="F49" s="4" t="inlineStr">
        <is>
          <t>語文常識一 應用文-書信、便條</t>
        </is>
      </c>
      <c r="G49" s="4" t="n"/>
      <c r="H49" s="4" t="inlineStr">
        <is>
          <t>114</t>
        </is>
      </c>
      <c r="I49" s="4" t="inlineStr">
        <is>
          <t>出版商頁面</t>
        </is>
      </c>
      <c r="J49" s="5" t="inlineStr">
        <is>
          <t>https://sites.google.com/hanlin.com.tw/112chwebppt/2%E4%B8%8B</t>
        </is>
      </c>
      <c r="K49" s="4" t="inlineStr">
        <is>
          <t>來源為翰林官方Google Sites「國文網頁版PPT」課次清單，頁面標題寫115年但入口標示【114下】，故記為114學年度；經搜尋摘要擷取</t>
        </is>
      </c>
    </row>
    <row r="50">
      <c r="A50" s="4" t="inlineStr">
        <is>
          <t>翰林</t>
        </is>
      </c>
      <c r="B50" s="4" t="inlineStr">
        <is>
          <t>國中</t>
        </is>
      </c>
      <c r="C50" s="4" t="inlineStr">
        <is>
          <t>8</t>
        </is>
      </c>
      <c r="D50" s="4" t="inlineStr">
        <is>
          <t>下</t>
        </is>
      </c>
      <c r="E50" s="4" t="inlineStr">
        <is>
          <t>國文</t>
        </is>
      </c>
      <c r="F50" s="4" t="inlineStr">
        <is>
          <t>第四課 我所知道的康橋</t>
        </is>
      </c>
      <c r="G50" s="4" t="n"/>
      <c r="H50" s="4" t="inlineStr">
        <is>
          <t>114</t>
        </is>
      </c>
      <c r="I50" s="4" t="inlineStr">
        <is>
          <t>出版商頁面</t>
        </is>
      </c>
      <c r="J50" s="5" t="inlineStr">
        <is>
          <t>https://sites.google.com/hanlin.com.tw/112chwebppt/2%E4%B8%8B</t>
        </is>
      </c>
      <c r="K50" s="4" t="inlineStr">
        <is>
          <t>來源為翰林官方Google Sites「國文網頁版PPT」課次清單，頁面標題寫115年但入口標示【114下】，故記為114學年度；經搜尋摘要擷取</t>
        </is>
      </c>
    </row>
    <row r="51">
      <c r="A51" s="4" t="inlineStr">
        <is>
          <t>翰林</t>
        </is>
      </c>
      <c r="B51" s="4" t="inlineStr">
        <is>
          <t>國中</t>
        </is>
      </c>
      <c r="C51" s="4" t="inlineStr">
        <is>
          <t>8</t>
        </is>
      </c>
      <c r="D51" s="4" t="inlineStr">
        <is>
          <t>下</t>
        </is>
      </c>
      <c r="E51" s="4" t="inlineStr">
        <is>
          <t>國文</t>
        </is>
      </c>
      <c r="F51" s="4" t="inlineStr">
        <is>
          <t>第五課 陋室銘</t>
        </is>
      </c>
      <c r="G51" s="4" t="n"/>
      <c r="H51" s="4" t="inlineStr">
        <is>
          <t>114</t>
        </is>
      </c>
      <c r="I51" s="4" t="inlineStr">
        <is>
          <t>出版商頁面</t>
        </is>
      </c>
      <c r="J51" s="5" t="inlineStr">
        <is>
          <t>https://sites.google.com/hanlin.com.tw/112chwebppt/2%E4%B8%8B</t>
        </is>
      </c>
      <c r="K51" s="4" t="inlineStr">
        <is>
          <t>來源為翰林官方Google Sites「國文網頁版PPT」課次清單，頁面標題寫115年但入口標示【114下】，故記為114學年度；經搜尋摘要擷取</t>
        </is>
      </c>
    </row>
    <row r="52">
      <c r="A52" s="4" t="inlineStr">
        <is>
          <t>翰林</t>
        </is>
      </c>
      <c r="B52" s="4" t="inlineStr">
        <is>
          <t>國中</t>
        </is>
      </c>
      <c r="C52" s="4" t="inlineStr">
        <is>
          <t>8</t>
        </is>
      </c>
      <c r="D52" s="4" t="inlineStr">
        <is>
          <t>下</t>
        </is>
      </c>
      <c r="E52" s="4" t="inlineStr">
        <is>
          <t>國文</t>
        </is>
      </c>
      <c r="F52" s="4" t="inlineStr">
        <is>
          <t>第六課 森林最優美的一天</t>
        </is>
      </c>
      <c r="G52" s="4" t="n"/>
      <c r="H52" s="4" t="inlineStr">
        <is>
          <t>114</t>
        </is>
      </c>
      <c r="I52" s="4" t="inlineStr">
        <is>
          <t>出版商頁面</t>
        </is>
      </c>
      <c r="J52" s="5" t="inlineStr">
        <is>
          <t>https://sites.google.com/hanlin.com.tw/112chwebppt/2%E4%B8%8B</t>
        </is>
      </c>
      <c r="K52" s="4" t="inlineStr">
        <is>
          <t>來源為翰林官方Google Sites「國文網頁版PPT」課次清單，頁面標題寫115年但入口標示【114下】，故記為114學年度；經搜尋摘要擷取</t>
        </is>
      </c>
    </row>
    <row r="53">
      <c r="A53" s="4" t="inlineStr">
        <is>
          <t>翰林</t>
        </is>
      </c>
      <c r="B53" s="4" t="inlineStr">
        <is>
          <t>國中</t>
        </is>
      </c>
      <c r="C53" s="4" t="inlineStr">
        <is>
          <t>8</t>
        </is>
      </c>
      <c r="D53" s="4" t="inlineStr">
        <is>
          <t>下</t>
        </is>
      </c>
      <c r="E53" s="4" t="inlineStr">
        <is>
          <t>國文</t>
        </is>
      </c>
      <c r="F53" s="4" t="inlineStr">
        <is>
          <t>語文常識二 應用文-題辭、柬帖</t>
        </is>
      </c>
      <c r="G53" s="4" t="n"/>
      <c r="H53" s="4" t="inlineStr">
        <is>
          <t>114</t>
        </is>
      </c>
      <c r="I53" s="4" t="inlineStr">
        <is>
          <t>出版商頁面</t>
        </is>
      </c>
      <c r="J53" s="5" t="inlineStr">
        <is>
          <t>https://sites.google.com/hanlin.com.tw/112chwebppt/2%E4%B8%8B</t>
        </is>
      </c>
      <c r="K53" s="4" t="inlineStr">
        <is>
          <t>來源為翰林官方Google Sites「國文網頁版PPT」課次清單，頁面標題寫115年但入口標示【114下】，故記為114學年度；經搜尋摘要擷取</t>
        </is>
      </c>
    </row>
    <row r="54">
      <c r="A54" s="4" t="inlineStr">
        <is>
          <t>翰林</t>
        </is>
      </c>
      <c r="B54" s="4" t="inlineStr">
        <is>
          <t>國中</t>
        </is>
      </c>
      <c r="C54" s="4" t="inlineStr">
        <is>
          <t>8</t>
        </is>
      </c>
      <c r="D54" s="4" t="inlineStr">
        <is>
          <t>下</t>
        </is>
      </c>
      <c r="E54" s="4" t="inlineStr">
        <is>
          <t>國文</t>
        </is>
      </c>
      <c r="F54" s="4" t="inlineStr">
        <is>
          <t>第七課 飛魚</t>
        </is>
      </c>
      <c r="G54" s="4" t="n"/>
      <c r="H54" s="4" t="inlineStr">
        <is>
          <t>114</t>
        </is>
      </c>
      <c r="I54" s="4" t="inlineStr">
        <is>
          <t>出版商頁面</t>
        </is>
      </c>
      <c r="J54" s="5" t="inlineStr">
        <is>
          <t>https://sites.google.com/hanlin.com.tw/112chwebppt/2%E4%B8%8B</t>
        </is>
      </c>
      <c r="K54" s="4" t="inlineStr">
        <is>
          <t>來源為翰林官方Google Sites「國文網頁版PPT」課次清單，頁面標題寫115年但入口標示【114下】，故記為114學年度；經搜尋摘要擷取</t>
        </is>
      </c>
    </row>
    <row r="55">
      <c r="A55" s="4" t="inlineStr">
        <is>
          <t>翰林</t>
        </is>
      </c>
      <c r="B55" s="4" t="inlineStr">
        <is>
          <t>國中</t>
        </is>
      </c>
      <c r="C55" s="4" t="inlineStr">
        <is>
          <t>8</t>
        </is>
      </c>
      <c r="D55" s="4" t="inlineStr">
        <is>
          <t>下</t>
        </is>
      </c>
      <c r="E55" s="4" t="inlineStr">
        <is>
          <t>國文</t>
        </is>
      </c>
      <c r="F55" s="4" t="inlineStr">
        <is>
          <t>第八課 空城計</t>
        </is>
      </c>
      <c r="G55" s="4" t="n"/>
      <c r="H55" s="4" t="inlineStr">
        <is>
          <t>114</t>
        </is>
      </c>
      <c r="I55" s="4" t="inlineStr">
        <is>
          <t>出版商頁面</t>
        </is>
      </c>
      <c r="J55" s="5" t="inlineStr">
        <is>
          <t>https://sites.google.com/hanlin.com.tw/112chwebppt/2%E4%B8%8B</t>
        </is>
      </c>
      <c r="K55" s="4" t="inlineStr">
        <is>
          <t>來源為翰林官方Google Sites「國文網頁版PPT」課次清單，頁面標題寫115年但入口標示【114下】，故記為114學年度；經搜尋摘要擷取</t>
        </is>
      </c>
    </row>
    <row r="56">
      <c r="A56" s="4" t="inlineStr">
        <is>
          <t>翰林</t>
        </is>
      </c>
      <c r="B56" s="4" t="inlineStr">
        <is>
          <t>國中</t>
        </is>
      </c>
      <c r="C56" s="4" t="inlineStr">
        <is>
          <t>8</t>
        </is>
      </c>
      <c r="D56" s="4" t="inlineStr">
        <is>
          <t>下</t>
        </is>
      </c>
      <c r="E56" s="4" t="inlineStr">
        <is>
          <t>國文</t>
        </is>
      </c>
      <c r="F56" s="4" t="inlineStr">
        <is>
          <t>第九課 汨羅江神</t>
        </is>
      </c>
      <c r="G56" s="4" t="n"/>
      <c r="H56" s="4" t="inlineStr">
        <is>
          <t>114</t>
        </is>
      </c>
      <c r="I56" s="4" t="inlineStr">
        <is>
          <t>出版商頁面</t>
        </is>
      </c>
      <c r="J56" s="5" t="inlineStr">
        <is>
          <t>https://sites.google.com/hanlin.com.tw/112chwebppt/2%E4%B8%8B</t>
        </is>
      </c>
      <c r="K56" s="4" t="inlineStr">
        <is>
          <t>來源為翰林官方Google Sites「國文網頁版PPT」課次清單，頁面標題寫115年但入口標示【114下】，故記為114學年度；經搜尋摘要擷取</t>
        </is>
      </c>
    </row>
    <row r="57">
      <c r="A57" s="4" t="inlineStr">
        <is>
          <t>翰林</t>
        </is>
      </c>
      <c r="B57" s="4" t="inlineStr">
        <is>
          <t>國中</t>
        </is>
      </c>
      <c r="C57" s="4" t="inlineStr">
        <is>
          <t>8</t>
        </is>
      </c>
      <c r="D57" s="4" t="inlineStr">
        <is>
          <t>下</t>
        </is>
      </c>
      <c r="E57" s="4" t="inlineStr">
        <is>
          <t>國文</t>
        </is>
      </c>
      <c r="F57" s="4" t="inlineStr">
        <is>
          <t>第十課 科幻極短篇選</t>
        </is>
      </c>
      <c r="G57" s="4" t="n"/>
      <c r="H57" s="4" t="inlineStr">
        <is>
          <t>114</t>
        </is>
      </c>
      <c r="I57" s="4" t="inlineStr">
        <is>
          <t>出版商頁面</t>
        </is>
      </c>
      <c r="J57" s="5" t="inlineStr">
        <is>
          <t>https://sites.google.com/hanlin.com.tw/112chwebppt/2%E4%B8%8B</t>
        </is>
      </c>
      <c r="K57" s="4" t="inlineStr">
        <is>
          <t>來源為翰林官方Google Sites「國文網頁版PPT」課次清單，頁面標題寫115年但入口標示【114下】，故記為114學年度；經搜尋摘要擷取</t>
        </is>
      </c>
    </row>
    <row r="58">
      <c r="A58" s="4" t="inlineStr">
        <is>
          <t>翰林</t>
        </is>
      </c>
      <c r="B58" s="4" t="inlineStr">
        <is>
          <t>國中</t>
        </is>
      </c>
      <c r="C58" s="4" t="inlineStr">
        <is>
          <t>8</t>
        </is>
      </c>
      <c r="D58" s="4" t="inlineStr">
        <is>
          <t>下</t>
        </is>
      </c>
      <c r="E58" s="4" t="inlineStr">
        <is>
          <t>國文</t>
        </is>
      </c>
      <c r="F58" s="4" t="inlineStr">
        <is>
          <t>自學一 唐宋筆記選</t>
        </is>
      </c>
      <c r="G58" s="4" t="n"/>
      <c r="H58" s="4" t="inlineStr">
        <is>
          <t>114</t>
        </is>
      </c>
      <c r="I58" s="4" t="inlineStr">
        <is>
          <t>出版商頁面</t>
        </is>
      </c>
      <c r="J58" s="5" t="inlineStr">
        <is>
          <t>https://sites.google.com/hanlin.com.tw/112chwebppt/2%E4%B8%8B</t>
        </is>
      </c>
      <c r="K58" s="4" t="inlineStr">
        <is>
          <t>來源為翰林官方Google Sites「國文網頁版PPT」課次清單，頁面標題寫115年但入口標示【114下】，故記為114學年度；經搜尋摘要擷取</t>
        </is>
      </c>
    </row>
    <row r="59">
      <c r="A59" s="4" t="inlineStr">
        <is>
          <t>翰林</t>
        </is>
      </c>
      <c r="B59" s="4" t="inlineStr">
        <is>
          <t>國中</t>
        </is>
      </c>
      <c r="C59" s="4" t="inlineStr">
        <is>
          <t>8</t>
        </is>
      </c>
      <c r="D59" s="4" t="inlineStr">
        <is>
          <t>下</t>
        </is>
      </c>
      <c r="E59" s="4" t="inlineStr">
        <is>
          <t>國文</t>
        </is>
      </c>
      <c r="F59" s="4" t="inlineStr">
        <is>
          <t>自學二 面對假訊息其實我可以這麼做</t>
        </is>
      </c>
      <c r="G59" s="4" t="n"/>
      <c r="H59" s="4" t="inlineStr">
        <is>
          <t>114</t>
        </is>
      </c>
      <c r="I59" s="4" t="inlineStr">
        <is>
          <t>出版商頁面</t>
        </is>
      </c>
      <c r="J59" s="5" t="inlineStr">
        <is>
          <t>https://sites.google.com/hanlin.com.tw/112chwebppt/2%E4%B8%8B</t>
        </is>
      </c>
      <c r="K59" s="4" t="inlineStr">
        <is>
          <t>來源為翰林官方Google Sites「國文網頁版PPT」課次清單，頁面標題寫115年但入口標示【114下】，故記為114學年度；經搜尋摘要擷取</t>
        </is>
      </c>
    </row>
    <row r="60">
      <c r="A60" s="4" t="inlineStr">
        <is>
          <t>翰林</t>
        </is>
      </c>
      <c r="B60" s="4" t="inlineStr">
        <is>
          <t>國中</t>
        </is>
      </c>
      <c r="C60" s="4" t="inlineStr">
        <is>
          <t>8</t>
        </is>
      </c>
      <c r="D60" s="4" t="inlineStr">
        <is>
          <t>下</t>
        </is>
      </c>
      <c r="E60" s="4" t="inlineStr">
        <is>
          <t>國文</t>
        </is>
      </c>
      <c r="F60" s="4" t="inlineStr">
        <is>
          <t>自學三 進軍葛萊美的華人設計師-蕭青陽</t>
        </is>
      </c>
      <c r="G60" s="4" t="n"/>
      <c r="H60" s="4" t="inlineStr">
        <is>
          <t>114</t>
        </is>
      </c>
      <c r="I60" s="4" t="inlineStr">
        <is>
          <t>出版商頁面</t>
        </is>
      </c>
      <c r="J60" s="5" t="inlineStr">
        <is>
          <t>https://sites.google.com/hanlin.com.tw/112chwebppt/2%E4%B8%8B</t>
        </is>
      </c>
      <c r="K60" s="4" t="inlineStr">
        <is>
          <t>來源為翰林官方Google Sites「國文網頁版PPT」課次清單，頁面標題寫115年但入口標示【114下】，故記為114學年度；經搜尋摘要擷取</t>
        </is>
      </c>
    </row>
    <row r="61">
      <c r="A61" s="4" t="inlineStr">
        <is>
          <t>翰林</t>
        </is>
      </c>
      <c r="B61" s="4" t="inlineStr">
        <is>
          <t>國中</t>
        </is>
      </c>
      <c r="C61" s="4" t="inlineStr">
        <is>
          <t>9</t>
        </is>
      </c>
      <c r="D61" s="4" t="inlineStr">
        <is>
          <t>上</t>
        </is>
      </c>
      <c r="E61" s="4" t="inlineStr">
        <is>
          <t>國文</t>
        </is>
      </c>
      <c r="F61" s="4" t="inlineStr">
        <is>
          <t>第一課 土</t>
        </is>
      </c>
      <c r="G61" s="4" t="n"/>
      <c r="H61" s="4" t="inlineStr">
        <is>
          <t>115</t>
        </is>
      </c>
      <c r="I61" s="4" t="inlineStr">
        <is>
          <t>出版商頁面</t>
        </is>
      </c>
      <c r="J61" s="5" t="inlineStr">
        <is>
          <t>https://sites.google.com/hanlin.com.tw/112chwebppt/3%E4%B8%8A</t>
        </is>
      </c>
      <c r="K61" s="4" t="inlineStr">
        <is>
          <t>來源為翰林官方Google Sites「國文網頁版PPT」課次清單，頁面標示【115上】入口；經搜尋摘要擷取，非直接開啟頁面；本冊頁面僅見L01–L09</t>
        </is>
      </c>
    </row>
    <row r="62">
      <c r="A62" s="4" t="inlineStr">
        <is>
          <t>翰林</t>
        </is>
      </c>
      <c r="B62" s="4" t="inlineStr">
        <is>
          <t>國中</t>
        </is>
      </c>
      <c r="C62" s="4" t="inlineStr">
        <is>
          <t>9</t>
        </is>
      </c>
      <c r="D62" s="4" t="inlineStr">
        <is>
          <t>上</t>
        </is>
      </c>
      <c r="E62" s="4" t="inlineStr">
        <is>
          <t>國文</t>
        </is>
      </c>
      <c r="F62" s="4" t="inlineStr">
        <is>
          <t>第二課 詞選</t>
        </is>
      </c>
      <c r="G62" s="4" t="n"/>
      <c r="H62" s="4" t="inlineStr">
        <is>
          <t>115</t>
        </is>
      </c>
      <c r="I62" s="4" t="inlineStr">
        <is>
          <t>出版商頁面</t>
        </is>
      </c>
      <c r="J62" s="5" t="inlineStr">
        <is>
          <t>https://sites.google.com/hanlin.com.tw/112chwebppt/3%E4%B8%8A</t>
        </is>
      </c>
      <c r="K62" s="4" t="inlineStr">
        <is>
          <t>來源為翰林官方Google Sites「國文網頁版PPT」課次清單，頁面標示【115上】入口；經搜尋摘要擷取，非直接開啟頁面</t>
        </is>
      </c>
    </row>
    <row r="63">
      <c r="A63" s="4" t="inlineStr">
        <is>
          <t>翰林</t>
        </is>
      </c>
      <c r="B63" s="4" t="inlineStr">
        <is>
          <t>國中</t>
        </is>
      </c>
      <c r="C63" s="4" t="inlineStr">
        <is>
          <t>9</t>
        </is>
      </c>
      <c r="D63" s="4" t="inlineStr">
        <is>
          <t>上</t>
        </is>
      </c>
      <c r="E63" s="4" t="inlineStr">
        <is>
          <t>國文</t>
        </is>
      </c>
      <c r="F63" s="4" t="inlineStr">
        <is>
          <t>第三課 與921說再見</t>
        </is>
      </c>
      <c r="G63" s="4" t="n"/>
      <c r="H63" s="4" t="inlineStr">
        <is>
          <t>115</t>
        </is>
      </c>
      <c r="I63" s="4" t="inlineStr">
        <is>
          <t>出版商頁面</t>
        </is>
      </c>
      <c r="J63" s="5" t="inlineStr">
        <is>
          <t>https://sites.google.com/hanlin.com.tw/112chwebppt/3%E4%B8%8A</t>
        </is>
      </c>
      <c r="K63" s="4" t="inlineStr">
        <is>
          <t>來源為翰林官方Google Sites「國文網頁版PPT」課次清單，頁面標示【115上】入口；經搜尋摘要擷取，非直接開啟頁面</t>
        </is>
      </c>
    </row>
    <row r="64">
      <c r="A64" s="4" t="inlineStr">
        <is>
          <t>翰林</t>
        </is>
      </c>
      <c r="B64" s="4" t="inlineStr">
        <is>
          <t>國中</t>
        </is>
      </c>
      <c r="C64" s="4" t="inlineStr">
        <is>
          <t>9</t>
        </is>
      </c>
      <c r="D64" s="4" t="inlineStr">
        <is>
          <t>上</t>
        </is>
      </c>
      <c r="E64" s="4" t="inlineStr">
        <is>
          <t>國文</t>
        </is>
      </c>
      <c r="F64" s="4" t="inlineStr">
        <is>
          <t>第四課 黃州突圍</t>
        </is>
      </c>
      <c r="G64" s="4" t="n"/>
      <c r="H64" s="4" t="inlineStr">
        <is>
          <t>115</t>
        </is>
      </c>
      <c r="I64" s="4" t="inlineStr">
        <is>
          <t>出版商頁面</t>
        </is>
      </c>
      <c r="J64" s="5" t="inlineStr">
        <is>
          <t>https://sites.google.com/hanlin.com.tw/112chwebppt/3%E4%B8%8A</t>
        </is>
      </c>
      <c r="K64" s="4" t="inlineStr">
        <is>
          <t>來源為翰林官方Google Sites「國文網頁版PPT」課次清單，頁面標示【115上】入口；經搜尋摘要擷取，非直接開啟頁面</t>
        </is>
      </c>
    </row>
    <row r="65">
      <c r="A65" s="4" t="inlineStr">
        <is>
          <t>翰林</t>
        </is>
      </c>
      <c r="B65" s="4" t="inlineStr">
        <is>
          <t>國中</t>
        </is>
      </c>
      <c r="C65" s="4" t="inlineStr">
        <is>
          <t>9</t>
        </is>
      </c>
      <c r="D65" s="4" t="inlineStr">
        <is>
          <t>上</t>
        </is>
      </c>
      <c r="E65" s="4" t="inlineStr">
        <is>
          <t>國文</t>
        </is>
      </c>
      <c r="F65" s="4" t="inlineStr">
        <is>
          <t>第五課 與宋元思書</t>
        </is>
      </c>
      <c r="G65" s="4" t="n"/>
      <c r="H65" s="4" t="inlineStr">
        <is>
          <t>115</t>
        </is>
      </c>
      <c r="I65" s="4" t="inlineStr">
        <is>
          <t>出版商頁面</t>
        </is>
      </c>
      <c r="J65" s="5" t="inlineStr">
        <is>
          <t>https://sites.google.com/hanlin.com.tw/112chwebppt/3%E4%B8%8A</t>
        </is>
      </c>
      <c r="K65" s="4" t="inlineStr">
        <is>
          <t>來源為翰林官方Google Sites「國文網頁版PPT」課次清單，頁面標示【115上】入口；經搜尋摘要擷取，非直接開啟頁面</t>
        </is>
      </c>
    </row>
    <row r="66">
      <c r="A66" s="4" t="inlineStr">
        <is>
          <t>翰林</t>
        </is>
      </c>
      <c r="B66" s="4" t="inlineStr">
        <is>
          <t>國中</t>
        </is>
      </c>
      <c r="C66" s="4" t="inlineStr">
        <is>
          <t>9</t>
        </is>
      </c>
      <c r="D66" s="4" t="inlineStr">
        <is>
          <t>上</t>
        </is>
      </c>
      <c r="E66" s="4" t="inlineStr">
        <is>
          <t>國文</t>
        </is>
      </c>
      <c r="F66" s="4" t="inlineStr">
        <is>
          <t>第六課 一家手語餐廳的誕生</t>
        </is>
      </c>
      <c r="G66" s="4" t="n"/>
      <c r="H66" s="4" t="inlineStr">
        <is>
          <t>115</t>
        </is>
      </c>
      <c r="I66" s="4" t="inlineStr">
        <is>
          <t>出版商頁面</t>
        </is>
      </c>
      <c r="J66" s="5" t="inlineStr">
        <is>
          <t>https://sites.google.com/hanlin.com.tw/112chwebppt/3%E4%B8%8A</t>
        </is>
      </c>
      <c r="K66" s="4" t="inlineStr">
        <is>
          <t>來源為翰林官方Google Sites「國文網頁版PPT」課次清單，頁面標示【115上】入口；經搜尋摘要擷取，非直接開啟頁面</t>
        </is>
      </c>
    </row>
    <row r="67">
      <c r="A67" s="4" t="inlineStr">
        <is>
          <t>翰林</t>
        </is>
      </c>
      <c r="B67" s="4" t="inlineStr">
        <is>
          <t>國中</t>
        </is>
      </c>
      <c r="C67" s="4" t="inlineStr">
        <is>
          <t>9</t>
        </is>
      </c>
      <c r="D67" s="4" t="inlineStr">
        <is>
          <t>上</t>
        </is>
      </c>
      <c r="E67" s="4" t="inlineStr">
        <is>
          <t>國文</t>
        </is>
      </c>
      <c r="F67" s="4" t="inlineStr">
        <is>
          <t>第七課 我們的饕餮時代</t>
        </is>
      </c>
      <c r="G67" s="4" t="n"/>
      <c r="H67" s="4" t="inlineStr">
        <is>
          <t>115</t>
        </is>
      </c>
      <c r="I67" s="4" t="inlineStr">
        <is>
          <t>出版商頁面</t>
        </is>
      </c>
      <c r="J67" s="5" t="inlineStr">
        <is>
          <t>https://sites.google.com/hanlin.com.tw/112chwebppt/3%E4%B8%8A</t>
        </is>
      </c>
      <c r="K67" s="4" t="inlineStr">
        <is>
          <t>來源為翰林官方Google Sites「國文網頁版PPT」課次清單，頁面標示【115上】入口；經搜尋摘要擷取，非直接開啟頁面</t>
        </is>
      </c>
    </row>
    <row r="68">
      <c r="A68" s="4" t="inlineStr">
        <is>
          <t>翰林</t>
        </is>
      </c>
      <c r="B68" s="4" t="inlineStr">
        <is>
          <t>國中</t>
        </is>
      </c>
      <c r="C68" s="4" t="inlineStr">
        <is>
          <t>9</t>
        </is>
      </c>
      <c r="D68" s="4" t="inlineStr">
        <is>
          <t>上</t>
        </is>
      </c>
      <c r="E68" s="4" t="inlineStr">
        <is>
          <t>國文</t>
        </is>
      </c>
      <c r="F68" s="4" t="inlineStr">
        <is>
          <t>第八課 生於憂患死於安樂</t>
        </is>
      </c>
      <c r="G68" s="4" t="n"/>
      <c r="H68" s="4" t="inlineStr">
        <is>
          <t>115</t>
        </is>
      </c>
      <c r="I68" s="4" t="inlineStr">
        <is>
          <t>出版商頁面</t>
        </is>
      </c>
      <c r="J68" s="5" t="inlineStr">
        <is>
          <t>https://sites.google.com/hanlin.com.tw/112chwebppt/3%E4%B8%8A</t>
        </is>
      </c>
      <c r="K68" s="4" t="inlineStr">
        <is>
          <t>來源為翰林官方Google Sites「國文網頁版PPT」課次清單，頁面標示【115上】入口；經搜尋摘要擷取，非直接開啟頁面；搜尋摘要原文顯示為「生憂患死於安樂」，疑為擷取漏字</t>
        </is>
      </c>
    </row>
    <row r="69">
      <c r="A69" s="4" t="inlineStr">
        <is>
          <t>翰林</t>
        </is>
      </c>
      <c r="B69" s="4" t="inlineStr">
        <is>
          <t>國中</t>
        </is>
      </c>
      <c r="C69" s="4" t="inlineStr">
        <is>
          <t>9</t>
        </is>
      </c>
      <c r="D69" s="4" t="inlineStr">
        <is>
          <t>上</t>
        </is>
      </c>
      <c r="E69" s="4" t="inlineStr">
        <is>
          <t>國文</t>
        </is>
      </c>
      <c r="F69" s="4" t="inlineStr">
        <is>
          <t>第九課 射鵰英雄傳-智鬥書生</t>
        </is>
      </c>
      <c r="G69" s="4" t="n"/>
      <c r="H69" s="4" t="inlineStr">
        <is>
          <t>115</t>
        </is>
      </c>
      <c r="I69" s="4" t="inlineStr">
        <is>
          <t>出版商頁面</t>
        </is>
      </c>
      <c r="J69" s="5" t="inlineStr">
        <is>
          <t>https://sites.google.com/hanlin.com.tw/112chwebppt/3%E4%B8%8A</t>
        </is>
      </c>
      <c r="K69" s="4" t="inlineStr">
        <is>
          <t>來源為翰林官方Google Sites「國文網頁版PPT」課次清單，頁面標示【115上】入口；經搜尋摘要擷取，非直接開啟頁面</t>
        </is>
      </c>
    </row>
    <row r="70">
      <c r="A70" s="4" t="inlineStr">
        <is>
          <t>翰林</t>
        </is>
      </c>
      <c r="B70" s="4" t="inlineStr">
        <is>
          <t>國中</t>
        </is>
      </c>
      <c r="C70" s="4" t="inlineStr">
        <is>
          <t>9</t>
        </is>
      </c>
      <c r="D70" s="4" t="inlineStr">
        <is>
          <t>上</t>
        </is>
      </c>
      <c r="E70" s="4" t="inlineStr">
        <is>
          <t>國文</t>
        </is>
      </c>
      <c r="F70" s="4" t="inlineStr">
        <is>
          <t>語文常識 應用文-對聯</t>
        </is>
      </c>
      <c r="G70" s="4" t="n"/>
      <c r="H70" s="4" t="inlineStr">
        <is>
          <t>115</t>
        </is>
      </c>
      <c r="I70" s="4" t="inlineStr">
        <is>
          <t>出版商頁面</t>
        </is>
      </c>
      <c r="J70" s="5" t="inlineStr">
        <is>
          <t>https://sites.google.com/hanlin.com.tw/112chwebppt/3%E4%B8%8A</t>
        </is>
      </c>
      <c r="K70" s="4" t="inlineStr">
        <is>
          <t>來源為翰林官方Google Sites「國文網頁版PPT」課次清單，頁面標示【115上】入口；經搜尋摘要擷取，非直接開啟頁面；語文常識在課次間的位置未確認</t>
        </is>
      </c>
    </row>
    <row r="71">
      <c r="A71" s="4" t="inlineStr">
        <is>
          <t>翰林</t>
        </is>
      </c>
      <c r="B71" s="4" t="inlineStr">
        <is>
          <t>國中</t>
        </is>
      </c>
      <c r="C71" s="4" t="inlineStr">
        <is>
          <t>9</t>
        </is>
      </c>
      <c r="D71" s="4" t="inlineStr">
        <is>
          <t>上</t>
        </is>
      </c>
      <c r="E71" s="4" t="inlineStr">
        <is>
          <t>國文</t>
        </is>
      </c>
      <c r="F71" s="4" t="inlineStr">
        <is>
          <t>自學一 大明湖</t>
        </is>
      </c>
      <c r="G71" s="4" t="n"/>
      <c r="H71" s="4" t="inlineStr">
        <is>
          <t>115</t>
        </is>
      </c>
      <c r="I71" s="4" t="inlineStr">
        <is>
          <t>出版商頁面</t>
        </is>
      </c>
      <c r="J71" s="5" t="inlineStr">
        <is>
          <t>https://sites.google.com/hanlin.com.tw/112chwebppt/3%E4%B8%8A</t>
        </is>
      </c>
      <c r="K71" s="4" t="inlineStr">
        <is>
          <t>來源為翰林官方Google Sites「國文網頁版PPT」課次清單，頁面標示【115上】入口；經搜尋摘要擷取，非直接開啟頁面</t>
        </is>
      </c>
    </row>
    <row r="72">
      <c r="A72" s="4" t="inlineStr">
        <is>
          <t>翰林</t>
        </is>
      </c>
      <c r="B72" s="4" t="inlineStr">
        <is>
          <t>國中</t>
        </is>
      </c>
      <c r="C72" s="4" t="inlineStr">
        <is>
          <t>9</t>
        </is>
      </c>
      <c r="D72" s="4" t="inlineStr">
        <is>
          <t>上</t>
        </is>
      </c>
      <c r="E72" s="4" t="inlineStr">
        <is>
          <t>國文</t>
        </is>
      </c>
      <c r="F72" s="4" t="inlineStr">
        <is>
          <t>自學二 有關氣候變遷的難題</t>
        </is>
      </c>
      <c r="G72" s="4" t="n"/>
      <c r="H72" s="4" t="inlineStr">
        <is>
          <t>115</t>
        </is>
      </c>
      <c r="I72" s="4" t="inlineStr">
        <is>
          <t>出版商頁面</t>
        </is>
      </c>
      <c r="J72" s="5" t="inlineStr">
        <is>
          <t>https://sites.google.com/hanlin.com.tw/112chwebppt/3%E4%B8%8A</t>
        </is>
      </c>
      <c r="K72" s="4" t="inlineStr">
        <is>
          <t>來源為翰林官方Google Sites「國文網頁版PPT」課次清單，頁面標示【115上】入口；經搜尋摘要擷取，非直接開啟頁面</t>
        </is>
      </c>
    </row>
    <row r="73">
      <c r="A73" s="4" t="inlineStr">
        <is>
          <t>翰林</t>
        </is>
      </c>
      <c r="B73" s="4" t="inlineStr">
        <is>
          <t>國中</t>
        </is>
      </c>
      <c r="C73" s="4" t="inlineStr">
        <is>
          <t>9</t>
        </is>
      </c>
      <c r="D73" s="4" t="inlineStr">
        <is>
          <t>上</t>
        </is>
      </c>
      <c r="E73" s="4" t="inlineStr">
        <is>
          <t>國文</t>
        </is>
      </c>
      <c r="F73" s="4" t="inlineStr">
        <is>
          <t>自學三 范鳳龍的故事</t>
        </is>
      </c>
      <c r="G73" s="4" t="n"/>
      <c r="H73" s="4" t="inlineStr">
        <is>
          <t>115</t>
        </is>
      </c>
      <c r="I73" s="4" t="inlineStr">
        <is>
          <t>出版商頁面</t>
        </is>
      </c>
      <c r="J73" s="5" t="inlineStr">
        <is>
          <t>https://sites.google.com/hanlin.com.tw/112chwebppt/3%E4%B8%8A</t>
        </is>
      </c>
      <c r="K73" s="4" t="inlineStr">
        <is>
          <t>來源為翰林官方Google Sites「國文網頁版PPT」課次清單，頁面標示【115上】入口；經搜尋摘要擷取，非直接開啟頁面</t>
        </is>
      </c>
    </row>
    <row r="74">
      <c r="A74" s="4" t="inlineStr">
        <is>
          <t>翰林</t>
        </is>
      </c>
      <c r="B74" s="4" t="inlineStr">
        <is>
          <t>國中</t>
        </is>
      </c>
      <c r="C74" s="4" t="inlineStr">
        <is>
          <t>9</t>
        </is>
      </c>
      <c r="D74" s="4" t="inlineStr">
        <is>
          <t>下</t>
        </is>
      </c>
      <c r="E74" s="4" t="inlineStr">
        <is>
          <t>國文</t>
        </is>
      </c>
      <c r="F74" s="4" t="inlineStr">
        <is>
          <t>第一課 元曲選</t>
        </is>
      </c>
      <c r="G74" s="4" t="n"/>
      <c r="H74" s="4" t="inlineStr">
        <is>
          <t>114</t>
        </is>
      </c>
      <c r="I74" s="4" t="inlineStr">
        <is>
          <t>出版商頁面</t>
        </is>
      </c>
      <c r="J74" s="5" t="inlineStr">
        <is>
          <t>https://sites.google.com/hanlin.com.tw/112chwebppt/3%E4%B8%8B</t>
        </is>
      </c>
      <c r="K74" s="4" t="inlineStr">
        <is>
          <t>來源為翰林官方Google Sites「國文網頁版PPT」課次清單，頁面標題寫115年但入口標示【114下】，故記為114學年度；經搜尋摘要擷取；本冊語文常識單元未查到</t>
        </is>
      </c>
    </row>
    <row r="75">
      <c r="A75" s="4" t="inlineStr">
        <is>
          <t>翰林</t>
        </is>
      </c>
      <c r="B75" s="4" t="inlineStr">
        <is>
          <t>國中</t>
        </is>
      </c>
      <c r="C75" s="4" t="inlineStr">
        <is>
          <t>9</t>
        </is>
      </c>
      <c r="D75" s="4" t="inlineStr">
        <is>
          <t>下</t>
        </is>
      </c>
      <c r="E75" s="4" t="inlineStr">
        <is>
          <t>國文</t>
        </is>
      </c>
      <c r="F75" s="4" t="inlineStr">
        <is>
          <t>第二課 石滬</t>
        </is>
      </c>
      <c r="G75" s="4" t="n"/>
      <c r="H75" s="4" t="inlineStr">
        <is>
          <t>114</t>
        </is>
      </c>
      <c r="I75" s="4" t="inlineStr">
        <is>
          <t>出版商頁面</t>
        </is>
      </c>
      <c r="J75" s="5" t="inlineStr">
        <is>
          <t>https://sites.google.com/hanlin.com.tw/112chwebppt/3%E4%B8%8B</t>
        </is>
      </c>
      <c r="K75" s="4" t="inlineStr">
        <is>
          <t>來源為翰林官方Google Sites「國文網頁版PPT」課次清單，頁面標題寫115年但入口標示【114下】，故記為114學年度；經搜尋摘要擷取</t>
        </is>
      </c>
    </row>
    <row r="76">
      <c r="A76" s="4" t="inlineStr">
        <is>
          <t>翰林</t>
        </is>
      </c>
      <c r="B76" s="4" t="inlineStr">
        <is>
          <t>國中</t>
        </is>
      </c>
      <c r="C76" s="4" t="inlineStr">
        <is>
          <t>9</t>
        </is>
      </c>
      <c r="D76" s="4" t="inlineStr">
        <is>
          <t>下</t>
        </is>
      </c>
      <c r="E76" s="4" t="inlineStr">
        <is>
          <t>國文</t>
        </is>
      </c>
      <c r="F76" s="4" t="inlineStr">
        <is>
          <t>第三課 人不可以無癖</t>
        </is>
      </c>
      <c r="G76" s="4" t="n"/>
      <c r="H76" s="4" t="inlineStr">
        <is>
          <t>114</t>
        </is>
      </c>
      <c r="I76" s="4" t="inlineStr">
        <is>
          <t>出版商頁面</t>
        </is>
      </c>
      <c r="J76" s="5" t="inlineStr">
        <is>
          <t>https://sites.google.com/hanlin.com.tw/112chwebppt/3%E4%B8%8B</t>
        </is>
      </c>
      <c r="K76" s="4" t="inlineStr">
        <is>
          <t>來源為翰林官方Google Sites「國文網頁版PPT」課次清單，頁面標題寫115年但入口標示【114下】，故記為114學年度；經搜尋摘要擷取</t>
        </is>
      </c>
    </row>
    <row r="77">
      <c r="A77" s="4" t="inlineStr">
        <is>
          <t>翰林</t>
        </is>
      </c>
      <c r="B77" s="4" t="inlineStr">
        <is>
          <t>國中</t>
        </is>
      </c>
      <c r="C77" s="4" t="inlineStr">
        <is>
          <t>9</t>
        </is>
      </c>
      <c r="D77" s="4" t="inlineStr">
        <is>
          <t>下</t>
        </is>
      </c>
      <c r="E77" s="4" t="inlineStr">
        <is>
          <t>國文</t>
        </is>
      </c>
      <c r="F77" s="4" t="inlineStr">
        <is>
          <t>第四課 鄒忌諷齊王納諫</t>
        </is>
      </c>
      <c r="G77" s="4" t="n"/>
      <c r="H77" s="4" t="inlineStr">
        <is>
          <t>114</t>
        </is>
      </c>
      <c r="I77" s="4" t="inlineStr">
        <is>
          <t>出版商頁面</t>
        </is>
      </c>
      <c r="J77" s="5" t="inlineStr">
        <is>
          <t>https://sites.google.com/hanlin.com.tw/112chwebppt/3%E4%B8%8B</t>
        </is>
      </c>
      <c r="K77" s="4" t="inlineStr">
        <is>
          <t>來源為翰林官方Google Sites「國文網頁版PPT」課次清單，頁面標題寫115年但入口標示【114下】，故記為114學年度；經搜尋摘要擷取</t>
        </is>
      </c>
    </row>
    <row r="78">
      <c r="A78" s="4" t="inlineStr">
        <is>
          <t>翰林</t>
        </is>
      </c>
      <c r="B78" s="4" t="inlineStr">
        <is>
          <t>國中</t>
        </is>
      </c>
      <c r="C78" s="4" t="inlineStr">
        <is>
          <t>9</t>
        </is>
      </c>
      <c r="D78" s="4" t="inlineStr">
        <is>
          <t>下</t>
        </is>
      </c>
      <c r="E78" s="4" t="inlineStr">
        <is>
          <t>國文</t>
        </is>
      </c>
      <c r="F78" s="4" t="inlineStr">
        <is>
          <t>第五課 永不滿足，長保傻勁</t>
        </is>
      </c>
      <c r="G78" s="4" t="n"/>
      <c r="H78" s="4" t="inlineStr">
        <is>
          <t>114</t>
        </is>
      </c>
      <c r="I78" s="4" t="inlineStr">
        <is>
          <t>出版商頁面</t>
        </is>
      </c>
      <c r="J78" s="5" t="inlineStr">
        <is>
          <t>https://sites.google.com/hanlin.com.tw/112chwebppt/3%E4%B8%8B</t>
        </is>
      </c>
      <c r="K78" s="4" t="inlineStr">
        <is>
          <t>來源為翰林官方Google Sites「國文網頁版PPT」課次清單，頁面標題寫115年但入口標示【114下】，故記為114學年度；經搜尋摘要擷取</t>
        </is>
      </c>
    </row>
    <row r="79">
      <c r="A79" s="4" t="inlineStr">
        <is>
          <t>翰林</t>
        </is>
      </c>
      <c r="B79" s="4" t="inlineStr">
        <is>
          <t>國中</t>
        </is>
      </c>
      <c r="C79" s="4" t="inlineStr">
        <is>
          <t>9</t>
        </is>
      </c>
      <c r="D79" s="4" t="inlineStr">
        <is>
          <t>下</t>
        </is>
      </c>
      <c r="E79" s="4" t="inlineStr">
        <is>
          <t>國文</t>
        </is>
      </c>
      <c r="F79" s="4" t="inlineStr">
        <is>
          <t>第六課 羅密歐與茱麗葉樓臺會</t>
        </is>
      </c>
      <c r="G79" s="4" t="n"/>
      <c r="H79" s="4" t="inlineStr">
        <is>
          <t>114</t>
        </is>
      </c>
      <c r="I79" s="4" t="inlineStr">
        <is>
          <t>出版商頁面</t>
        </is>
      </c>
      <c r="J79" s="5" t="inlineStr">
        <is>
          <t>https://sites.google.com/hanlin.com.tw/112chwebppt/3%E4%B8%8B</t>
        </is>
      </c>
      <c r="K79" s="4" t="inlineStr">
        <is>
          <t>來源為翰林官方Google Sites「國文網頁版PPT」課次清單，頁面標題寫115年但入口標示【114下】，故記為114學年度；經搜尋摘要擷取</t>
        </is>
      </c>
    </row>
    <row r="80">
      <c r="A80" s="4" t="inlineStr">
        <is>
          <t>翰林</t>
        </is>
      </c>
      <c r="B80" s="4" t="inlineStr">
        <is>
          <t>國中</t>
        </is>
      </c>
      <c r="C80" s="4" t="inlineStr">
        <is>
          <t>9</t>
        </is>
      </c>
      <c r="D80" s="4" t="inlineStr">
        <is>
          <t>下</t>
        </is>
      </c>
      <c r="E80" s="4" t="inlineStr">
        <is>
          <t>國文</t>
        </is>
      </c>
      <c r="F80" s="4" t="inlineStr">
        <is>
          <t>自學一 歷代小品文賞讀</t>
        </is>
      </c>
      <c r="G80" s="4" t="n"/>
      <c r="H80" s="4" t="inlineStr">
        <is>
          <t>114</t>
        </is>
      </c>
      <c r="I80" s="4" t="inlineStr">
        <is>
          <t>出版商頁面</t>
        </is>
      </c>
      <c r="J80" s="5" t="inlineStr">
        <is>
          <t>https://sites.google.com/hanlin.com.tw/112chwebppt/3%E4%B8%8B</t>
        </is>
      </c>
      <c r="K80" s="4" t="inlineStr">
        <is>
          <t>來源為翰林官方Google Sites「國文網頁版PPT」課次清單，頁面標題寫115年但入口標示【114下】，故記為114學年度；經搜尋摘要擷取</t>
        </is>
      </c>
    </row>
    <row r="81">
      <c r="A81" s="4" t="inlineStr">
        <is>
          <t>翰林</t>
        </is>
      </c>
      <c r="B81" s="4" t="inlineStr">
        <is>
          <t>國中</t>
        </is>
      </c>
      <c r="C81" s="4" t="inlineStr">
        <is>
          <t>9</t>
        </is>
      </c>
      <c r="D81" s="4" t="inlineStr">
        <is>
          <t>下</t>
        </is>
      </c>
      <c r="E81" s="4" t="inlineStr">
        <is>
          <t>國文</t>
        </is>
      </c>
      <c r="F81" s="4" t="inlineStr">
        <is>
          <t>自學二 來自西方的舶來品——博物館</t>
        </is>
      </c>
      <c r="G81" s="4" t="n"/>
      <c r="H81" s="4" t="inlineStr">
        <is>
          <t>114</t>
        </is>
      </c>
      <c r="I81" s="4" t="inlineStr">
        <is>
          <t>出版商頁面</t>
        </is>
      </c>
      <c r="J81" s="5" t="inlineStr">
        <is>
          <t>https://sites.google.com/hanlin.com.tw/112chwebppt/3%E4%B8%8B</t>
        </is>
      </c>
      <c r="K81" s="4" t="inlineStr">
        <is>
          <t>來源為翰林官方Google Sites「國文網頁版PPT」課次清單，頁面標題寫115年但入口標示【114下】，故記為114學年度；經搜尋摘要擷取</t>
        </is>
      </c>
    </row>
    <row r="82">
      <c r="A82" s="4" t="inlineStr">
        <is>
          <t>翰林</t>
        </is>
      </c>
      <c r="B82" s="4" t="inlineStr">
        <is>
          <t>國中</t>
        </is>
      </c>
      <c r="C82" s="4" t="inlineStr">
        <is>
          <t>9</t>
        </is>
      </c>
      <c r="D82" s="4" t="inlineStr">
        <is>
          <t>下</t>
        </is>
      </c>
      <c r="E82" s="4" t="inlineStr">
        <is>
          <t>國文</t>
        </is>
      </c>
      <c r="F82" s="4" t="inlineStr">
        <is>
          <t>自學三 捍衛性別平權的鬥士——金斯伯格</t>
        </is>
      </c>
      <c r="G82" s="4" t="n"/>
      <c r="H82" s="4" t="inlineStr">
        <is>
          <t>114</t>
        </is>
      </c>
      <c r="I82" s="4" t="inlineStr">
        <is>
          <t>出版商頁面</t>
        </is>
      </c>
      <c r="J82" s="5" t="inlineStr">
        <is>
          <t>https://sites.google.com/hanlin.com.tw/112chwebppt/3%E4%B8%8B</t>
        </is>
      </c>
      <c r="K82" s="4" t="inlineStr">
        <is>
          <t>來源為翰林官方Google Sites「國文網頁版PPT」課次清單，頁面標題寫115年但入口標示【114下】，故記為114學年度；經搜尋摘要擷取</t>
        </is>
      </c>
    </row>
    <row r="83">
      <c r="A83" s="4" t="inlineStr">
        <is>
          <t>翰林</t>
        </is>
      </c>
      <c r="B83" s="4" t="inlineStr">
        <is>
          <t>國中</t>
        </is>
      </c>
      <c r="C83" s="4" t="inlineStr">
        <is>
          <t>7</t>
        </is>
      </c>
      <c r="D83" s="4" t="inlineStr">
        <is>
          <t>上</t>
        </is>
      </c>
      <c r="E83" s="4" t="inlineStr">
        <is>
          <t>英文</t>
        </is>
      </c>
      <c r="F83" s="4" t="inlineStr">
        <is>
          <t>Unit 1 Who’s That Handsome Boy?</t>
        </is>
      </c>
      <c r="G83" s="4" t="n"/>
      <c r="H83" s="4" t="inlineStr">
        <is>
          <t>115</t>
        </is>
      </c>
      <c r="I83" s="4" t="inlineStr">
        <is>
          <t>出版商官網</t>
        </is>
      </c>
      <c r="J83" s="5" t="inlineStr">
        <is>
          <t>https://dl.hle.com.tw/1151/國中/01課程計畫/115翰林課程計畫_英語教學進度總表.zip</t>
        </is>
      </c>
      <c r="K83" s="4" t="inlineStr">
        <is>
          <t>來源為翰林官網行動大師「115課程計畫-教學進度總表」壓縮檔內《115一上英語(三次段考)課程總表.doc》;Review單元及延伸活動未列入,節未列;主題:親屬關係、職業、年紀、人物特徵描述</t>
        </is>
      </c>
    </row>
    <row r="84">
      <c r="A84" s="4" t="inlineStr">
        <is>
          <t>翰林</t>
        </is>
      </c>
      <c r="B84" s="4" t="inlineStr">
        <is>
          <t>國中</t>
        </is>
      </c>
      <c r="C84" s="4" t="inlineStr">
        <is>
          <t>7</t>
        </is>
      </c>
      <c r="D84" s="4" t="inlineStr">
        <is>
          <t>上</t>
        </is>
      </c>
      <c r="E84" s="4" t="inlineStr">
        <is>
          <t>英文</t>
        </is>
      </c>
      <c r="F84" s="4" t="inlineStr">
        <is>
          <t>Unit 2 Where Are My Pencils?</t>
        </is>
      </c>
      <c r="G84" s="4" t="n"/>
      <c r="H84" s="4" t="inlineStr">
        <is>
          <t>115</t>
        </is>
      </c>
      <c r="I84" s="4" t="inlineStr">
        <is>
          <t>出版商官網</t>
        </is>
      </c>
      <c r="J84" s="5" t="inlineStr">
        <is>
          <t>https://dl.hle.com.tw/1151/國中/01課程計畫/115翰林課程計畫_英語教學進度總表.zip</t>
        </is>
      </c>
      <c r="K84" s="4" t="inlineStr">
        <is>
          <t>來源為翰林官網行動大師「115課程計畫-教學進度總表」壓縮檔內《115一上英語(三次段考)課程總表.doc》;Review單元及延伸活動未列入,節未列;主題:位置、房間、事物特徵描述</t>
        </is>
      </c>
    </row>
    <row r="85">
      <c r="A85" s="4" t="inlineStr">
        <is>
          <t>翰林</t>
        </is>
      </c>
      <c r="B85" s="4" t="inlineStr">
        <is>
          <t>國中</t>
        </is>
      </c>
      <c r="C85" s="4" t="inlineStr">
        <is>
          <t>7</t>
        </is>
      </c>
      <c r="D85" s="4" t="inlineStr">
        <is>
          <t>上</t>
        </is>
      </c>
      <c r="E85" s="4" t="inlineStr">
        <is>
          <t>英文</t>
        </is>
      </c>
      <c r="F85" s="4" t="inlineStr">
        <is>
          <t>Unit 3 Open the magic door</t>
        </is>
      </c>
      <c r="G85" s="4" t="n"/>
      <c r="H85" s="4" t="inlineStr">
        <is>
          <t>115</t>
        </is>
      </c>
      <c r="I85" s="4" t="inlineStr">
        <is>
          <t>出版商官網</t>
        </is>
      </c>
      <c r="J85" s="5" t="inlineStr">
        <is>
          <t>https://dl.hle.com.tw/1151/國中/01課程計畫/115翰林課程計畫_英語教學進度總表.zip</t>
        </is>
      </c>
      <c r="K85" s="4" t="inlineStr">
        <is>
          <t>來源為翰林官網行動大師「115課程計畫-教學進度總表」壓縮檔內《115一上英語(三次段考)課程總表.doc》;Review單元及延伸活動未列入,節未列;主題:圖像符號、建議與規範</t>
        </is>
      </c>
    </row>
    <row r="86">
      <c r="A86" s="4" t="inlineStr">
        <is>
          <t>翰林</t>
        </is>
      </c>
      <c r="B86" s="4" t="inlineStr">
        <is>
          <t>國中</t>
        </is>
      </c>
      <c r="C86" s="4" t="inlineStr">
        <is>
          <t>7</t>
        </is>
      </c>
      <c r="D86" s="4" t="inlineStr">
        <is>
          <t>上</t>
        </is>
      </c>
      <c r="E86" s="4" t="inlineStr">
        <is>
          <t>英文</t>
        </is>
      </c>
      <c r="F86" s="4" t="inlineStr">
        <is>
          <t>Unit 5 What’s the Date?</t>
        </is>
      </c>
      <c r="G86" s="4" t="n"/>
      <c r="H86" s="4" t="inlineStr">
        <is>
          <t>115</t>
        </is>
      </c>
      <c r="I86" s="4" t="inlineStr">
        <is>
          <t>出版商官網</t>
        </is>
      </c>
      <c r="J86" s="5" t="inlineStr">
        <is>
          <t>https://dl.hle.com.tw/1151/國中/01課程計畫/115翰林課程計畫_英語教學進度總表.zip</t>
        </is>
      </c>
      <c r="K86" s="4" t="inlineStr">
        <is>
          <t>來源為翰林官網行動大師「115課程計畫-教學進度總表」壓縮檔內《115一上英語(三次段考)課程總表.doc》;Review單元及延伸活動未列入,節未列;主題:日期、月份、節慶</t>
        </is>
      </c>
    </row>
    <row r="87">
      <c r="A87" s="4" t="inlineStr">
        <is>
          <t>翰林</t>
        </is>
      </c>
      <c r="B87" s="4" t="inlineStr">
        <is>
          <t>國中</t>
        </is>
      </c>
      <c r="C87" s="4" t="inlineStr">
        <is>
          <t>7</t>
        </is>
      </c>
      <c r="D87" s="4" t="inlineStr">
        <is>
          <t>上</t>
        </is>
      </c>
      <c r="E87" s="4" t="inlineStr">
        <is>
          <t>英文</t>
        </is>
      </c>
      <c r="F87" s="4" t="inlineStr">
        <is>
          <t>Unit 6 There Are Some Elephants Over There</t>
        </is>
      </c>
      <c r="G87" s="4" t="n"/>
      <c r="H87" s="4" t="inlineStr">
        <is>
          <t>115</t>
        </is>
      </c>
      <c r="I87" s="4" t="inlineStr">
        <is>
          <t>出版商官網</t>
        </is>
      </c>
      <c r="J87" s="5" t="inlineStr">
        <is>
          <t>https://dl.hle.com.tw/1151/國中/01課程計畫/115翰林課程計畫_英語教學進度總表.zip</t>
        </is>
      </c>
      <c r="K87" s="4" t="inlineStr">
        <is>
          <t>來源為翰林官網行動大師「115課程計畫-教學進度總表」壓縮檔內《115一上英語(三次段考)課程總表.doc》;Review單元及延伸活動未列入,節未列;主題:旅遊、動物關係</t>
        </is>
      </c>
    </row>
    <row r="88">
      <c r="A88" s="4" t="inlineStr">
        <is>
          <t>翰林</t>
        </is>
      </c>
      <c r="B88" s="4" t="inlineStr">
        <is>
          <t>國中</t>
        </is>
      </c>
      <c r="C88" s="4" t="inlineStr">
        <is>
          <t>7</t>
        </is>
      </c>
      <c r="D88" s="4" t="inlineStr">
        <is>
          <t>下</t>
        </is>
      </c>
      <c r="E88" s="4" t="inlineStr">
        <is>
          <t>英文</t>
        </is>
      </c>
      <c r="F88" s="4" t="inlineStr">
        <is>
          <t>Unit 1 What Do You Do in Your Free Time?</t>
        </is>
      </c>
      <c r="G88" s="4" t="n"/>
      <c r="H88" s="4" t="inlineStr">
        <is>
          <t>115</t>
        </is>
      </c>
      <c r="I88" s="4" t="inlineStr">
        <is>
          <t>出版商官網</t>
        </is>
      </c>
      <c r="J88" s="5" t="inlineStr">
        <is>
          <t>https://dl.hle.com.tw/1151/國中/01課程計畫/115翰林課程計畫_英語教學進度總表.zip</t>
        </is>
      </c>
      <c r="K88" s="4" t="inlineStr">
        <is>
          <t>來源為翰林官網行動大師「115課程計畫-教學進度總表」壓縮檔內《115一下英語(三次段考)課程總表.doc》;Review單元及延伸活動未列入,節未列;主題:描述外表、休閒活動</t>
        </is>
      </c>
    </row>
    <row r="89">
      <c r="A89" s="4" t="inlineStr">
        <is>
          <t>翰林</t>
        </is>
      </c>
      <c r="B89" s="4" t="inlineStr">
        <is>
          <t>國中</t>
        </is>
      </c>
      <c r="C89" s="4" t="inlineStr">
        <is>
          <t>7</t>
        </is>
      </c>
      <c r="D89" s="4" t="inlineStr">
        <is>
          <t>下</t>
        </is>
      </c>
      <c r="E89" s="4" t="inlineStr">
        <is>
          <t>英文</t>
        </is>
      </c>
      <c r="F89" s="4" t="inlineStr">
        <is>
          <t>Unit 2 How Often Do You Go to the Library?</t>
        </is>
      </c>
      <c r="G89" s="4" t="n"/>
      <c r="H89" s="4" t="inlineStr">
        <is>
          <t>115</t>
        </is>
      </c>
      <c r="I89" s="4" t="inlineStr">
        <is>
          <t>出版商官網</t>
        </is>
      </c>
      <c r="J89" s="5" t="inlineStr">
        <is>
          <t>https://dl.hle.com.tw/1151/國中/01課程計畫/115翰林課程計畫_英語教學進度總表.zip</t>
        </is>
      </c>
      <c r="K89" s="4" t="inlineStr">
        <is>
          <t>來源為翰林官網行動大師「115課程計畫-教學進度總表」壓縮檔內《115一下英語(三次段考)課程總表.doc》;Review單元及延伸活動未列入,節未列;主題:生活作息及AI 聊天機器人</t>
        </is>
      </c>
    </row>
    <row r="90">
      <c r="A90" s="4" t="inlineStr">
        <is>
          <t>翰林</t>
        </is>
      </c>
      <c r="B90" s="4" t="inlineStr">
        <is>
          <t>國中</t>
        </is>
      </c>
      <c r="C90" s="4" t="inlineStr">
        <is>
          <t>7</t>
        </is>
      </c>
      <c r="D90" s="4" t="inlineStr">
        <is>
          <t>下</t>
        </is>
      </c>
      <c r="E90" s="4" t="inlineStr">
        <is>
          <t>英文</t>
        </is>
      </c>
      <c r="F90" s="4" t="inlineStr">
        <is>
          <t>Unit 3 Which Painting Do You Like?</t>
        </is>
      </c>
      <c r="G90" s="4" t="n"/>
      <c r="H90" s="4" t="inlineStr">
        <is>
          <t>115</t>
        </is>
      </c>
      <c r="I90" s="4" t="inlineStr">
        <is>
          <t>出版商官網</t>
        </is>
      </c>
      <c r="J90" s="5" t="inlineStr">
        <is>
          <t>https://dl.hle.com.tw/1151/國中/01課程計畫/115翰林課程計畫_英語教學進度總表.zip</t>
        </is>
      </c>
      <c r="K90" s="4" t="inlineStr">
        <is>
          <t>來源為翰林官網行動大師「115課程計畫-教學進度總表」壓縮檔內《115一下英語(三次段考)課程總表.doc》;Review單元及延伸活動未列入,節未列;主題:食物名稱及畫作欣賞</t>
        </is>
      </c>
    </row>
    <row r="91">
      <c r="A91" s="4" t="inlineStr">
        <is>
          <t>翰林</t>
        </is>
      </c>
      <c r="B91" s="4" t="inlineStr">
        <is>
          <t>國中</t>
        </is>
      </c>
      <c r="C91" s="4" t="inlineStr">
        <is>
          <t>7</t>
        </is>
      </c>
      <c r="D91" s="4" t="inlineStr">
        <is>
          <t>下</t>
        </is>
      </c>
      <c r="E91" s="4" t="inlineStr">
        <is>
          <t>英文</t>
        </is>
      </c>
      <c r="F91" s="4" t="inlineStr">
        <is>
          <t>Unit 4 How Much Flour Do You Need?</t>
        </is>
      </c>
      <c r="G91" s="4" t="n"/>
      <c r="H91" s="4" t="inlineStr">
        <is>
          <t>115</t>
        </is>
      </c>
      <c r="I91" s="4" t="inlineStr">
        <is>
          <t>出版商官網</t>
        </is>
      </c>
      <c r="J91" s="5" t="inlineStr">
        <is>
          <t>https://dl.hle.com.tw/1151/國中/01課程計畫/115翰林課程計畫_英語教學進度總表.zip</t>
        </is>
      </c>
      <c r="K91" s="4" t="inlineStr">
        <is>
          <t>來源為翰林官網行動大師「115課程計畫-教學進度總表」壓縮檔內《115一下英語(三次段考)課程總表.doc》;Review單元及延伸活動未列入,節未列;主題:量詞、食譜</t>
        </is>
      </c>
    </row>
    <row r="92">
      <c r="A92" s="4" t="inlineStr">
        <is>
          <t>翰林</t>
        </is>
      </c>
      <c r="B92" s="4" t="inlineStr">
        <is>
          <t>國中</t>
        </is>
      </c>
      <c r="C92" s="4" t="inlineStr">
        <is>
          <t>7</t>
        </is>
      </c>
      <c r="D92" s="4" t="inlineStr">
        <is>
          <t>下</t>
        </is>
      </c>
      <c r="E92" s="4" t="inlineStr">
        <is>
          <t>英文</t>
        </is>
      </c>
      <c r="F92" s="4" t="inlineStr">
        <is>
          <t>Unit 5 There Was a Lot of Trash in the Sea</t>
        </is>
      </c>
      <c r="G92" s="4" t="n"/>
      <c r="H92" s="4" t="inlineStr">
        <is>
          <t>115</t>
        </is>
      </c>
      <c r="I92" s="4" t="inlineStr">
        <is>
          <t>出版商官網</t>
        </is>
      </c>
      <c r="J92" s="5" t="inlineStr">
        <is>
          <t>https://dl.hle.com.tw/1151/國中/01課程計畫/115翰林課程計畫_英語教學進度總表.zip</t>
        </is>
      </c>
      <c r="K92" s="4" t="inlineStr">
        <is>
          <t>來源為翰林官網行動大師「115課程計畫-教學進度總表」壓縮檔內《115一下英語(三次段考)課程總表.doc》;Review單元及延伸活動未列入,節未列;主題:環境保護</t>
        </is>
      </c>
    </row>
    <row r="93">
      <c r="A93" s="4" t="inlineStr">
        <is>
          <t>翰林</t>
        </is>
      </c>
      <c r="B93" s="4" t="inlineStr">
        <is>
          <t>國中</t>
        </is>
      </c>
      <c r="C93" s="4" t="inlineStr">
        <is>
          <t>7</t>
        </is>
      </c>
      <c r="D93" s="4" t="inlineStr">
        <is>
          <t>下</t>
        </is>
      </c>
      <c r="E93" s="4" t="inlineStr">
        <is>
          <t>英文</t>
        </is>
      </c>
      <c r="F93" s="4" t="inlineStr">
        <is>
          <t>Unit 6 I Took a Trip to India Last Month</t>
        </is>
      </c>
      <c r="G93" s="4" t="n"/>
      <c r="H93" s="4" t="inlineStr">
        <is>
          <t>115</t>
        </is>
      </c>
      <c r="I93" s="4" t="inlineStr">
        <is>
          <t>出版商官網</t>
        </is>
      </c>
      <c r="J93" s="5" t="inlineStr">
        <is>
          <t>https://dl.hle.com.tw/1151/國中/01課程計畫/115翰林課程計畫_英語教學進度總表.zip</t>
        </is>
      </c>
      <c r="K93" s="4" t="inlineStr">
        <is>
          <t>來源為翰林官網行動大師「115課程計畫-教學進度總表」壓縮檔內《115一下英語(三次段考)課程總表.doc》;Review單元及延伸活動未列入,節未列;主題:旅遊場所、多元文化習俗</t>
        </is>
      </c>
    </row>
    <row r="94">
      <c r="A94" s="4" t="inlineStr">
        <is>
          <t>翰林</t>
        </is>
      </c>
      <c r="B94" s="4" t="inlineStr">
        <is>
          <t>國中</t>
        </is>
      </c>
      <c r="C94" s="4" t="inlineStr">
        <is>
          <t>8</t>
        </is>
      </c>
      <c r="D94" s="4" t="inlineStr">
        <is>
          <t>上</t>
        </is>
      </c>
      <c r="E94" s="4" t="inlineStr">
        <is>
          <t>英文</t>
        </is>
      </c>
      <c r="F94" s="4" t="inlineStr">
        <is>
          <t>Unit 1 How Was the Weather in Australia?</t>
        </is>
      </c>
      <c r="G94" s="4" t="n"/>
      <c r="H94" s="4" t="inlineStr">
        <is>
          <t>115</t>
        </is>
      </c>
      <c r="I94" s="4" t="inlineStr">
        <is>
          <t>出版商官網</t>
        </is>
      </c>
      <c r="J94" s="5" t="inlineStr">
        <is>
          <t>https://dl.hle.com.tw/1151/國中/01課程計畫/115翰林課程計畫_英語教學進度總表.zip</t>
        </is>
      </c>
      <c r="K94" s="4" t="inlineStr">
        <is>
          <t>來源為翰林官網行動大師「115課程計畫-教學進度總表」壓縮檔內《115二上英語(三次段考)課程總表.doc》;Review單元及延伸活動未列入,節未列;主題:季節、天氣</t>
        </is>
      </c>
    </row>
    <row r="95">
      <c r="A95" s="4" t="inlineStr">
        <is>
          <t>翰林</t>
        </is>
      </c>
      <c r="B95" s="4" t="inlineStr">
        <is>
          <t>國中</t>
        </is>
      </c>
      <c r="C95" s="4" t="inlineStr">
        <is>
          <t>8</t>
        </is>
      </c>
      <c r="D95" s="4" t="inlineStr">
        <is>
          <t>上</t>
        </is>
      </c>
      <c r="E95" s="4" t="inlineStr">
        <is>
          <t>英文</t>
        </is>
      </c>
      <c r="F95" s="4" t="inlineStr">
        <is>
          <t>Unit 2 You Can Learn About Game Design After You Join the Club</t>
        </is>
      </c>
      <c r="G95" s="4" t="n"/>
      <c r="H95" s="4" t="inlineStr">
        <is>
          <t>115</t>
        </is>
      </c>
      <c r="I95" s="4" t="inlineStr">
        <is>
          <t>出版商官網</t>
        </is>
      </c>
      <c r="J95" s="5" t="inlineStr">
        <is>
          <t>https://dl.hle.com.tw/1151/國中/01課程計畫/115翰林課程計畫_英語教學進度總表.zip</t>
        </is>
      </c>
      <c r="K95" s="4" t="inlineStr">
        <is>
          <t>來源為翰林官網行動大師「115課程計畫-教學進度總表」壓縮檔內《115二上英語(三次段考)課程總表.doc》;Review單元及延伸活動未列入,節未列;主題:社團活動</t>
        </is>
      </c>
    </row>
    <row r="96">
      <c r="A96" s="4" t="inlineStr">
        <is>
          <t>翰林</t>
        </is>
      </c>
      <c r="B96" s="4" t="inlineStr">
        <is>
          <t>國中</t>
        </is>
      </c>
      <c r="C96" s="4" t="inlineStr">
        <is>
          <t>8</t>
        </is>
      </c>
      <c r="D96" s="4" t="inlineStr">
        <is>
          <t>上</t>
        </is>
      </c>
      <c r="E96" s="4" t="inlineStr">
        <is>
          <t>英文</t>
        </is>
      </c>
      <c r="F96" s="4" t="inlineStr">
        <is>
          <t>Unit 3 Mom Was Doing the Dishes at Half past Twelve</t>
        </is>
      </c>
      <c r="G96" s="4" t="n"/>
      <c r="H96" s="4" t="inlineStr">
        <is>
          <t>115</t>
        </is>
      </c>
      <c r="I96" s="4" t="inlineStr">
        <is>
          <t>出版商官網</t>
        </is>
      </c>
      <c r="J96" s="5" t="inlineStr">
        <is>
          <t>https://dl.hle.com.tw/1151/國中/01課程計畫/115翰林課程計畫_英語教學進度總表.zip</t>
        </is>
      </c>
      <c r="K96" s="4" t="inlineStr">
        <is>
          <t>來源為翰林官網行動大師「115課程計畫-教學進度總表」壓縮檔內《115二上英語(三次段考)課程總表.doc》;Review單元及延伸活動未列入,節未列;主題:家事、惡夢</t>
        </is>
      </c>
    </row>
    <row r="97">
      <c r="A97" s="4" t="inlineStr">
        <is>
          <t>翰林</t>
        </is>
      </c>
      <c r="B97" s="4" t="inlineStr">
        <is>
          <t>國中</t>
        </is>
      </c>
      <c r="C97" s="4" t="inlineStr">
        <is>
          <t>8</t>
        </is>
      </c>
      <c r="D97" s="4" t="inlineStr">
        <is>
          <t>上</t>
        </is>
      </c>
      <c r="E97" s="4" t="inlineStr">
        <is>
          <t>英文</t>
        </is>
      </c>
      <c r="F97" s="4" t="inlineStr">
        <is>
          <t>Unit 4 What Do You Want to Be in the Future?</t>
        </is>
      </c>
      <c r="G97" s="4" t="n"/>
      <c r="H97" s="4" t="inlineStr">
        <is>
          <t>115</t>
        </is>
      </c>
      <c r="I97" s="4" t="inlineStr">
        <is>
          <t>出版商官網</t>
        </is>
      </c>
      <c r="J97" s="5" t="inlineStr">
        <is>
          <t>https://dl.hle.com.tw/1151/國中/01課程計畫/115翰林課程計畫_英語教學進度總表.zip</t>
        </is>
      </c>
      <c r="K97" s="4" t="inlineStr">
        <is>
          <t>來源為翰林官網行動大師「115課程計畫-教學進度總表」壓縮檔內《115二上英語(三次段考)課程總表.doc》;Review單元及延伸活動未列入,節未列;主題:職業探索</t>
        </is>
      </c>
    </row>
    <row r="98">
      <c r="A98" s="4" t="inlineStr">
        <is>
          <t>翰林</t>
        </is>
      </c>
      <c r="B98" s="4" t="inlineStr">
        <is>
          <t>國中</t>
        </is>
      </c>
      <c r="C98" s="4" t="inlineStr">
        <is>
          <t>8</t>
        </is>
      </c>
      <c r="D98" s="4" t="inlineStr">
        <is>
          <t>上</t>
        </is>
      </c>
      <c r="E98" s="4" t="inlineStr">
        <is>
          <t>英文</t>
        </is>
      </c>
      <c r="F98" s="4" t="inlineStr">
        <is>
          <t>Unit 5 How Do We Go to the Hotel?</t>
        </is>
      </c>
      <c r="G98" s="4" t="n"/>
      <c r="H98" s="4" t="inlineStr">
        <is>
          <t>115</t>
        </is>
      </c>
      <c r="I98" s="4" t="inlineStr">
        <is>
          <t>出版商官網</t>
        </is>
      </c>
      <c r="J98" s="5" t="inlineStr">
        <is>
          <t>https://dl.hle.com.tw/1151/國中/01課程計畫/115翰林課程計畫_英語教學進度總表.zip</t>
        </is>
      </c>
      <c r="K98" s="4" t="inlineStr">
        <is>
          <t>來源為翰林官網行動大師「115課程計畫-教學進度總表」壓縮檔內《115二上英語(三次段考)課程總表.doc》;Review單元及延伸活動未列入,節未列;主題:旅行、交通工具、指示方向</t>
        </is>
      </c>
    </row>
    <row r="99">
      <c r="A99" s="4" t="inlineStr">
        <is>
          <t>翰林</t>
        </is>
      </c>
      <c r="B99" s="4" t="inlineStr">
        <is>
          <t>國中</t>
        </is>
      </c>
      <c r="C99" s="4" t="inlineStr">
        <is>
          <t>8</t>
        </is>
      </c>
      <c r="D99" s="4" t="inlineStr">
        <is>
          <t>上</t>
        </is>
      </c>
      <c r="E99" s="4" t="inlineStr">
        <is>
          <t>英文</t>
        </is>
      </c>
      <c r="F99" s="4" t="inlineStr">
        <is>
          <t>Unit 6 I’ll Take Two Pairs of Gloves</t>
        </is>
      </c>
      <c r="G99" s="4" t="n"/>
      <c r="H99" s="4" t="inlineStr">
        <is>
          <t>115</t>
        </is>
      </c>
      <c r="I99" s="4" t="inlineStr">
        <is>
          <t>出版商官網</t>
        </is>
      </c>
      <c r="J99" s="5" t="inlineStr">
        <is>
          <t>https://dl.hle.com.tw/1151/國中/01課程計畫/115翰林課程計畫_英語教學進度總表.zip</t>
        </is>
      </c>
      <c r="K99" s="4" t="inlineStr">
        <is>
          <t>來源為翰林官網行動大師「115課程計畫-教學進度總表」壓縮檔內《115二上英語(三次段考)課程總表.doc》;Review單元及延伸活動未列入,節未列;主題:購物</t>
        </is>
      </c>
    </row>
    <row r="100">
      <c r="A100" s="4" t="inlineStr">
        <is>
          <t>翰林</t>
        </is>
      </c>
      <c r="B100" s="4" t="inlineStr">
        <is>
          <t>國中</t>
        </is>
      </c>
      <c r="C100" s="4" t="inlineStr">
        <is>
          <t>8</t>
        </is>
      </c>
      <c r="D100" s="4" t="inlineStr">
        <is>
          <t>下</t>
        </is>
      </c>
      <c r="E100" s="4" t="inlineStr">
        <is>
          <t>英文</t>
        </is>
      </c>
      <c r="F100" s="4" t="inlineStr">
        <is>
          <t>Unit 1 The Steak Looks Yummy</t>
        </is>
      </c>
      <c r="G100" s="4" t="n"/>
      <c r="H100" s="4" t="inlineStr">
        <is>
          <t>115</t>
        </is>
      </c>
      <c r="I100" s="4" t="inlineStr">
        <is>
          <t>出版商官網</t>
        </is>
      </c>
      <c r="J100" s="5" t="inlineStr">
        <is>
          <t>https://dl.hle.com.tw/1151/國中/01課程計畫/115翰林課程計畫_英語教學進度總表.zip</t>
        </is>
      </c>
      <c r="K100" s="4" t="inlineStr">
        <is>
          <t>來源為翰林官網行動大師「115課程計畫-教學進度總表」壓縮檔內《115二下英語(三次段考)課程總表.doc》;Review單元及延伸活動未列入,節未列;主題:理解土耳其飲食文化與卡帕多奇亞熱氣球飛行</t>
        </is>
      </c>
    </row>
    <row r="101">
      <c r="A101" s="4" t="inlineStr">
        <is>
          <t>翰林</t>
        </is>
      </c>
      <c r="B101" s="4" t="inlineStr">
        <is>
          <t>國中</t>
        </is>
      </c>
      <c r="C101" s="4" t="inlineStr">
        <is>
          <t>8</t>
        </is>
      </c>
      <c r="D101" s="4" t="inlineStr">
        <is>
          <t>下</t>
        </is>
      </c>
      <c r="E101" s="4" t="inlineStr">
        <is>
          <t>英文</t>
        </is>
      </c>
      <c r="F101" s="4" t="inlineStr">
        <is>
          <t>Unit 2 Red Fire Ants Are the Most Dangerous Ants</t>
        </is>
      </c>
      <c r="G101" s="4" t="n"/>
      <c r="H101" s="4" t="inlineStr">
        <is>
          <t>115</t>
        </is>
      </c>
      <c r="I101" s="4" t="inlineStr">
        <is>
          <t>出版商官網</t>
        </is>
      </c>
      <c r="J101" s="5" t="inlineStr">
        <is>
          <t>https://dl.hle.com.tw/1151/國中/01課程計畫/115翰林課程計畫_英語教學進度總表.zip</t>
        </is>
      </c>
      <c r="K101" s="4" t="inlineStr">
        <is>
          <t>來源為翰林官網行動大師「115課程計畫-教學進度總表」壓縮檔內《115二下英語(三次段考)課程總表.doc》;Review單元及延伸活動未列入,節未列;主題:描述在戶外如何保護自我安全與聰明的道路安全設計</t>
        </is>
      </c>
    </row>
    <row r="102">
      <c r="A102" s="4" t="inlineStr">
        <is>
          <t>翰林</t>
        </is>
      </c>
      <c r="B102" s="4" t="inlineStr">
        <is>
          <t>國中</t>
        </is>
      </c>
      <c r="C102" s="4" t="inlineStr">
        <is>
          <t>8</t>
        </is>
      </c>
      <c r="D102" s="4" t="inlineStr">
        <is>
          <t>下</t>
        </is>
      </c>
      <c r="E102" s="4" t="inlineStr">
        <is>
          <t>英文</t>
        </is>
      </c>
      <c r="F102" s="4" t="inlineStr">
        <is>
          <t>Unit 3 The Animals Work Hard</t>
        </is>
      </c>
      <c r="G102" s="4" t="n"/>
      <c r="H102" s="4" t="inlineStr">
        <is>
          <t>115</t>
        </is>
      </c>
      <c r="I102" s="4" t="inlineStr">
        <is>
          <t>出版商官網</t>
        </is>
      </c>
      <c r="J102" s="5" t="inlineStr">
        <is>
          <t>https://dl.hle.com.tw/1151/國中/01課程計畫/115翰林課程計畫_英語教學進度總表.zip</t>
        </is>
      </c>
      <c r="K102" s="4" t="inlineStr">
        <is>
          <t>來源為翰林官網行動大師「115課程計畫-教學進度總表」壓縮檔內《115二下英語(三次段考)課程總表.doc》;Review單元及延伸活動未列入,節未列;主題:勞工權益探討</t>
        </is>
      </c>
    </row>
    <row r="103">
      <c r="A103" s="4" t="inlineStr">
        <is>
          <t>翰林</t>
        </is>
      </c>
      <c r="B103" s="4" t="inlineStr">
        <is>
          <t>國中</t>
        </is>
      </c>
      <c r="C103" s="4" t="inlineStr">
        <is>
          <t>8</t>
        </is>
      </c>
      <c r="D103" s="4" t="inlineStr">
        <is>
          <t>下</t>
        </is>
      </c>
      <c r="E103" s="4" t="inlineStr">
        <is>
          <t>英文</t>
        </is>
      </c>
      <c r="F103" s="4" t="inlineStr">
        <is>
          <t>Unit 4 I Can Hear the Wind Blow</t>
        </is>
      </c>
      <c r="G103" s="4" t="n"/>
      <c r="H103" s="4" t="inlineStr">
        <is>
          <t>115</t>
        </is>
      </c>
      <c r="I103" s="4" t="inlineStr">
        <is>
          <t>出版商官網</t>
        </is>
      </c>
      <c r="J103" s="5" t="inlineStr">
        <is>
          <t>https://dl.hle.com.tw/1151/國中/01課程計畫/115翰林課程計畫_英語教學進度總表.zip</t>
        </is>
      </c>
      <c r="K103" s="4" t="inlineStr">
        <is>
          <t>來源為翰林官網行動大師「115課程計畫-教學進度總表」壓縮檔內《115二下英語(三次段考)課程總表.doc》;Review單元及延伸活動未列入,節未列;主題:防災教育</t>
        </is>
      </c>
    </row>
    <row r="104">
      <c r="A104" s="4" t="inlineStr">
        <is>
          <t>翰林</t>
        </is>
      </c>
      <c r="B104" s="4" t="inlineStr">
        <is>
          <t>國中</t>
        </is>
      </c>
      <c r="C104" s="4" t="inlineStr">
        <is>
          <t>8</t>
        </is>
      </c>
      <c r="D104" s="4" t="inlineStr">
        <is>
          <t>下</t>
        </is>
      </c>
      <c r="E104" s="4" t="inlineStr">
        <is>
          <t>英文</t>
        </is>
      </c>
      <c r="F104" s="4" t="inlineStr">
        <is>
          <t>Unit 5 All of the Food Stands Look Great</t>
        </is>
      </c>
      <c r="G104" s="4" t="n"/>
      <c r="H104" s="4" t="inlineStr">
        <is>
          <t>115</t>
        </is>
      </c>
      <c r="I104" s="4" t="inlineStr">
        <is>
          <t>出版商官網</t>
        </is>
      </c>
      <c r="J104" s="5" t="inlineStr">
        <is>
          <t>https://dl.hle.com.tw/1151/國中/01課程計畫/115翰林課程計畫_英語教學進度總表.zip</t>
        </is>
      </c>
      <c r="K104" s="4" t="inlineStr">
        <is>
          <t>來源為翰林官網行動大師「115課程計畫-教學進度總表」壓縮檔內《115二下英語(三次段考)課程總表.doc》;Review單元及延伸活動未列入,節未列;主題:保持身體健康秘訣與有助於大腦的食物</t>
        </is>
      </c>
    </row>
    <row r="105">
      <c r="A105" s="4" t="inlineStr">
        <is>
          <t>翰林</t>
        </is>
      </c>
      <c r="B105" s="4" t="inlineStr">
        <is>
          <t>國中</t>
        </is>
      </c>
      <c r="C105" s="4" t="inlineStr">
        <is>
          <t>8</t>
        </is>
      </c>
      <c r="D105" s="4" t="inlineStr">
        <is>
          <t>下</t>
        </is>
      </c>
      <c r="E105" s="4" t="inlineStr">
        <is>
          <t>英文</t>
        </is>
      </c>
      <c r="F105" s="4" t="inlineStr">
        <is>
          <t>Unit 6 You Can Throw a Ball, Can’t You?</t>
        </is>
      </c>
      <c r="G105" s="4" t="n"/>
      <c r="H105" s="4" t="inlineStr">
        <is>
          <t>115</t>
        </is>
      </c>
      <c r="I105" s="4" t="inlineStr">
        <is>
          <t>出版商官網</t>
        </is>
      </c>
      <c r="J105" s="5" t="inlineStr">
        <is>
          <t>https://dl.hle.com.tw/1151/國中/01課程計畫/115翰林課程計畫_英語教學進度總表.zip</t>
        </is>
      </c>
      <c r="K105" s="4" t="inlineStr">
        <is>
          <t>來源為翰林官網行動大師「115課程計畫-教學進度總表」壓縮檔內《115二下英語(三次段考)課程總表.doc》;Review單元及延伸活動未列入,節未列;主題:性別平等</t>
        </is>
      </c>
    </row>
    <row r="106">
      <c r="A106" s="4" t="inlineStr">
        <is>
          <t>翰林</t>
        </is>
      </c>
      <c r="B106" s="4" t="inlineStr">
        <is>
          <t>國中</t>
        </is>
      </c>
      <c r="C106" s="4" t="inlineStr">
        <is>
          <t>9</t>
        </is>
      </c>
      <c r="D106" s="4" t="inlineStr">
        <is>
          <t>上</t>
        </is>
      </c>
      <c r="E106" s="4" t="inlineStr">
        <is>
          <t>英文</t>
        </is>
      </c>
      <c r="F106" s="4" t="inlineStr">
        <is>
          <t>Unit 1 Have You Had Breakfast Yet?</t>
        </is>
      </c>
      <c r="G106" s="4" t="n"/>
      <c r="H106" s="4" t="inlineStr">
        <is>
          <t>115</t>
        </is>
      </c>
      <c r="I106" s="4" t="inlineStr">
        <is>
          <t>出版商官網</t>
        </is>
      </c>
      <c r="J106" s="5" t="inlineStr">
        <is>
          <t>https://dl.hle.com.tw/1151/國中/01課程計畫/115翰林課程計畫_英語教學進度總表.zip</t>
        </is>
      </c>
      <c r="K106" s="4" t="inlineStr">
        <is>
          <t>來源為翰林官網行動大師「115課程計畫-教學進度總表」壓縮檔內《115三上英語(三次段考)課程總表.doc》;Review單元及延伸活動未列入,節未列;主題:健康及青少年煩惱</t>
        </is>
      </c>
    </row>
    <row r="107">
      <c r="A107" s="4" t="inlineStr">
        <is>
          <t>翰林</t>
        </is>
      </c>
      <c r="B107" s="4" t="inlineStr">
        <is>
          <t>國中</t>
        </is>
      </c>
      <c r="C107" s="4" t="inlineStr">
        <is>
          <t>9</t>
        </is>
      </c>
      <c r="D107" s="4" t="inlineStr">
        <is>
          <t>上</t>
        </is>
      </c>
      <c r="E107" s="4" t="inlineStr">
        <is>
          <t>英文</t>
        </is>
      </c>
      <c r="F107" s="4" t="inlineStr">
        <is>
          <t>Unit 2 The Movie Looks Exciting</t>
        </is>
      </c>
      <c r="G107" s="4" t="n"/>
      <c r="H107" s="4" t="inlineStr">
        <is>
          <t>115</t>
        </is>
      </c>
      <c r="I107" s="4" t="inlineStr">
        <is>
          <t>出版商官網</t>
        </is>
      </c>
      <c r="J107" s="5" t="inlineStr">
        <is>
          <t>https://dl.hle.com.tw/1151/國中/01課程計畫/115翰林課程計畫_英語教學進度總表.zip</t>
        </is>
      </c>
      <c r="K107" s="4" t="inlineStr">
        <is>
          <t>來源為翰林官網行動大師「115課程計畫-教學進度總表」壓縮檔內《115三上英語(三次段考)課程總表.doc》;Review單元及延伸活動未列入,節未列;主題:智慧財產權與分辨真假資訊</t>
        </is>
      </c>
    </row>
    <row r="108">
      <c r="A108" s="4" t="inlineStr">
        <is>
          <t>翰林</t>
        </is>
      </c>
      <c r="B108" s="4" t="inlineStr">
        <is>
          <t>國中</t>
        </is>
      </c>
      <c r="C108" s="4" t="inlineStr">
        <is>
          <t>9</t>
        </is>
      </c>
      <c r="D108" s="4" t="inlineStr">
        <is>
          <t>上</t>
        </is>
      </c>
      <c r="E108" s="4" t="inlineStr">
        <is>
          <t>英文</t>
        </is>
      </c>
      <c r="F108" s="4" t="inlineStr">
        <is>
          <t>Unit 3 The Soldier Was Saved by a Dog</t>
        </is>
      </c>
      <c r="G108" s="4" t="n"/>
      <c r="H108" s="4" t="inlineStr">
        <is>
          <t>115</t>
        </is>
      </c>
      <c r="I108" s="4" t="inlineStr">
        <is>
          <t>出版商官網</t>
        </is>
      </c>
      <c r="J108" s="5" t="inlineStr">
        <is>
          <t>https://dl.hle.com.tw/1151/國中/01課程計畫/115翰林課程計畫_英語教學進度總表.zip</t>
        </is>
      </c>
      <c r="K108" s="4" t="inlineStr">
        <is>
          <t>來源為翰林官網行動大師「115課程計畫-教學進度總表」壓縮檔內《115三上英語(三次段考)課程總表.doc》;Review單元及延伸活動未列入,節未列;主題:動物英雄</t>
        </is>
      </c>
    </row>
    <row r="109">
      <c r="A109" s="4" t="inlineStr">
        <is>
          <t>翰林</t>
        </is>
      </c>
      <c r="B109" s="4" t="inlineStr">
        <is>
          <t>國中</t>
        </is>
      </c>
      <c r="C109" s="4" t="inlineStr">
        <is>
          <t>9</t>
        </is>
      </c>
      <c r="D109" s="4" t="inlineStr">
        <is>
          <t>上</t>
        </is>
      </c>
      <c r="E109" s="4" t="inlineStr">
        <is>
          <t>英文</t>
        </is>
      </c>
      <c r="F109" s="4" t="inlineStr">
        <is>
          <t>Unit 4 Do You Know Where the File Is?</t>
        </is>
      </c>
      <c r="G109" s="4" t="n"/>
      <c r="H109" s="4" t="inlineStr">
        <is>
          <t>115</t>
        </is>
      </c>
      <c r="I109" s="4" t="inlineStr">
        <is>
          <t>出版商官網</t>
        </is>
      </c>
      <c r="J109" s="5" t="inlineStr">
        <is>
          <t>https://dl.hle.com.tw/1151/國中/01課程計畫/115翰林課程計畫_英語教學進度總表.zip</t>
        </is>
      </c>
      <c r="K109" s="4" t="inlineStr">
        <is>
          <t>來源為翰林官網行動大師「115課程計畫-教學進度總表」壓縮檔內《115三上英語(三次段考)課程總表.doc》;Review單元及延伸活動未列入,節未列;主題:AI拍照分析</t>
        </is>
      </c>
    </row>
    <row r="110">
      <c r="A110" s="4" t="inlineStr">
        <is>
          <t>翰林</t>
        </is>
      </c>
      <c r="B110" s="4" t="inlineStr">
        <is>
          <t>國中</t>
        </is>
      </c>
      <c r="C110" s="4" t="inlineStr">
        <is>
          <t>9</t>
        </is>
      </c>
      <c r="D110" s="4" t="inlineStr">
        <is>
          <t>上</t>
        </is>
      </c>
      <c r="E110" s="4" t="inlineStr">
        <is>
          <t>英文</t>
        </is>
      </c>
      <c r="F110" s="4" t="inlineStr">
        <is>
          <t>Unit 5 The Man Who Shook Hands with Me Is My Favorite Star</t>
        </is>
      </c>
      <c r="G110" s="4" t="n"/>
      <c r="H110" s="4" t="inlineStr">
        <is>
          <t>115</t>
        </is>
      </c>
      <c r="I110" s="4" t="inlineStr">
        <is>
          <t>出版商官網</t>
        </is>
      </c>
      <c r="J110" s="5" t="inlineStr">
        <is>
          <t>https://dl.hle.com.tw/1151/國中/01課程計畫/115翰林課程計畫_英語教學進度總表.zip</t>
        </is>
      </c>
      <c r="K110" s="4" t="inlineStr">
        <is>
          <t>來源為翰林官網行動大師「115課程計畫-教學進度總表」壓縮檔內《115三上英語(三次段考)課程總表.doc》;Review單元及延伸活動未列入,節未列;主題:漫畫展及名人介紹</t>
        </is>
      </c>
    </row>
    <row r="111">
      <c r="A111" s="4" t="inlineStr">
        <is>
          <t>翰林</t>
        </is>
      </c>
      <c r="B111" s="4" t="inlineStr">
        <is>
          <t>國中</t>
        </is>
      </c>
      <c r="C111" s="4" t="inlineStr">
        <is>
          <t>9</t>
        </is>
      </c>
      <c r="D111" s="4" t="inlineStr">
        <is>
          <t>上</t>
        </is>
      </c>
      <c r="E111" s="4" t="inlineStr">
        <is>
          <t>英文</t>
        </is>
      </c>
      <c r="F111" s="4" t="inlineStr">
        <is>
          <t>Unit 6 The Sign Which You Used Is Not OK</t>
        </is>
      </c>
      <c r="G111" s="4" t="n"/>
      <c r="H111" s="4" t="inlineStr">
        <is>
          <t>115</t>
        </is>
      </c>
      <c r="I111" s="4" t="inlineStr">
        <is>
          <t>出版商官網</t>
        </is>
      </c>
      <c r="J111" s="5" t="inlineStr">
        <is>
          <t>https://dl.hle.com.tw/1151/國中/01課程計畫/115翰林課程計畫_英語教學進度總表.zip</t>
        </is>
      </c>
      <c r="K111" s="4" t="inlineStr">
        <is>
          <t>來源為翰林官網行動大師「115課程計畫-教學進度總表」壓縮檔內《115三上英語(三次段考)課程總表.doc》;Review單元及延伸活動未列入,節未列;主題:飲食文化差異</t>
        </is>
      </c>
    </row>
    <row r="112">
      <c r="A112" s="4" t="inlineStr">
        <is>
          <t>翰林</t>
        </is>
      </c>
      <c r="B112" s="4" t="inlineStr">
        <is>
          <t>國中</t>
        </is>
      </c>
      <c r="C112" s="4" t="inlineStr">
        <is>
          <t>9</t>
        </is>
      </c>
      <c r="D112" s="4" t="inlineStr">
        <is>
          <t>下</t>
        </is>
      </c>
      <c r="E112" s="4" t="inlineStr">
        <is>
          <t>英文</t>
        </is>
      </c>
      <c r="F112" s="4" t="inlineStr">
        <is>
          <t>Unit 1 I Feel So Lost, and So Do My Friends</t>
        </is>
      </c>
      <c r="G112" s="4" t="n"/>
      <c r="H112" s="4" t="inlineStr">
        <is>
          <t>115</t>
        </is>
      </c>
      <c r="I112" s="4" t="inlineStr">
        <is>
          <t>出版商官網</t>
        </is>
      </c>
      <c r="J112" s="5" t="inlineStr">
        <is>
          <t>https://dl.hle.com.tw/1151/國中/01課程計畫/115翰林課程計畫_英語教學進度總表.zip</t>
        </is>
      </c>
      <c r="K112" s="4" t="inlineStr">
        <is>
          <t>來源為翰林官網行動大師「115課程計畫-教學進度總表」壓縮檔內《115三下英語(二次段考)課程總表.doc》;Review單元及延伸活動未列入,節未列;主題:生涯規劃</t>
        </is>
      </c>
    </row>
    <row r="113">
      <c r="A113" s="4" t="inlineStr">
        <is>
          <t>翰林</t>
        </is>
      </c>
      <c r="B113" s="4" t="inlineStr">
        <is>
          <t>國中</t>
        </is>
      </c>
      <c r="C113" s="4" t="inlineStr">
        <is>
          <t>9</t>
        </is>
      </c>
      <c r="D113" s="4" t="inlineStr">
        <is>
          <t>下</t>
        </is>
      </c>
      <c r="E113" s="4" t="inlineStr">
        <is>
          <t>英文</t>
        </is>
      </c>
      <c r="F113" s="4" t="inlineStr">
        <is>
          <t>Unit 2 I Can Fous Neither in the Morning Nor at Night</t>
        </is>
      </c>
      <c r="G113" s="4" t="n"/>
      <c r="H113" s="4" t="inlineStr">
        <is>
          <t>115</t>
        </is>
      </c>
      <c r="I113" s="4" t="inlineStr">
        <is>
          <t>出版商官網</t>
        </is>
      </c>
      <c r="J113" s="5" t="inlineStr">
        <is>
          <t>https://dl.hle.com.tw/1151/國中/01課程計畫/115翰林課程計畫_英語教學進度總表.zip</t>
        </is>
      </c>
      <c r="K113" s="4" t="inlineStr">
        <is>
          <t>來源為翰林官網行動大師「115課程計畫-教學進度總表」壓縮檔內《115三下英語(二次段考)課程總表.doc》;Review單元及延伸活動未列入,節未列;主題:提升專注力方法</t>
        </is>
      </c>
    </row>
    <row r="114">
      <c r="A114" s="4" t="inlineStr">
        <is>
          <t>翰林</t>
        </is>
      </c>
      <c r="B114" s="4" t="inlineStr">
        <is>
          <t>國中</t>
        </is>
      </c>
      <c r="C114" s="4" t="inlineStr">
        <is>
          <t>9</t>
        </is>
      </c>
      <c r="D114" s="4" t="inlineStr">
        <is>
          <t>下</t>
        </is>
      </c>
      <c r="E114" s="4" t="inlineStr">
        <is>
          <t>英文</t>
        </is>
      </c>
      <c r="F114" s="4" t="inlineStr">
        <is>
          <t>Unit 3 Is AI Good for Learning?</t>
        </is>
      </c>
      <c r="G114" s="4" t="n"/>
      <c r="H114" s="4" t="inlineStr">
        <is>
          <t>115</t>
        </is>
      </c>
      <c r="I114" s="4" t="inlineStr">
        <is>
          <t>出版商官網</t>
        </is>
      </c>
      <c r="J114" s="5" t="inlineStr">
        <is>
          <t>https://dl.hle.com.tw/1151/國中/01課程計畫/115翰林課程計畫_英語教學進度總表.zip</t>
        </is>
      </c>
      <c r="K114" s="4" t="inlineStr">
        <is>
          <t>來源為翰林官網行動大師「115課程計畫-教學進度總表」壓縮檔內《115三下英語(二次段考)課程總表.doc》;Review單元及延伸活動未列入,節未列;主題:人工智慧</t>
        </is>
      </c>
    </row>
    <row r="115">
      <c r="A115" s="4" t="inlineStr">
        <is>
          <t>翰林</t>
        </is>
      </c>
      <c r="B115" s="4" t="inlineStr">
        <is>
          <t>國中</t>
        </is>
      </c>
      <c r="C115" s="4" t="inlineStr">
        <is>
          <t>9</t>
        </is>
      </c>
      <c r="D115" s="4" t="inlineStr">
        <is>
          <t>下</t>
        </is>
      </c>
      <c r="E115" s="4" t="inlineStr">
        <is>
          <t>英文</t>
        </is>
      </c>
      <c r="F115" s="4" t="inlineStr">
        <is>
          <t>Unit 4 Let’s Vote</t>
        </is>
      </c>
      <c r="G115" s="4" t="n"/>
      <c r="H115" s="4" t="inlineStr">
        <is>
          <t>115</t>
        </is>
      </c>
      <c r="I115" s="4" t="inlineStr">
        <is>
          <t>出版商官網</t>
        </is>
      </c>
      <c r="J115" s="5" t="inlineStr">
        <is>
          <t>https://dl.hle.com.tw/1151/國中/01課程計畫/115翰林課程計畫_英語教學進度總表.zip</t>
        </is>
      </c>
      <c r="K115" s="4" t="inlineStr">
        <is>
          <t>來源為翰林官網行動大師「115課程計畫-教學進度總表」壓縮檔內《115三下英語(二次段考)課程總表.doc》;Review單元及延伸活動未列入,節未列;主題:台灣的公民參與</t>
        </is>
      </c>
    </row>
    <row r="116">
      <c r="A116" s="4" t="inlineStr">
        <is>
          <t>翰林</t>
        </is>
      </c>
      <c r="B116" s="4" t="inlineStr">
        <is>
          <t>國中</t>
        </is>
      </c>
      <c r="C116" s="4" t="inlineStr">
        <is>
          <t>7</t>
        </is>
      </c>
      <c r="D116" s="4" t="inlineStr">
        <is>
          <t>上</t>
        </is>
      </c>
      <c r="E116" s="4" t="inlineStr">
        <is>
          <t>數學</t>
        </is>
      </c>
      <c r="F116" s="4" t="inlineStr">
        <is>
          <t>第1章 數與數線</t>
        </is>
      </c>
      <c r="G116" s="4" t="inlineStr">
        <is>
          <t>1-1 正數與負數；1-2 正負數的加減；1-3 正負數的乘除；1-4 指數記法與科學記號</t>
        </is>
      </c>
      <c r="H116" s="4" t="inlineStr">
        <is>
          <t>115</t>
        </is>
      </c>
      <c r="I116" s="4" t="inlineStr">
        <is>
          <t>出版商官網</t>
        </is>
      </c>
      <c r="J116" s="5" t="inlineStr">
        <is>
          <t>https://dl.hle.com.tw/1151/國中/01課程計畫/115翰林課程計畫_數學教學進度總表.zip</t>
        </is>
      </c>
      <c r="K116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7">
      <c r="A117" s="4" t="inlineStr">
        <is>
          <t>翰林</t>
        </is>
      </c>
      <c r="B117" s="4" t="inlineStr">
        <is>
          <t>國中</t>
        </is>
      </c>
      <c r="C117" s="4" t="inlineStr">
        <is>
          <t>7</t>
        </is>
      </c>
      <c r="D117" s="4" t="inlineStr">
        <is>
          <t>上</t>
        </is>
      </c>
      <c r="E117" s="4" t="inlineStr">
        <is>
          <t>數學</t>
        </is>
      </c>
      <c r="F117" s="4" t="inlineStr">
        <is>
          <t>第2章 標準分解式與分數運算</t>
        </is>
      </c>
      <c r="G117" s="4" t="inlineStr">
        <is>
          <t>2-1 質因數分解；2-2 最大公因數與最小公倍數；2-3 分數的四則運算；2-4 指數律</t>
        </is>
      </c>
      <c r="H117" s="4" t="inlineStr">
        <is>
          <t>115</t>
        </is>
      </c>
      <c r="I117" s="4" t="inlineStr">
        <is>
          <t>出版商官網</t>
        </is>
      </c>
      <c r="J117" s="5" t="inlineStr">
        <is>
          <t>https://dl.hle.com.tw/1151/國中/01課程計畫/115翰林課程計畫_數學教學進度總表.zip</t>
        </is>
      </c>
      <c r="K117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8">
      <c r="A118" s="4" t="inlineStr">
        <is>
          <t>翰林</t>
        </is>
      </c>
      <c r="B118" s="4" t="inlineStr">
        <is>
          <t>國中</t>
        </is>
      </c>
      <c r="C118" s="4" t="inlineStr">
        <is>
          <t>7</t>
        </is>
      </c>
      <c r="D118" s="4" t="inlineStr">
        <is>
          <t>上</t>
        </is>
      </c>
      <c r="E118" s="4" t="inlineStr">
        <is>
          <t>數學</t>
        </is>
      </c>
      <c r="F118" s="4" t="inlineStr">
        <is>
          <t>第3章 一元一次方程式</t>
        </is>
      </c>
      <c r="G118" s="4" t="inlineStr">
        <is>
          <t>3-1 式子的運算；3-2 解一元一次方程式；3-3 應用問題</t>
        </is>
      </c>
      <c r="H118" s="4" t="inlineStr">
        <is>
          <t>115</t>
        </is>
      </c>
      <c r="I118" s="4" t="inlineStr">
        <is>
          <t>出版商官網</t>
        </is>
      </c>
      <c r="J118" s="5" t="inlineStr">
        <is>
          <t>https://dl.hle.com.tw/1151/國中/01課程計畫/115翰林課程計畫_數學教學進度總表.zip</t>
        </is>
      </c>
      <c r="K118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9">
      <c r="A119" s="4" t="inlineStr">
        <is>
          <t>翰林</t>
        </is>
      </c>
      <c r="B119" s="4" t="inlineStr">
        <is>
          <t>國中</t>
        </is>
      </c>
      <c r="C119" s="4" t="inlineStr">
        <is>
          <t>7</t>
        </is>
      </c>
      <c r="D119" s="4" t="inlineStr">
        <is>
          <t>下</t>
        </is>
      </c>
      <c r="E119" s="4" t="inlineStr">
        <is>
          <t>數學</t>
        </is>
      </c>
      <c r="F119" s="4" t="inlineStr">
        <is>
          <t>第1章 二元一次聯立方程式</t>
        </is>
      </c>
      <c r="G119" s="4" t="inlineStr">
        <is>
          <t>1-1 二元一次方程式；1-2 解二元一次聯立方程式；1-3 應用問題</t>
        </is>
      </c>
      <c r="H119" s="4" t="inlineStr">
        <is>
          <t>115</t>
        </is>
      </c>
      <c r="I119" s="4" t="inlineStr">
        <is>
          <t>出版商官網</t>
        </is>
      </c>
      <c r="J119" s="5" t="inlineStr">
        <is>
          <t>https://dl.hle.com.tw/1151/國中/01課程計畫/115翰林課程計畫_數學教學進度總表.zip</t>
        </is>
      </c>
      <c r="K119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0">
      <c r="A120" s="4" t="inlineStr">
        <is>
          <t>翰林</t>
        </is>
      </c>
      <c r="B120" s="4" t="inlineStr">
        <is>
          <t>國中</t>
        </is>
      </c>
      <c r="C120" s="4" t="inlineStr">
        <is>
          <t>7</t>
        </is>
      </c>
      <c r="D120" s="4" t="inlineStr">
        <is>
          <t>下</t>
        </is>
      </c>
      <c r="E120" s="4" t="inlineStr">
        <is>
          <t>數學</t>
        </is>
      </c>
      <c r="F120" s="4" t="inlineStr">
        <is>
          <t>第2章 直角坐標與二元一次方程式的圖形</t>
        </is>
      </c>
      <c r="G120" s="4" t="inlineStr">
        <is>
          <t>2-1 直角坐標平面；2-2 二元一次方程式的圖形</t>
        </is>
      </c>
      <c r="H120" s="4" t="inlineStr">
        <is>
          <t>115</t>
        </is>
      </c>
      <c r="I120" s="4" t="inlineStr">
        <is>
          <t>出版商官網</t>
        </is>
      </c>
      <c r="J120" s="5" t="inlineStr">
        <is>
          <t>https://dl.hle.com.tw/1151/國中/01課程計畫/115翰林課程計畫_數學教學進度總表.zip</t>
        </is>
      </c>
      <c r="K120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1">
      <c r="A121" s="4" t="inlineStr">
        <is>
          <t>翰林</t>
        </is>
      </c>
      <c r="B121" s="4" t="inlineStr">
        <is>
          <t>國中</t>
        </is>
      </c>
      <c r="C121" s="4" t="inlineStr">
        <is>
          <t>7</t>
        </is>
      </c>
      <c r="D121" s="4" t="inlineStr">
        <is>
          <t>下</t>
        </is>
      </c>
      <c r="E121" s="4" t="inlineStr">
        <is>
          <t>數學</t>
        </is>
      </c>
      <c r="F121" s="4" t="inlineStr">
        <is>
          <t>第3章 比例</t>
        </is>
      </c>
      <c r="G121" s="4" t="inlineStr">
        <is>
          <t>3-1 比例式；3-2 正比與反比</t>
        </is>
      </c>
      <c r="H121" s="4" t="inlineStr">
        <is>
          <t>115</t>
        </is>
      </c>
      <c r="I121" s="4" t="inlineStr">
        <is>
          <t>出版商官網</t>
        </is>
      </c>
      <c r="J121" s="5" t="inlineStr">
        <is>
          <t>https://dl.hle.com.tw/1151/國中/01課程計畫/115翰林課程計畫_數學教學進度總表.zip</t>
        </is>
      </c>
      <c r="K121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2">
      <c r="A122" s="4" t="inlineStr">
        <is>
          <t>翰林</t>
        </is>
      </c>
      <c r="B122" s="4" t="inlineStr">
        <is>
          <t>國中</t>
        </is>
      </c>
      <c r="C122" s="4" t="inlineStr">
        <is>
          <t>7</t>
        </is>
      </c>
      <c r="D122" s="4" t="inlineStr">
        <is>
          <t>下</t>
        </is>
      </c>
      <c r="E122" s="4" t="inlineStr">
        <is>
          <t>數學</t>
        </is>
      </c>
      <c r="F122" s="4" t="inlineStr">
        <is>
          <t>第4章 一元一次不等式</t>
        </is>
      </c>
      <c r="G122" s="4" t="inlineStr">
        <is>
          <t>4-1 一元一次不等式的解及圖示；4-2 解一元一次不等式及其應用</t>
        </is>
      </c>
      <c r="H122" s="4" t="inlineStr">
        <is>
          <t>115</t>
        </is>
      </c>
      <c r="I122" s="4" t="inlineStr">
        <is>
          <t>出版商官網</t>
        </is>
      </c>
      <c r="J122" s="5" t="inlineStr">
        <is>
          <t>https://dl.hle.com.tw/1151/國中/01課程計畫/115翰林課程計畫_數學教學進度總表.zip</t>
        </is>
      </c>
      <c r="K122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3">
      <c r="A123" s="4" t="inlineStr">
        <is>
          <t>翰林</t>
        </is>
      </c>
      <c r="B123" s="4" t="inlineStr">
        <is>
          <t>國中</t>
        </is>
      </c>
      <c r="C123" s="4" t="inlineStr">
        <is>
          <t>7</t>
        </is>
      </c>
      <c r="D123" s="4" t="inlineStr">
        <is>
          <t>下</t>
        </is>
      </c>
      <c r="E123" s="4" t="inlineStr">
        <is>
          <t>數學</t>
        </is>
      </c>
      <c r="F123" s="4" t="inlineStr">
        <is>
          <t>第5章 統計圖表與統計數據</t>
        </is>
      </c>
      <c r="G123" s="4" t="n"/>
      <c r="H123" s="4" t="inlineStr">
        <is>
          <t>115</t>
        </is>
      </c>
      <c r="I123" s="4" t="inlineStr">
        <is>
          <t>出版商官網</t>
        </is>
      </c>
      <c r="J123" s="5" t="inlineStr">
        <is>
          <t>https://dl.hle.com.tw/1151/國中/01課程計畫/115翰林課程計畫_數學教學進度總表.zip</t>
        </is>
      </c>
      <c r="K123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4">
      <c r="A124" s="4" t="inlineStr">
        <is>
          <t>翰林</t>
        </is>
      </c>
      <c r="B124" s="4" t="inlineStr">
        <is>
          <t>國中</t>
        </is>
      </c>
      <c r="C124" s="4" t="inlineStr">
        <is>
          <t>7</t>
        </is>
      </c>
      <c r="D124" s="4" t="inlineStr">
        <is>
          <t>下</t>
        </is>
      </c>
      <c r="E124" s="4" t="inlineStr">
        <is>
          <t>數學</t>
        </is>
      </c>
      <c r="F124" s="4" t="inlineStr">
        <is>
          <t>第6章 線對稱與三視圖</t>
        </is>
      </c>
      <c r="G124" s="4" t="n"/>
      <c r="H124" s="4" t="inlineStr">
        <is>
          <t>115</t>
        </is>
      </c>
      <c r="I124" s="4" t="inlineStr">
        <is>
          <t>出版商官網</t>
        </is>
      </c>
      <c r="J124" s="5" t="inlineStr">
        <is>
          <t>https://dl.hle.com.tw/1151/國中/01課程計畫/115翰林課程計畫_數學教學進度總表.zip</t>
        </is>
      </c>
      <c r="K124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5">
      <c r="A125" s="4" t="inlineStr">
        <is>
          <t>翰林</t>
        </is>
      </c>
      <c r="B125" s="4" t="inlineStr">
        <is>
          <t>國中</t>
        </is>
      </c>
      <c r="C125" s="4" t="inlineStr">
        <is>
          <t>8</t>
        </is>
      </c>
      <c r="D125" s="4" t="inlineStr">
        <is>
          <t>上</t>
        </is>
      </c>
      <c r="E125" s="4" t="inlineStr">
        <is>
          <t>數學</t>
        </is>
      </c>
      <c r="F125" s="4" t="inlineStr">
        <is>
          <t>第1章 乘法公式與多項式</t>
        </is>
      </c>
      <c r="G125" s="4" t="inlineStr">
        <is>
          <t>1-1 乘法公式；1-2 多項式的加減；1-3 多項式的乘除</t>
        </is>
      </c>
      <c r="H125" s="4" t="inlineStr">
        <is>
          <t>115</t>
        </is>
      </c>
      <c r="I125" s="4" t="inlineStr">
        <is>
          <t>出版商官網</t>
        </is>
      </c>
      <c r="J125" s="5" t="inlineStr">
        <is>
          <t>https://dl.hle.com.tw/1151/國中/01課程計畫/115翰林課程計畫_數學教學進度總表.zip</t>
        </is>
      </c>
      <c r="K125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6">
      <c r="A126" s="4" t="inlineStr">
        <is>
          <t>翰林</t>
        </is>
      </c>
      <c r="B126" s="4" t="inlineStr">
        <is>
          <t>國中</t>
        </is>
      </c>
      <c r="C126" s="4" t="inlineStr">
        <is>
          <t>8</t>
        </is>
      </c>
      <c r="D126" s="4" t="inlineStr">
        <is>
          <t>上</t>
        </is>
      </c>
      <c r="E126" s="4" t="inlineStr">
        <is>
          <t>數學</t>
        </is>
      </c>
      <c r="F126" s="4" t="inlineStr">
        <is>
          <t>第2章 二次方根與畢氏定理</t>
        </is>
      </c>
      <c r="G126" s="4" t="inlineStr">
        <is>
          <t>2-1 二次方根的意義；2-2 根式的運算；2-3 畢氏定理</t>
        </is>
      </c>
      <c r="H126" s="4" t="inlineStr">
        <is>
          <t>115</t>
        </is>
      </c>
      <c r="I126" s="4" t="inlineStr">
        <is>
          <t>出版商官網</t>
        </is>
      </c>
      <c r="J126" s="5" t="inlineStr">
        <is>
          <t>https://dl.hle.com.tw/1151/國中/01課程計畫/115翰林課程計畫_數學教學進度總表.zip</t>
        </is>
      </c>
      <c r="K126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7">
      <c r="A127" s="4" t="inlineStr">
        <is>
          <t>翰林</t>
        </is>
      </c>
      <c r="B127" s="4" t="inlineStr">
        <is>
          <t>國中</t>
        </is>
      </c>
      <c r="C127" s="4" t="inlineStr">
        <is>
          <t>8</t>
        </is>
      </c>
      <c r="D127" s="4" t="inlineStr">
        <is>
          <t>上</t>
        </is>
      </c>
      <c r="E127" s="4" t="inlineStr">
        <is>
          <t>數學</t>
        </is>
      </c>
      <c r="F127" s="4" t="inlineStr">
        <is>
          <t>第3章 因式分解</t>
        </is>
      </c>
      <c r="G127" s="4" t="inlineStr">
        <is>
          <t>3-1 提公因式與乘法公式作因式分解；3-2 利用十字交乘法因式分解</t>
        </is>
      </c>
      <c r="H127" s="4" t="inlineStr">
        <is>
          <t>115</t>
        </is>
      </c>
      <c r="I127" s="4" t="inlineStr">
        <is>
          <t>出版商官網</t>
        </is>
      </c>
      <c r="J127" s="5" t="inlineStr">
        <is>
          <t>https://dl.hle.com.tw/1151/國中/01課程計畫/115翰林課程計畫_數學教學進度總表.zip</t>
        </is>
      </c>
      <c r="K127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8">
      <c r="A128" s="4" t="inlineStr">
        <is>
          <t>翰林</t>
        </is>
      </c>
      <c r="B128" s="4" t="inlineStr">
        <is>
          <t>國中</t>
        </is>
      </c>
      <c r="C128" s="4" t="inlineStr">
        <is>
          <t>8</t>
        </is>
      </c>
      <c r="D128" s="4" t="inlineStr">
        <is>
          <t>上</t>
        </is>
      </c>
      <c r="E128" s="4" t="inlineStr">
        <is>
          <t>數學</t>
        </is>
      </c>
      <c r="F128" s="4" t="inlineStr">
        <is>
          <t>第4章 一元二次方程式</t>
        </is>
      </c>
      <c r="G128" s="4" t="inlineStr">
        <is>
          <t>4-1 因式分解法解一元二次方程式；4-2 配方法與公式解；4-3 應用問題</t>
        </is>
      </c>
      <c r="H128" s="4" t="inlineStr">
        <is>
          <t>115</t>
        </is>
      </c>
      <c r="I128" s="4" t="inlineStr">
        <is>
          <t>出版商官網</t>
        </is>
      </c>
      <c r="J128" s="5" t="inlineStr">
        <is>
          <t>https://dl.hle.com.tw/1151/國中/01課程計畫/115翰林課程計畫_數學教學進度總表.zip</t>
        </is>
      </c>
      <c r="K128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9">
      <c r="A129" s="4" t="inlineStr">
        <is>
          <t>翰林</t>
        </is>
      </c>
      <c r="B129" s="4" t="inlineStr">
        <is>
          <t>國中</t>
        </is>
      </c>
      <c r="C129" s="4" t="inlineStr">
        <is>
          <t>8</t>
        </is>
      </c>
      <c r="D129" s="4" t="inlineStr">
        <is>
          <t>上</t>
        </is>
      </c>
      <c r="E129" s="4" t="inlineStr">
        <is>
          <t>數學</t>
        </is>
      </c>
      <c r="F129" s="4" t="inlineStr">
        <is>
          <t>第5章 統計資料處理</t>
        </is>
      </c>
      <c r="G129" s="4" t="n"/>
      <c r="H129" s="4" t="inlineStr">
        <is>
          <t>115</t>
        </is>
      </c>
      <c r="I129" s="4" t="inlineStr">
        <is>
          <t>出版商官網</t>
        </is>
      </c>
      <c r="J129" s="5" t="inlineStr">
        <is>
          <t>https://dl.hle.com.tw/1151/國中/01課程計畫/115翰林課程計畫_數學教學進度總表.zip</t>
        </is>
      </c>
      <c r="K129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30">
      <c r="A130" s="4" t="inlineStr">
        <is>
          <t>翰林</t>
        </is>
      </c>
      <c r="B130" s="4" t="inlineStr">
        <is>
          <t>國中</t>
        </is>
      </c>
      <c r="C130" s="4" t="inlineStr">
        <is>
          <t>8</t>
        </is>
      </c>
      <c r="D130" s="4" t="inlineStr">
        <is>
          <t>下</t>
        </is>
      </c>
      <c r="E130" s="4" t="inlineStr">
        <is>
          <t>數學</t>
        </is>
      </c>
      <c r="F130" s="4" t="inlineStr">
        <is>
          <t>第1章 數列與級數</t>
        </is>
      </c>
      <c r="G130" s="4" t="inlineStr">
        <is>
          <t>1-1 認識數列與等差數列；1-2 等差級數；1-3 等比數列</t>
        </is>
      </c>
      <c r="H130" s="4" t="inlineStr">
        <is>
          <t>115</t>
        </is>
      </c>
      <c r="I130" s="4" t="inlineStr">
        <is>
          <t>出版商官網</t>
        </is>
      </c>
      <c r="J130" s="5" t="inlineStr">
        <is>
          <t>https://dl.hle.com.tw/1151/國中/01課程計畫/115翰林課程計畫_數學教學進度總表.zip</t>
        </is>
      </c>
      <c r="K130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1">
      <c r="A131" s="4" t="inlineStr">
        <is>
          <t>翰林</t>
        </is>
      </c>
      <c r="B131" s="4" t="inlineStr">
        <is>
          <t>國中</t>
        </is>
      </c>
      <c r="C131" s="4" t="inlineStr">
        <is>
          <t>8</t>
        </is>
      </c>
      <c r="D131" s="4" t="inlineStr">
        <is>
          <t>下</t>
        </is>
      </c>
      <c r="E131" s="4" t="inlineStr">
        <is>
          <t>數學</t>
        </is>
      </c>
      <c r="F131" s="4" t="inlineStr">
        <is>
          <t>第2章 線型函數與其圖形</t>
        </is>
      </c>
      <c r="G131" s="4" t="n"/>
      <c r="H131" s="4" t="inlineStr">
        <is>
          <t>115</t>
        </is>
      </c>
      <c r="I131" s="4" t="inlineStr">
        <is>
          <t>出版商官網</t>
        </is>
      </c>
      <c r="J131" s="5" t="inlineStr">
        <is>
          <t>https://dl.hle.com.tw/1151/國中/01課程計畫/115翰林課程計畫_數學教學進度總表.zip</t>
        </is>
      </c>
      <c r="K131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2">
      <c r="A132" s="4" t="inlineStr">
        <is>
          <t>翰林</t>
        </is>
      </c>
      <c r="B132" s="4" t="inlineStr">
        <is>
          <t>國中</t>
        </is>
      </c>
      <c r="C132" s="4" t="inlineStr">
        <is>
          <t>8</t>
        </is>
      </c>
      <c r="D132" s="4" t="inlineStr">
        <is>
          <t>下</t>
        </is>
      </c>
      <c r="E132" s="4" t="inlineStr">
        <is>
          <t>數學</t>
        </is>
      </c>
      <c r="F132" s="4" t="inlineStr">
        <is>
          <t>第3章 三角形的基本性質</t>
        </is>
      </c>
      <c r="G132" s="4" t="inlineStr">
        <is>
          <t>3-1 內角與外角；3-2 基本的尺規作圖；3-3 三角形的全等性質；3-4 中垂線與角平分線性質；3-5 三角形的邊角關係</t>
        </is>
      </c>
      <c r="H132" s="4" t="inlineStr">
        <is>
          <t>115</t>
        </is>
      </c>
      <c r="I132" s="4" t="inlineStr">
        <is>
          <t>出版商官網</t>
        </is>
      </c>
      <c r="J132" s="5" t="inlineStr">
        <is>
          <t>https://dl.hle.com.tw/1151/國中/01課程計畫/115翰林課程計畫_數學教學進度總表.zip</t>
        </is>
      </c>
      <c r="K132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3">
      <c r="A133" s="4" t="inlineStr">
        <is>
          <t>翰林</t>
        </is>
      </c>
      <c r="B133" s="4" t="inlineStr">
        <is>
          <t>國中</t>
        </is>
      </c>
      <c r="C133" s="4" t="inlineStr">
        <is>
          <t>8</t>
        </is>
      </c>
      <c r="D133" s="4" t="inlineStr">
        <is>
          <t>下</t>
        </is>
      </c>
      <c r="E133" s="4" t="inlineStr">
        <is>
          <t>數學</t>
        </is>
      </c>
      <c r="F133" s="4" t="inlineStr">
        <is>
          <t>第4章 平行與四邊形</t>
        </is>
      </c>
      <c r="G133" s="4" t="inlineStr">
        <is>
          <t>4-1 平行線與截角性質；4-2 平行四邊形；4-3 特殊四邊形</t>
        </is>
      </c>
      <c r="H133" s="4" t="inlineStr">
        <is>
          <t>115</t>
        </is>
      </c>
      <c r="I133" s="4" t="inlineStr">
        <is>
          <t>出版商官網</t>
        </is>
      </c>
      <c r="J133" s="5" t="inlineStr">
        <is>
          <t>https://dl.hle.com.tw/1151/國中/01課程計畫/115翰林課程計畫_數學教學進度總表.zip</t>
        </is>
      </c>
      <c r="K133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4">
      <c r="A134" s="4" t="inlineStr">
        <is>
          <t>翰林</t>
        </is>
      </c>
      <c r="B134" s="4" t="inlineStr">
        <is>
          <t>國中</t>
        </is>
      </c>
      <c r="C134" s="4" t="inlineStr">
        <is>
          <t>9</t>
        </is>
      </c>
      <c r="D134" s="4" t="inlineStr">
        <is>
          <t>上</t>
        </is>
      </c>
      <c r="E134" s="4" t="inlineStr">
        <is>
          <t>數學</t>
        </is>
      </c>
      <c r="F134" s="4" t="inlineStr">
        <is>
          <t>第1章 相似形與三角比</t>
        </is>
      </c>
      <c r="G134" s="4" t="inlineStr">
        <is>
          <t>1-1 連比；1-2 比例線段；1-3 相似多邊形；1-4 相似三角形的應用與三角比</t>
        </is>
      </c>
      <c r="H134" s="4" t="inlineStr">
        <is>
          <t>115</t>
        </is>
      </c>
      <c r="I134" s="4" t="inlineStr">
        <is>
          <t>出版商官網</t>
        </is>
      </c>
      <c r="J134" s="5" t="inlineStr">
        <is>
          <t>https://dl.hle.com.tw/1151/國中/01課程計畫/115翰林課程計畫_數學教學進度總表.zip</t>
        </is>
      </c>
      <c r="K134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5">
      <c r="A135" s="4" t="inlineStr">
        <is>
          <t>翰林</t>
        </is>
      </c>
      <c r="B135" s="4" t="inlineStr">
        <is>
          <t>國中</t>
        </is>
      </c>
      <c r="C135" s="4" t="inlineStr">
        <is>
          <t>9</t>
        </is>
      </c>
      <c r="D135" s="4" t="inlineStr">
        <is>
          <t>上</t>
        </is>
      </c>
      <c r="E135" s="4" t="inlineStr">
        <is>
          <t>數學</t>
        </is>
      </c>
      <c r="F135" s="4" t="inlineStr">
        <is>
          <t>第2章 圓形</t>
        </is>
      </c>
      <c r="G135" s="4" t="inlineStr">
        <is>
          <t>2-1 點、線、圓；2-2 圓心角與圓周角</t>
        </is>
      </c>
      <c r="H135" s="4" t="inlineStr">
        <is>
          <t>115</t>
        </is>
      </c>
      <c r="I135" s="4" t="inlineStr">
        <is>
          <t>出版商官網</t>
        </is>
      </c>
      <c r="J135" s="5" t="inlineStr">
        <is>
          <t>https://dl.hle.com.tw/1151/國中/01課程計畫/115翰林課程計畫_數學教學進度總表.zip</t>
        </is>
      </c>
      <c r="K135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6">
      <c r="A136" s="4" t="inlineStr">
        <is>
          <t>翰林</t>
        </is>
      </c>
      <c r="B136" s="4" t="inlineStr">
        <is>
          <t>國中</t>
        </is>
      </c>
      <c r="C136" s="4" t="inlineStr">
        <is>
          <t>9</t>
        </is>
      </c>
      <c r="D136" s="4" t="inlineStr">
        <is>
          <t>上</t>
        </is>
      </c>
      <c r="E136" s="4" t="inlineStr">
        <is>
          <t>數學</t>
        </is>
      </c>
      <c r="F136" s="4" t="inlineStr">
        <is>
          <t>第3章 推理證明與三角形的心</t>
        </is>
      </c>
      <c r="G136" s="4" t="inlineStr">
        <is>
          <t>3-1 推理證明；3-2 三角形的外心、內心與重心</t>
        </is>
      </c>
      <c r="H136" s="4" t="inlineStr">
        <is>
          <t>115</t>
        </is>
      </c>
      <c r="I136" s="4" t="inlineStr">
        <is>
          <t>出版商官網</t>
        </is>
      </c>
      <c r="J136" s="5" t="inlineStr">
        <is>
          <t>https://dl.hle.com.tw/1151/國中/01課程計畫/115翰林課程計畫_數學教學進度總表.zip</t>
        </is>
      </c>
      <c r="K136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7">
      <c r="A137" s="4" t="inlineStr">
        <is>
          <t>翰林</t>
        </is>
      </c>
      <c r="B137" s="4" t="inlineStr">
        <is>
          <t>國中</t>
        </is>
      </c>
      <c r="C137" s="4" t="inlineStr">
        <is>
          <t>9</t>
        </is>
      </c>
      <c r="D137" s="4" t="inlineStr">
        <is>
          <t>下</t>
        </is>
      </c>
      <c r="E137" s="4" t="inlineStr">
        <is>
          <t>數學</t>
        </is>
      </c>
      <c r="F137" s="4" t="inlineStr">
        <is>
          <t>第1章 二次函數</t>
        </is>
      </c>
      <c r="G137" s="4" t="inlineStr">
        <is>
          <t>1-1 基本二次函數的圖形；1-2 二次函數圖形與最大值、最小值</t>
        </is>
      </c>
      <c r="H137" s="4" t="inlineStr">
        <is>
          <t>115</t>
        </is>
      </c>
      <c r="I137" s="4" t="inlineStr">
        <is>
          <t>出版商官網</t>
        </is>
      </c>
      <c r="J137" s="5" t="inlineStr">
        <is>
          <t>https://dl.hle.com.tw/1151/國中/01課程計畫/115翰林課程計畫_數學教學進度總表.zip</t>
        </is>
      </c>
      <c r="K137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8">
      <c r="A138" s="4" t="inlineStr">
        <is>
          <t>翰林</t>
        </is>
      </c>
      <c r="B138" s="4" t="inlineStr">
        <is>
          <t>國中</t>
        </is>
      </c>
      <c r="C138" s="4" t="inlineStr">
        <is>
          <t>9</t>
        </is>
      </c>
      <c r="D138" s="4" t="inlineStr">
        <is>
          <t>下</t>
        </is>
      </c>
      <c r="E138" s="4" t="inlineStr">
        <is>
          <t>數學</t>
        </is>
      </c>
      <c r="F138" s="4" t="inlineStr">
        <is>
          <t>第2章 統計與機率</t>
        </is>
      </c>
      <c r="G138" s="4" t="inlineStr">
        <is>
          <t>2-1 四分位數與盒狀圖；2-2 機率</t>
        </is>
      </c>
      <c r="H138" s="4" t="inlineStr">
        <is>
          <t>115</t>
        </is>
      </c>
      <c r="I138" s="4" t="inlineStr">
        <is>
          <t>出版商官網</t>
        </is>
      </c>
      <c r="J138" s="5" t="inlineStr">
        <is>
          <t>https://dl.hle.com.tw/1151/國中/01課程計畫/115翰林課程計畫_數學教學進度總表.zip</t>
        </is>
      </c>
      <c r="K138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9">
      <c r="A139" s="4" t="inlineStr">
        <is>
          <t>翰林</t>
        </is>
      </c>
      <c r="B139" s="4" t="inlineStr">
        <is>
          <t>國中</t>
        </is>
      </c>
      <c r="C139" s="4" t="inlineStr">
        <is>
          <t>9</t>
        </is>
      </c>
      <c r="D139" s="4" t="inlineStr">
        <is>
          <t>下</t>
        </is>
      </c>
      <c r="E139" s="4" t="inlineStr">
        <is>
          <t>數學</t>
        </is>
      </c>
      <c r="F139" s="4" t="inlineStr">
        <is>
          <t>第3章 立體圖形</t>
        </is>
      </c>
      <c r="G139" s="4" t="n"/>
      <c r="H139" s="4" t="inlineStr">
        <is>
          <t>115</t>
        </is>
      </c>
      <c r="I139" s="4" t="inlineStr">
        <is>
          <t>出版商官網</t>
        </is>
      </c>
      <c r="J139" s="5" t="inlineStr">
        <is>
          <t>https://dl.hle.com.tw/1151/國中/01課程計畫/115翰林課程計畫_數學教學進度總表.zip</t>
        </is>
      </c>
      <c r="K139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40">
      <c r="A140" s="4" t="inlineStr">
        <is>
          <t>翰林</t>
        </is>
      </c>
      <c r="B140" s="4" t="inlineStr">
        <is>
          <t>國中</t>
        </is>
      </c>
      <c r="C140" s="4" t="inlineStr">
        <is>
          <t>7</t>
        </is>
      </c>
      <c r="D140" s="4" t="inlineStr">
        <is>
          <t>上</t>
        </is>
      </c>
      <c r="E140" s="4" t="inlineStr">
        <is>
          <t>生物</t>
        </is>
      </c>
      <c r="F140" s="4" t="inlineStr">
        <is>
          <t>第1章 生命世界與科學方法</t>
        </is>
      </c>
      <c r="G140" s="4" t="inlineStr">
        <is>
          <t>1-1 多采多姿的生命世界；1-2 探究自然的科學方法；1-3 進入實驗室</t>
        </is>
      </c>
      <c r="H140" s="4" t="inlineStr">
        <is>
          <t>115</t>
        </is>
      </c>
      <c r="I140" s="4" t="inlineStr">
        <is>
          <t>出版商官網</t>
        </is>
      </c>
      <c r="J140" s="5" t="inlineStr">
        <is>
          <t>https://dl.hle.com.tw/1151/國中/01課程計畫/115翰林課程計畫_自然教學進度總表.zip</t>
        </is>
      </c>
      <c r="K140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1">
      <c r="A141" s="4" t="inlineStr">
        <is>
          <t>翰林</t>
        </is>
      </c>
      <c r="B141" s="4" t="inlineStr">
        <is>
          <t>國中</t>
        </is>
      </c>
      <c r="C141" s="4" t="inlineStr">
        <is>
          <t>7</t>
        </is>
      </c>
      <c r="D141" s="4" t="inlineStr">
        <is>
          <t>上</t>
        </is>
      </c>
      <c r="E141" s="4" t="inlineStr">
        <is>
          <t>生物</t>
        </is>
      </c>
      <c r="F141" s="4" t="inlineStr">
        <is>
          <t>第2章 生物體的組成</t>
        </is>
      </c>
      <c r="G141" s="4" t="inlineStr">
        <is>
          <t>2-1 生物的基本單位；2-2 細胞的構造；2-3 物質進出細胞的方式；2-4 生物體的組成層次</t>
        </is>
      </c>
      <c r="H141" s="4" t="inlineStr">
        <is>
          <t>115</t>
        </is>
      </c>
      <c r="I141" s="4" t="inlineStr">
        <is>
          <t>出版商官網</t>
        </is>
      </c>
      <c r="J141" s="5" t="inlineStr">
        <is>
          <t>https://dl.hle.com.tw/1151/國中/01課程計畫/115翰林課程計畫_自然教學進度總表.zip</t>
        </is>
      </c>
      <c r="K141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2">
      <c r="A142" s="4" t="inlineStr">
        <is>
          <t>翰林</t>
        </is>
      </c>
      <c r="B142" s="4" t="inlineStr">
        <is>
          <t>國中</t>
        </is>
      </c>
      <c r="C142" s="4" t="inlineStr">
        <is>
          <t>7</t>
        </is>
      </c>
      <c r="D142" s="4" t="inlineStr">
        <is>
          <t>上</t>
        </is>
      </c>
      <c r="E142" s="4" t="inlineStr">
        <is>
          <t>生物</t>
        </is>
      </c>
      <c r="F142" s="4" t="inlineStr">
        <is>
          <t>第3章 生物體的營養</t>
        </is>
      </c>
      <c r="G142" s="4" t="inlineStr">
        <is>
          <t>3-1 食物中的養分與能量；3-2 酵素；3-3 植物如何製造養分；3-4 人體如何獲得養分</t>
        </is>
      </c>
      <c r="H142" s="4" t="inlineStr">
        <is>
          <t>115</t>
        </is>
      </c>
      <c r="I142" s="4" t="inlineStr">
        <is>
          <t>出版商官網</t>
        </is>
      </c>
      <c r="J142" s="5" t="inlineStr">
        <is>
          <t>https://dl.hle.com.tw/1151/國中/01課程計畫/115翰林課程計畫_自然教學進度總表.zip</t>
        </is>
      </c>
      <c r="K142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3">
      <c r="A143" s="4" t="inlineStr">
        <is>
          <t>翰林</t>
        </is>
      </c>
      <c r="B143" s="4" t="inlineStr">
        <is>
          <t>國中</t>
        </is>
      </c>
      <c r="C143" s="4" t="inlineStr">
        <is>
          <t>7</t>
        </is>
      </c>
      <c r="D143" s="4" t="inlineStr">
        <is>
          <t>上</t>
        </is>
      </c>
      <c r="E143" s="4" t="inlineStr">
        <is>
          <t>生物</t>
        </is>
      </c>
      <c r="F143" s="4" t="inlineStr">
        <is>
          <t>第4章 生物體的運輸作用</t>
        </is>
      </c>
      <c r="G143" s="4" t="inlineStr">
        <is>
          <t>4-1 植物的運輸構造；4-2 植物體內物質的運輸；4-3 人體血液循環的組成；4-4 人體的循環系統</t>
        </is>
      </c>
      <c r="H143" s="4" t="inlineStr">
        <is>
          <t>115</t>
        </is>
      </c>
      <c r="I143" s="4" t="inlineStr">
        <is>
          <t>出版商官網</t>
        </is>
      </c>
      <c r="J143" s="5" t="inlineStr">
        <is>
          <t>https://dl.hle.com.tw/1151/國中/01課程計畫/115翰林課程計畫_自然教學進度總表.zip</t>
        </is>
      </c>
      <c r="K143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4">
      <c r="A144" s="4" t="inlineStr">
        <is>
          <t>翰林</t>
        </is>
      </c>
      <c r="B144" s="4" t="inlineStr">
        <is>
          <t>國中</t>
        </is>
      </c>
      <c r="C144" s="4" t="inlineStr">
        <is>
          <t>7</t>
        </is>
      </c>
      <c r="D144" s="4" t="inlineStr">
        <is>
          <t>上</t>
        </is>
      </c>
      <c r="E144" s="4" t="inlineStr">
        <is>
          <t>生物</t>
        </is>
      </c>
      <c r="F144" s="4" t="inlineStr">
        <is>
          <t>第5章 生物體的協調作用</t>
        </is>
      </c>
      <c r="G144" s="4" t="inlineStr">
        <is>
          <t>5-1 刺激與反應；5-2 神經系統；5-3 內分泌系統；5-4 行為與感應</t>
        </is>
      </c>
      <c r="H144" s="4" t="inlineStr">
        <is>
          <t>115</t>
        </is>
      </c>
      <c r="I144" s="4" t="inlineStr">
        <is>
          <t>出版商官網</t>
        </is>
      </c>
      <c r="J144" s="5" t="inlineStr">
        <is>
          <t>https://dl.hle.com.tw/1151/國中/01課程計畫/115翰林課程計畫_自然教學進度總表.zip</t>
        </is>
      </c>
      <c r="K144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5">
      <c r="A145" s="4" t="inlineStr">
        <is>
          <t>翰林</t>
        </is>
      </c>
      <c r="B145" s="4" t="inlineStr">
        <is>
          <t>國中</t>
        </is>
      </c>
      <c r="C145" s="4" t="inlineStr">
        <is>
          <t>7</t>
        </is>
      </c>
      <c r="D145" s="4" t="inlineStr">
        <is>
          <t>上</t>
        </is>
      </c>
      <c r="E145" s="4" t="inlineStr">
        <is>
          <t>生物</t>
        </is>
      </c>
      <c r="F145" s="4" t="inlineStr">
        <is>
          <t>第6章 生物體的恆定</t>
        </is>
      </c>
      <c r="G145" s="4" t="inlineStr">
        <is>
          <t>6-1 呼吸與氣體的恆定；6-2 排泄與水分的恆定；6-3 體溫的恆定與血糖的恆定</t>
        </is>
      </c>
      <c r="H145" s="4" t="inlineStr">
        <is>
          <t>115</t>
        </is>
      </c>
      <c r="I145" s="4" t="inlineStr">
        <is>
          <t>出版商官網</t>
        </is>
      </c>
      <c r="J145" s="5" t="inlineStr">
        <is>
          <t>https://dl.hle.com.tw/1151/國中/01課程計畫/115翰林課程計畫_自然教學進度總表.zip</t>
        </is>
      </c>
      <c r="K145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6">
      <c r="A146" s="4" t="inlineStr">
        <is>
          <t>翰林</t>
        </is>
      </c>
      <c r="B146" s="4" t="inlineStr">
        <is>
          <t>國中</t>
        </is>
      </c>
      <c r="C146" s="4" t="inlineStr">
        <is>
          <t>7</t>
        </is>
      </c>
      <c r="D146" s="4" t="inlineStr">
        <is>
          <t>上</t>
        </is>
      </c>
      <c r="E146" s="4" t="inlineStr">
        <is>
          <t>生物</t>
        </is>
      </c>
      <c r="F146" s="4" t="inlineStr">
        <is>
          <t>跨科主題-尺度</t>
        </is>
      </c>
      <c r="G146" s="4" t="inlineStr">
        <is>
          <t>微觀與巨觀；尺度與單位；比例尺；微觀世界的觀察</t>
        </is>
      </c>
      <c r="H146" s="4" t="inlineStr">
        <is>
          <t>115</t>
        </is>
      </c>
      <c r="I146" s="4" t="inlineStr">
        <is>
          <t>出版商官網</t>
        </is>
      </c>
      <c r="J146" s="5" t="inlineStr">
        <is>
          <t>https://dl.hle.com.tw/1151/國中/01課程計畫/115翰林課程計畫_自然教學進度總表.zip</t>
        </is>
      </c>
      <c r="K146" s="4" t="inlineStr">
        <is>
          <t>來源為翰林官網行動大師「115課程計畫-教學進度總表」壓縮檔內《115一上自然(三次段考)課程總表.doc》;節名取自進度表,實驗/探討活動未列入;進度表列為跨科主題,細項層級待核對</t>
        </is>
      </c>
    </row>
    <row r="147">
      <c r="A147" s="4" t="inlineStr">
        <is>
          <t>翰林</t>
        </is>
      </c>
      <c r="B147" s="4" t="inlineStr">
        <is>
          <t>國中</t>
        </is>
      </c>
      <c r="C147" s="4" t="inlineStr">
        <is>
          <t>7</t>
        </is>
      </c>
      <c r="D147" s="4" t="inlineStr">
        <is>
          <t>下</t>
        </is>
      </c>
      <c r="E147" s="4" t="inlineStr">
        <is>
          <t>生物</t>
        </is>
      </c>
      <c r="F147" s="4" t="inlineStr">
        <is>
          <t>第1章 生殖</t>
        </is>
      </c>
      <c r="G147" s="4" t="inlineStr">
        <is>
          <t>1-1 細胞的分裂；1-2 無性生殖；1-3 有性生殖</t>
        </is>
      </c>
      <c r="H147" s="4" t="inlineStr">
        <is>
          <t>115</t>
        </is>
      </c>
      <c r="I147" s="4" t="inlineStr">
        <is>
          <t>出版商官網</t>
        </is>
      </c>
      <c r="J147" s="5" t="inlineStr">
        <is>
          <t>https://dl.hle.com.tw/1151/國中/01課程計畫/115翰林課程計畫_自然教學進度總表.zip</t>
        </is>
      </c>
      <c r="K147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8">
      <c r="A148" s="4" t="inlineStr">
        <is>
          <t>翰林</t>
        </is>
      </c>
      <c r="B148" s="4" t="inlineStr">
        <is>
          <t>國中</t>
        </is>
      </c>
      <c r="C148" s="4" t="inlineStr">
        <is>
          <t>7</t>
        </is>
      </c>
      <c r="D148" s="4" t="inlineStr">
        <is>
          <t>下</t>
        </is>
      </c>
      <c r="E148" s="4" t="inlineStr">
        <is>
          <t>生物</t>
        </is>
      </c>
      <c r="F148" s="4" t="inlineStr">
        <is>
          <t>第2章 遺傳</t>
        </is>
      </c>
      <c r="G148" s="4" t="inlineStr">
        <is>
          <t>2-1 遺傳、染色體與基因；2-2 人類的遺傳；2-3 突變與遺傳諮詢；2-4 生物技術</t>
        </is>
      </c>
      <c r="H148" s="4" t="inlineStr">
        <is>
          <t>115</t>
        </is>
      </c>
      <c r="I148" s="4" t="inlineStr">
        <is>
          <t>出版商官網</t>
        </is>
      </c>
      <c r="J148" s="5" t="inlineStr">
        <is>
          <t>https://dl.hle.com.tw/1151/國中/01課程計畫/115翰林課程計畫_自然教學進度總表.zip</t>
        </is>
      </c>
      <c r="K148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9">
      <c r="A149" s="4" t="inlineStr">
        <is>
          <t>翰林</t>
        </is>
      </c>
      <c r="B149" s="4" t="inlineStr">
        <is>
          <t>國中</t>
        </is>
      </c>
      <c r="C149" s="4" t="inlineStr">
        <is>
          <t>7</t>
        </is>
      </c>
      <c r="D149" s="4" t="inlineStr">
        <is>
          <t>下</t>
        </is>
      </c>
      <c r="E149" s="4" t="inlineStr">
        <is>
          <t>生物</t>
        </is>
      </c>
      <c r="F149" s="4" t="inlineStr">
        <is>
          <t>第3章 生物的演化與分類</t>
        </is>
      </c>
      <c r="G149" s="4" t="inlineStr">
        <is>
          <t>3-1 化石與演化；3-2 生物的命名與分類；3-3 原核、原生生物界及真菌界；3-4 植物界；3-5 動物界</t>
        </is>
      </c>
      <c r="H149" s="4" t="inlineStr">
        <is>
          <t>115</t>
        </is>
      </c>
      <c r="I149" s="4" t="inlineStr">
        <is>
          <t>出版商官網</t>
        </is>
      </c>
      <c r="J149" s="5" t="inlineStr">
        <is>
          <t>https://dl.hle.com.tw/1151/國中/01課程計畫/115翰林課程計畫_自然教學進度總表.zip</t>
        </is>
      </c>
      <c r="K149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0">
      <c r="A150" s="4" t="inlineStr">
        <is>
          <t>翰林</t>
        </is>
      </c>
      <c r="B150" s="4" t="inlineStr">
        <is>
          <t>國中</t>
        </is>
      </c>
      <c r="C150" s="4" t="inlineStr">
        <is>
          <t>7</t>
        </is>
      </c>
      <c r="D150" s="4" t="inlineStr">
        <is>
          <t>下</t>
        </is>
      </c>
      <c r="E150" s="4" t="inlineStr">
        <is>
          <t>生物</t>
        </is>
      </c>
      <c r="F150" s="4" t="inlineStr">
        <is>
          <t>第4章 生物與環境</t>
        </is>
      </c>
      <c r="G150" s="4" t="inlineStr">
        <is>
          <t>4-1 族群、群集與演替；4-2 生物間的互動關係；4-3 生態系；4-4 生態系的類型</t>
        </is>
      </c>
      <c r="H150" s="4" t="inlineStr">
        <is>
          <t>115</t>
        </is>
      </c>
      <c r="I150" s="4" t="inlineStr">
        <is>
          <t>出版商官網</t>
        </is>
      </c>
      <c r="J150" s="5" t="inlineStr">
        <is>
          <t>https://dl.hle.com.tw/1151/國中/01課程計畫/115翰林課程計畫_自然教學進度總表.zip</t>
        </is>
      </c>
      <c r="K150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1">
      <c r="A151" s="4" t="inlineStr">
        <is>
          <t>翰林</t>
        </is>
      </c>
      <c r="B151" s="4" t="inlineStr">
        <is>
          <t>國中</t>
        </is>
      </c>
      <c r="C151" s="4" t="inlineStr">
        <is>
          <t>7</t>
        </is>
      </c>
      <c r="D151" s="4" t="inlineStr">
        <is>
          <t>下</t>
        </is>
      </c>
      <c r="E151" s="4" t="inlineStr">
        <is>
          <t>生物</t>
        </is>
      </c>
      <c r="F151" s="4" t="inlineStr">
        <is>
          <t>第5章 環境保護與生態平衡</t>
        </is>
      </c>
      <c r="G151" s="4" t="inlineStr">
        <is>
          <t>5-1 生物多樣性；5-2 生物多樣性面臨的危機；5-3 保育的落實</t>
        </is>
      </c>
      <c r="H151" s="4" t="inlineStr">
        <is>
          <t>115</t>
        </is>
      </c>
      <c r="I151" s="4" t="inlineStr">
        <is>
          <t>出版商官網</t>
        </is>
      </c>
      <c r="J151" s="5" t="inlineStr">
        <is>
          <t>https://dl.hle.com.tw/1151/國中/01課程計畫/115翰林課程計畫_自然教學進度總表.zip</t>
        </is>
      </c>
      <c r="K151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2">
      <c r="A152" s="4" t="inlineStr">
        <is>
          <t>翰林</t>
        </is>
      </c>
      <c r="B152" s="4" t="inlineStr">
        <is>
          <t>國中</t>
        </is>
      </c>
      <c r="C152" s="4" t="inlineStr">
        <is>
          <t>7</t>
        </is>
      </c>
      <c r="D152" s="4" t="inlineStr">
        <is>
          <t>下</t>
        </is>
      </c>
      <c r="E152" s="4" t="inlineStr">
        <is>
          <t>生物</t>
        </is>
      </c>
      <c r="F152" s="4" t="inlineStr">
        <is>
          <t>跨科主題 環境的永續發展</t>
        </is>
      </c>
      <c r="G152" s="4" t="n"/>
      <c r="H152" s="4" t="inlineStr">
        <is>
          <t>115</t>
        </is>
      </c>
      <c r="I152" s="4" t="inlineStr">
        <is>
          <t>出版商官網</t>
        </is>
      </c>
      <c r="J152" s="5" t="inlineStr">
        <is>
          <t>https://dl.hle.com.tw/1151/國中/01課程計畫/115翰林課程計畫_自然教學進度總表.zip</t>
        </is>
      </c>
      <c r="K152" s="4" t="inlineStr">
        <is>
          <t>來源為翰林官網行動大師「115課程計畫-教學進度總表」壓縮檔內《115一下自然(三次段考)課程總表.doc》;節名取自進度表,實驗/探討活動未列入;進度表列為跨科主題</t>
        </is>
      </c>
    </row>
    <row r="153">
      <c r="A153" s="4" t="inlineStr">
        <is>
          <t>翰林</t>
        </is>
      </c>
      <c r="B153" s="4" t="inlineStr">
        <is>
          <t>國中</t>
        </is>
      </c>
      <c r="C153" s="4" t="inlineStr">
        <is>
          <t>8</t>
        </is>
      </c>
      <c r="D153" s="4" t="inlineStr">
        <is>
          <t>上</t>
        </is>
      </c>
      <c r="E153" s="4" t="inlineStr">
        <is>
          <t>理化</t>
        </is>
      </c>
      <c r="F153" s="4" t="inlineStr">
        <is>
          <t>第一章 基本測量</t>
        </is>
      </c>
      <c r="G153" s="4" t="inlineStr">
        <is>
          <t>1-1 長度、質量與時間；1-2 測量與估計；1-3 體積與密度的測量</t>
        </is>
      </c>
      <c r="H153" s="4" t="inlineStr">
        <is>
          <t>115</t>
        </is>
      </c>
      <c r="I153" s="4" t="inlineStr">
        <is>
          <t>出版商官網</t>
        </is>
      </c>
      <c r="J153" s="5" t="inlineStr">
        <is>
          <t>https://dl.hle.com.tw/1151/國中/01課程計畫/115翰林課程計畫_自然教學進度總表.zip</t>
        </is>
      </c>
      <c r="K153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4">
      <c r="A154" s="4" t="inlineStr">
        <is>
          <t>翰林</t>
        </is>
      </c>
      <c r="B154" s="4" t="inlineStr">
        <is>
          <t>國中</t>
        </is>
      </c>
      <c r="C154" s="4" t="inlineStr">
        <is>
          <t>8</t>
        </is>
      </c>
      <c r="D154" s="4" t="inlineStr">
        <is>
          <t>上</t>
        </is>
      </c>
      <c r="E154" s="4" t="inlineStr">
        <is>
          <t>理化</t>
        </is>
      </c>
      <c r="F154" s="4" t="inlineStr">
        <is>
          <t>第二章 物質的世界</t>
        </is>
      </c>
      <c r="G154" s="4" t="inlineStr">
        <is>
          <t>2-1 認識物質；2-2 溶液與濃度；2-3 混合物的分離</t>
        </is>
      </c>
      <c r="H154" s="4" t="inlineStr">
        <is>
          <t>115</t>
        </is>
      </c>
      <c r="I154" s="4" t="inlineStr">
        <is>
          <t>出版商官網</t>
        </is>
      </c>
      <c r="J154" s="5" t="inlineStr">
        <is>
          <t>https://dl.hle.com.tw/1151/國中/01課程計畫/115翰林課程計畫_自然教學進度總表.zip</t>
        </is>
      </c>
      <c r="K154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5">
      <c r="A155" s="4" t="inlineStr">
        <is>
          <t>翰林</t>
        </is>
      </c>
      <c r="B155" s="4" t="inlineStr">
        <is>
          <t>國中</t>
        </is>
      </c>
      <c r="C155" s="4" t="inlineStr">
        <is>
          <t>8</t>
        </is>
      </c>
      <c r="D155" s="4" t="inlineStr">
        <is>
          <t>上</t>
        </is>
      </c>
      <c r="E155" s="4" t="inlineStr">
        <is>
          <t>理化</t>
        </is>
      </c>
      <c r="F155" s="4" t="inlineStr">
        <is>
          <t>第三章 波動與聲音</t>
        </is>
      </c>
      <c r="G155" s="4" t="inlineStr">
        <is>
          <t>3-1 波的傳播與特徵；3-2 聲音的形成；3-3 多變的聲音；3-4 聲波的傳播與應用</t>
        </is>
      </c>
      <c r="H155" s="4" t="inlineStr">
        <is>
          <t>115</t>
        </is>
      </c>
      <c r="I155" s="4" t="inlineStr">
        <is>
          <t>出版商官網</t>
        </is>
      </c>
      <c r="J155" s="5" t="inlineStr">
        <is>
          <t>https://dl.hle.com.tw/1151/國中/01課程計畫/115翰林課程計畫_自然教學進度總表.zip</t>
        </is>
      </c>
      <c r="K155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6">
      <c r="A156" s="4" t="inlineStr">
        <is>
          <t>翰林</t>
        </is>
      </c>
      <c r="B156" s="4" t="inlineStr">
        <is>
          <t>國中</t>
        </is>
      </c>
      <c r="C156" s="4" t="inlineStr">
        <is>
          <t>8</t>
        </is>
      </c>
      <c r="D156" s="4" t="inlineStr">
        <is>
          <t>上</t>
        </is>
      </c>
      <c r="E156" s="4" t="inlineStr">
        <is>
          <t>理化</t>
        </is>
      </c>
      <c r="F156" s="4" t="inlineStr">
        <is>
          <t>第四章 光、影像與顏色</t>
        </is>
      </c>
      <c r="G156" s="4" t="inlineStr">
        <is>
          <t>4-1 光的傳播；4-2 光的反射與面鏡成像；4-3 光的折射；4-4 透鏡成像；4-5 色散與顏色</t>
        </is>
      </c>
      <c r="H156" s="4" t="inlineStr">
        <is>
          <t>115</t>
        </is>
      </c>
      <c r="I156" s="4" t="inlineStr">
        <is>
          <t>出版商官網</t>
        </is>
      </c>
      <c r="J156" s="5" t="inlineStr">
        <is>
          <t>https://dl.hle.com.tw/1151/國中/01課程計畫/115翰林課程計畫_自然教學進度總表.zip</t>
        </is>
      </c>
      <c r="K156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7">
      <c r="A157" s="4" t="inlineStr">
        <is>
          <t>翰林</t>
        </is>
      </c>
      <c r="B157" s="4" t="inlineStr">
        <is>
          <t>國中</t>
        </is>
      </c>
      <c r="C157" s="4" t="inlineStr">
        <is>
          <t>8</t>
        </is>
      </c>
      <c r="D157" s="4" t="inlineStr">
        <is>
          <t>上</t>
        </is>
      </c>
      <c r="E157" s="4" t="inlineStr">
        <is>
          <t>理化</t>
        </is>
      </c>
      <c r="F157" s="4" t="inlineStr">
        <is>
          <t>第五章 溫度與熱</t>
        </is>
      </c>
      <c r="G157" s="4" t="inlineStr">
        <is>
          <t>5-1 溫度與溫度計；5-2 熱量；5-3 比熱；5-4 熱對物質的影響；5-5 熱的傳播方式</t>
        </is>
      </c>
      <c r="H157" s="4" t="inlineStr">
        <is>
          <t>115</t>
        </is>
      </c>
      <c r="I157" s="4" t="inlineStr">
        <is>
          <t>出版商官網</t>
        </is>
      </c>
      <c r="J157" s="5" t="inlineStr">
        <is>
          <t>https://dl.hle.com.tw/1151/國中/01課程計畫/115翰林課程計畫_自然教學進度總表.zip</t>
        </is>
      </c>
      <c r="K157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8">
      <c r="A158" s="4" t="inlineStr">
        <is>
          <t>翰林</t>
        </is>
      </c>
      <c r="B158" s="4" t="inlineStr">
        <is>
          <t>國中</t>
        </is>
      </c>
      <c r="C158" s="4" t="inlineStr">
        <is>
          <t>8</t>
        </is>
      </c>
      <c r="D158" s="4" t="inlineStr">
        <is>
          <t>上</t>
        </is>
      </c>
      <c r="E158" s="4" t="inlineStr">
        <is>
          <t>理化</t>
        </is>
      </c>
      <c r="F158" s="4" t="inlineStr">
        <is>
          <t>第六章 物質的基本結構</t>
        </is>
      </c>
      <c r="G158" s="4" t="inlineStr">
        <is>
          <t>6-1 元素與化合物；6-2 生活中常見的元素；6-3 物質結構與原子；6-4 週期表；6-5 分子與化學式</t>
        </is>
      </c>
      <c r="H158" s="4" t="inlineStr">
        <is>
          <t>115</t>
        </is>
      </c>
      <c r="I158" s="4" t="inlineStr">
        <is>
          <t>出版商官網</t>
        </is>
      </c>
      <c r="J158" s="5" t="inlineStr">
        <is>
          <t>https://dl.hle.com.tw/1151/國中/01課程計畫/115翰林課程計畫_自然教學進度總表.zip</t>
        </is>
      </c>
      <c r="K158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9">
      <c r="A159" s="4" t="inlineStr">
        <is>
          <t>翰林</t>
        </is>
      </c>
      <c r="B159" s="4" t="inlineStr">
        <is>
          <t>國中</t>
        </is>
      </c>
      <c r="C159" s="4" t="inlineStr">
        <is>
          <t>8</t>
        </is>
      </c>
      <c r="D159" s="4" t="inlineStr">
        <is>
          <t>上</t>
        </is>
      </c>
      <c r="E159" s="4" t="inlineStr">
        <is>
          <t>理化</t>
        </is>
      </c>
      <c r="F159" s="4" t="inlineStr">
        <is>
          <t>跨科主題</t>
        </is>
      </c>
      <c r="G159" s="4" t="inlineStr">
        <is>
          <t>生命的原動力；地球的能源；太陽的畫布；紅外線的發現；光的直進性與日地月運動；光傳播速率的測量</t>
        </is>
      </c>
      <c r="H159" s="4" t="inlineStr">
        <is>
          <t>115</t>
        </is>
      </c>
      <c r="I159" s="4" t="inlineStr">
        <is>
          <t>出版商官網</t>
        </is>
      </c>
      <c r="J159" s="5" t="inlineStr">
        <is>
          <t>https://dl.hle.com.tw/1151/國中/01課程計畫/115翰林課程計畫_自然教學進度總表.zip</t>
        </is>
      </c>
      <c r="K159" s="4" t="inlineStr">
        <is>
          <t>來源為翰林官網行動大師「115課程計畫-教學進度總表」壓縮檔內《115二上自然(三次段考)課程總表.doc》;節名取自進度表,實驗/探討活動未列入;進度表列為跨科主題</t>
        </is>
      </c>
    </row>
    <row r="160">
      <c r="A160" s="4" t="inlineStr">
        <is>
          <t>翰林</t>
        </is>
      </c>
      <c r="B160" s="4" t="inlineStr">
        <is>
          <t>國中</t>
        </is>
      </c>
      <c r="C160" s="4" t="inlineStr">
        <is>
          <t>8</t>
        </is>
      </c>
      <c r="D160" s="4" t="inlineStr">
        <is>
          <t>下</t>
        </is>
      </c>
      <c r="E160" s="4" t="inlineStr">
        <is>
          <t>理化</t>
        </is>
      </c>
      <c r="F160" s="4" t="inlineStr">
        <is>
          <t>第一章 化學反應</t>
        </is>
      </c>
      <c r="G160" s="4" t="inlineStr">
        <is>
          <t>1-1 質量守恆定律；1-2 反應式與化學計量</t>
        </is>
      </c>
      <c r="H160" s="4" t="inlineStr">
        <is>
          <t>115</t>
        </is>
      </c>
      <c r="I160" s="4" t="inlineStr">
        <is>
          <t>出版商官網</t>
        </is>
      </c>
      <c r="J160" s="5" t="inlineStr">
        <is>
          <t>https://dl.hle.com.tw/1151/國中/01課程計畫/115翰林課程計畫_自然教學進度總表.zip</t>
        </is>
      </c>
      <c r="K160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1">
      <c r="A161" s="4" t="inlineStr">
        <is>
          <t>翰林</t>
        </is>
      </c>
      <c r="B161" s="4" t="inlineStr">
        <is>
          <t>國中</t>
        </is>
      </c>
      <c r="C161" s="4" t="inlineStr">
        <is>
          <t>8</t>
        </is>
      </c>
      <c r="D161" s="4" t="inlineStr">
        <is>
          <t>下</t>
        </is>
      </c>
      <c r="E161" s="4" t="inlineStr">
        <is>
          <t>理化</t>
        </is>
      </c>
      <c r="F161" s="4" t="inlineStr">
        <is>
          <t>第二章 氧化還原反應</t>
        </is>
      </c>
      <c r="G161" s="4" t="inlineStr">
        <is>
          <t>2-1 氧化反應與活性；2-2 氧化與還原反應</t>
        </is>
      </c>
      <c r="H161" s="4" t="inlineStr">
        <is>
          <t>115</t>
        </is>
      </c>
      <c r="I161" s="4" t="inlineStr">
        <is>
          <t>出版商官網</t>
        </is>
      </c>
      <c r="J161" s="5" t="inlineStr">
        <is>
          <t>https://dl.hle.com.tw/1151/國中/01課程計畫/115翰林課程計畫_自然教學進度總表.zip</t>
        </is>
      </c>
      <c r="K161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2">
      <c r="A162" s="4" t="inlineStr">
        <is>
          <t>翰林</t>
        </is>
      </c>
      <c r="B162" s="4" t="inlineStr">
        <is>
          <t>國中</t>
        </is>
      </c>
      <c r="C162" s="4" t="inlineStr">
        <is>
          <t>8</t>
        </is>
      </c>
      <c r="D162" s="4" t="inlineStr">
        <is>
          <t>下</t>
        </is>
      </c>
      <c r="E162" s="4" t="inlineStr">
        <is>
          <t>理化</t>
        </is>
      </c>
      <c r="F162" s="4" t="inlineStr">
        <is>
          <t>第三章 電解質與酸鹼鹽</t>
        </is>
      </c>
      <c r="G162" s="4" t="inlineStr">
        <is>
          <t>3-1 電解質；3-2 酸和鹼；3-3 酸鹼的強弱與pH值；3-4 酸鹼反應</t>
        </is>
      </c>
      <c r="H162" s="4" t="inlineStr">
        <is>
          <t>115</t>
        </is>
      </c>
      <c r="I162" s="4" t="inlineStr">
        <is>
          <t>出版商官網</t>
        </is>
      </c>
      <c r="J162" s="5" t="inlineStr">
        <is>
          <t>https://dl.hle.com.tw/1151/國中/01課程計畫/115翰林課程計畫_自然教學進度總表.zip</t>
        </is>
      </c>
      <c r="K162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3">
      <c r="A163" s="4" t="inlineStr">
        <is>
          <t>翰林</t>
        </is>
      </c>
      <c r="B163" s="4" t="inlineStr">
        <is>
          <t>國中</t>
        </is>
      </c>
      <c r="C163" s="4" t="inlineStr">
        <is>
          <t>8</t>
        </is>
      </c>
      <c r="D163" s="4" t="inlineStr">
        <is>
          <t>下</t>
        </is>
      </c>
      <c r="E163" s="4" t="inlineStr">
        <is>
          <t>理化</t>
        </is>
      </c>
      <c r="F163" s="4" t="inlineStr">
        <is>
          <t>第四章 反應速率與平衡</t>
        </is>
      </c>
      <c r="G163" s="4" t="inlineStr">
        <is>
          <t>4-1 反應速率；4-2 可逆反應與平衡</t>
        </is>
      </c>
      <c r="H163" s="4" t="inlineStr">
        <is>
          <t>115</t>
        </is>
      </c>
      <c r="I163" s="4" t="inlineStr">
        <is>
          <t>出版商官網</t>
        </is>
      </c>
      <c r="J163" s="5" t="inlineStr">
        <is>
          <t>https://dl.hle.com.tw/1151/國中/01課程計畫/115翰林課程計畫_自然教學進度總表.zip</t>
        </is>
      </c>
      <c r="K163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4">
      <c r="A164" s="4" t="inlineStr">
        <is>
          <t>翰林</t>
        </is>
      </c>
      <c r="B164" s="4" t="inlineStr">
        <is>
          <t>國中</t>
        </is>
      </c>
      <c r="C164" s="4" t="inlineStr">
        <is>
          <t>8</t>
        </is>
      </c>
      <c r="D164" s="4" t="inlineStr">
        <is>
          <t>下</t>
        </is>
      </c>
      <c r="E164" s="4" t="inlineStr">
        <is>
          <t>理化</t>
        </is>
      </c>
      <c r="F164" s="4" t="inlineStr">
        <is>
          <t>第五章 有機化合物</t>
        </is>
      </c>
      <c r="G164" s="4" t="inlineStr">
        <is>
          <t>5-1 有機化合物的組成；5-2 常見的有機化合物；5-3 聚合物與衣料纖維；5-4 食品與清潔劑</t>
        </is>
      </c>
      <c r="H164" s="4" t="inlineStr">
        <is>
          <t>115</t>
        </is>
      </c>
      <c r="I164" s="4" t="inlineStr">
        <is>
          <t>出版商官網</t>
        </is>
      </c>
      <c r="J164" s="5" t="inlineStr">
        <is>
          <t>https://dl.hle.com.tw/1151/國中/01課程計畫/115翰林課程計畫_自然教學進度總表.zip</t>
        </is>
      </c>
      <c r="K164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5">
      <c r="A165" s="4" t="inlineStr">
        <is>
          <t>翰林</t>
        </is>
      </c>
      <c r="B165" s="4" t="inlineStr">
        <is>
          <t>國中</t>
        </is>
      </c>
      <c r="C165" s="4" t="inlineStr">
        <is>
          <t>8</t>
        </is>
      </c>
      <c r="D165" s="4" t="inlineStr">
        <is>
          <t>下</t>
        </is>
      </c>
      <c r="E165" s="4" t="inlineStr">
        <is>
          <t>理化</t>
        </is>
      </c>
      <c r="F165" s="4" t="inlineStr">
        <is>
          <t>第六章 力與壓力</t>
        </is>
      </c>
      <c r="G165" s="4" t="inlineStr">
        <is>
          <t>6-1 力與平衡；6-2 摩擦力；6-3 壓力；6-4 浮力</t>
        </is>
      </c>
      <c r="H165" s="4" t="inlineStr">
        <is>
          <t>115</t>
        </is>
      </c>
      <c r="I165" s="4" t="inlineStr">
        <is>
          <t>出版商官網</t>
        </is>
      </c>
      <c r="J165" s="5" t="inlineStr">
        <is>
          <t>https://dl.hle.com.tw/1151/國中/01課程計畫/115翰林課程計畫_自然教學進度總表.zip</t>
        </is>
      </c>
      <c r="K165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6">
      <c r="A166" s="4" t="inlineStr">
        <is>
          <t>翰林</t>
        </is>
      </c>
      <c r="B166" s="4" t="inlineStr">
        <is>
          <t>國中</t>
        </is>
      </c>
      <c r="C166" s="4" t="inlineStr">
        <is>
          <t>8</t>
        </is>
      </c>
      <c r="D166" s="4" t="inlineStr">
        <is>
          <t>下</t>
        </is>
      </c>
      <c r="E166" s="4" t="inlineStr">
        <is>
          <t>理化</t>
        </is>
      </c>
      <c r="F166" s="4" t="inlineStr">
        <is>
          <t>跨科主題</t>
        </is>
      </c>
      <c r="G166" s="4" t="inlineStr">
        <is>
          <t>取自自然、還予自然；適應自然</t>
        </is>
      </c>
      <c r="H166" s="4" t="inlineStr">
        <is>
          <t>115</t>
        </is>
      </c>
      <c r="I166" s="4" t="inlineStr">
        <is>
          <t>出版商官網</t>
        </is>
      </c>
      <c r="J166" s="5" t="inlineStr">
        <is>
          <t>https://dl.hle.com.tw/1151/國中/01課程計畫/115翰林課程計畫_自然教學進度總表.zip</t>
        </is>
      </c>
      <c r="K166" s="4" t="inlineStr">
        <is>
          <t>來源為翰林官網行動大師「115課程計畫-教學進度總表」壓縮檔內《115二下自然(三次段考)課程總表.doc》;節名取自進度表,實驗/探討活動未列入;進度表列為跨科主題</t>
        </is>
      </c>
    </row>
    <row r="167">
      <c r="A167" s="4" t="inlineStr">
        <is>
          <t>翰林</t>
        </is>
      </c>
      <c r="B167" s="4" t="inlineStr">
        <is>
          <t>國中</t>
        </is>
      </c>
      <c r="C167" s="4" t="inlineStr">
        <is>
          <t>9</t>
        </is>
      </c>
      <c r="D167" s="4" t="inlineStr">
        <is>
          <t>上</t>
        </is>
      </c>
      <c r="E167" s="4" t="inlineStr">
        <is>
          <t>理化</t>
        </is>
      </c>
      <c r="F167" s="4" t="inlineStr">
        <is>
          <t>第1章 直線運動</t>
        </is>
      </c>
      <c r="G167" s="4" t="inlineStr">
        <is>
          <t>1-1 位置、路徑長與位移；1-2 速率與速度；1-3 加速度運動；1-4 自由落體運動</t>
        </is>
      </c>
      <c r="H167" s="4" t="inlineStr">
        <is>
          <t>115</t>
        </is>
      </c>
      <c r="I167" s="4" t="inlineStr">
        <is>
          <t>出版商官網</t>
        </is>
      </c>
      <c r="J167" s="5" t="inlineStr">
        <is>
          <t>https://dl.hle.com.tw/1151/國中/01課程計畫/115翰林課程計畫_自然教學進度總表.zip</t>
        </is>
      </c>
      <c r="K167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8">
      <c r="A168" s="4" t="inlineStr">
        <is>
          <t>翰林</t>
        </is>
      </c>
      <c r="B168" s="4" t="inlineStr">
        <is>
          <t>國中</t>
        </is>
      </c>
      <c r="C168" s="4" t="inlineStr">
        <is>
          <t>9</t>
        </is>
      </c>
      <c r="D168" s="4" t="inlineStr">
        <is>
          <t>上</t>
        </is>
      </c>
      <c r="E168" s="4" t="inlineStr">
        <is>
          <t>理化</t>
        </is>
      </c>
      <c r="F168" s="4" t="inlineStr">
        <is>
          <t>第2章 力與運動</t>
        </is>
      </c>
      <c r="G168" s="4" t="inlineStr">
        <is>
          <t>2-1 慣性定律；2-2 運動定律；2-3 作用力與反作用力定律；2-4 圓周運動與萬有引力；2-5 力矩與槓桿原理</t>
        </is>
      </c>
      <c r="H168" s="4" t="inlineStr">
        <is>
          <t>115</t>
        </is>
      </c>
      <c r="I168" s="4" t="inlineStr">
        <is>
          <t>出版商官網</t>
        </is>
      </c>
      <c r="J168" s="5" t="inlineStr">
        <is>
          <t>https://dl.hle.com.tw/1151/國中/01課程計畫/115翰林課程計畫_自然教學進度總表.zip</t>
        </is>
      </c>
      <c r="K168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9">
      <c r="A169" s="4" t="inlineStr">
        <is>
          <t>翰林</t>
        </is>
      </c>
      <c r="B169" s="4" t="inlineStr">
        <is>
          <t>國中</t>
        </is>
      </c>
      <c r="C169" s="4" t="inlineStr">
        <is>
          <t>9</t>
        </is>
      </c>
      <c r="D169" s="4" t="inlineStr">
        <is>
          <t>上</t>
        </is>
      </c>
      <c r="E169" s="4" t="inlineStr">
        <is>
          <t>理化</t>
        </is>
      </c>
      <c r="F169" s="4" t="inlineStr">
        <is>
          <t>第3章 功與能</t>
        </is>
      </c>
      <c r="G169" s="4" t="inlineStr">
        <is>
          <t>3-1 功與功率；3-2 動能與位能；3-3 能量守恆定律與能源；3-4 簡單機械</t>
        </is>
      </c>
      <c r="H169" s="4" t="inlineStr">
        <is>
          <t>115</t>
        </is>
      </c>
      <c r="I169" s="4" t="inlineStr">
        <is>
          <t>出版商官網</t>
        </is>
      </c>
      <c r="J169" s="5" t="inlineStr">
        <is>
          <t>https://dl.hle.com.tw/1151/國中/01課程計畫/115翰林課程計畫_自然教學進度總表.zip</t>
        </is>
      </c>
      <c r="K169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0">
      <c r="A170" s="4" t="inlineStr">
        <is>
          <t>翰林</t>
        </is>
      </c>
      <c r="B170" s="4" t="inlineStr">
        <is>
          <t>國中</t>
        </is>
      </c>
      <c r="C170" s="4" t="inlineStr">
        <is>
          <t>9</t>
        </is>
      </c>
      <c r="D170" s="4" t="inlineStr">
        <is>
          <t>上</t>
        </is>
      </c>
      <c r="E170" s="4" t="inlineStr">
        <is>
          <t>理化</t>
        </is>
      </c>
      <c r="F170" s="4" t="inlineStr">
        <is>
          <t>第4章 電流、電壓與歐姆定律</t>
        </is>
      </c>
      <c r="G170" s="4" t="inlineStr">
        <is>
          <t>4-1 電荷與靜電現象；4-2 電流；4-3 電壓；4-4 歐姆定律與電阻</t>
        </is>
      </c>
      <c r="H170" s="4" t="inlineStr">
        <is>
          <t>115</t>
        </is>
      </c>
      <c r="I170" s="4" t="inlineStr">
        <is>
          <t>出版商官網</t>
        </is>
      </c>
      <c r="J170" s="5" t="inlineStr">
        <is>
          <t>https://dl.hle.com.tw/1151/國中/01課程計畫/115翰林課程計畫_自然教學進度總表.zip</t>
        </is>
      </c>
      <c r="K170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1">
      <c r="A171" s="4" t="inlineStr">
        <is>
          <t>翰林</t>
        </is>
      </c>
      <c r="B171" s="4" t="inlineStr">
        <is>
          <t>國中</t>
        </is>
      </c>
      <c r="C171" s="4" t="inlineStr">
        <is>
          <t>9</t>
        </is>
      </c>
      <c r="D171" s="4" t="inlineStr">
        <is>
          <t>上</t>
        </is>
      </c>
      <c r="E171" s="4" t="inlineStr">
        <is>
          <t>理化</t>
        </is>
      </c>
      <c r="F171" s="4" t="inlineStr">
        <is>
          <t>跨科主題-能量與能源</t>
        </is>
      </c>
      <c r="G171" s="4" t="inlineStr">
        <is>
          <t>從太陽開始；「已知用火」的人類古代太陽能的化身；能源的超新星</t>
        </is>
      </c>
      <c r="H171" s="4" t="inlineStr">
        <is>
          <t>115</t>
        </is>
      </c>
      <c r="I171" s="4" t="inlineStr">
        <is>
          <t>出版商官網</t>
        </is>
      </c>
      <c r="J171" s="5" t="inlineStr">
        <is>
          <t>https://dl.hle.com.tw/1151/國中/01課程計畫/115翰林課程計畫_自然教學進度總表.zip</t>
        </is>
      </c>
      <c r="K171" s="4" t="inlineStr">
        <is>
          <t>來源為翰林官網行動大師「115課程計畫-教學進度總表」壓縮檔內《115三上自然(分科)(三次段考)課程總表.doc》;節名取自進度表,實驗/探討活動未列入;進度表列為跨科主題</t>
        </is>
      </c>
    </row>
    <row r="172">
      <c r="A172" s="4" t="inlineStr">
        <is>
          <t>翰林</t>
        </is>
      </c>
      <c r="B172" s="4" t="inlineStr">
        <is>
          <t>國中</t>
        </is>
      </c>
      <c r="C172" s="4" t="inlineStr">
        <is>
          <t>9</t>
        </is>
      </c>
      <c r="D172" s="4" t="inlineStr">
        <is>
          <t>下</t>
        </is>
      </c>
      <c r="E172" s="4" t="inlineStr">
        <is>
          <t>理化</t>
        </is>
      </c>
      <c r="F172" s="4" t="inlineStr">
        <is>
          <t>第1章 電與生活</t>
        </is>
      </c>
      <c r="G172" s="4" t="inlineStr">
        <is>
          <t>1-1 電流的熱效應；1-2 生活用電；1-3 電池；1-4 電流的化學效應</t>
        </is>
      </c>
      <c r="H172" s="4" t="inlineStr">
        <is>
          <t>115</t>
        </is>
      </c>
      <c r="I172" s="4" t="inlineStr">
        <is>
          <t>出版商官網</t>
        </is>
      </c>
      <c r="J172" s="5" t="inlineStr">
        <is>
          <t>https://dl.hle.com.tw/1151/國中/01課程計畫/115翰林課程計畫_自然教學進度總表.zip</t>
        </is>
      </c>
      <c r="K172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3">
      <c r="A173" s="4" t="inlineStr">
        <is>
          <t>翰林</t>
        </is>
      </c>
      <c r="B173" s="4" t="inlineStr">
        <is>
          <t>國中</t>
        </is>
      </c>
      <c r="C173" s="4" t="inlineStr">
        <is>
          <t>9</t>
        </is>
      </c>
      <c r="D173" s="4" t="inlineStr">
        <is>
          <t>下</t>
        </is>
      </c>
      <c r="E173" s="4" t="inlineStr">
        <is>
          <t>理化</t>
        </is>
      </c>
      <c r="F173" s="4" t="inlineStr">
        <is>
          <t>第2章 電與磁</t>
        </is>
      </c>
      <c r="G173" s="4" t="inlineStr">
        <is>
          <t>2-1 磁鐵與磁場；2-2 電流的磁效應；2-3 電流與磁場的交互作用；2-4 電磁感應</t>
        </is>
      </c>
      <c r="H173" s="4" t="inlineStr">
        <is>
          <t>115</t>
        </is>
      </c>
      <c r="I173" s="4" t="inlineStr">
        <is>
          <t>出版商官網</t>
        </is>
      </c>
      <c r="J173" s="5" t="inlineStr">
        <is>
          <t>https://dl.hle.com.tw/1151/國中/01課程計畫/115翰林課程計畫_自然教學進度總表.zip</t>
        </is>
      </c>
      <c r="K173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4">
      <c r="A174" s="4" t="inlineStr">
        <is>
          <t>翰林</t>
        </is>
      </c>
      <c r="B174" s="4" t="inlineStr">
        <is>
          <t>國中</t>
        </is>
      </c>
      <c r="C174" s="4" t="inlineStr">
        <is>
          <t>9</t>
        </is>
      </c>
      <c r="D174" s="4" t="inlineStr">
        <is>
          <t>上</t>
        </is>
      </c>
      <c r="E174" s="4" t="inlineStr">
        <is>
          <t>地球科學</t>
        </is>
      </c>
      <c r="F174" s="4" t="inlineStr">
        <is>
          <t>第5章 地球的環境</t>
        </is>
      </c>
      <c r="G174" s="4" t="inlineStr">
        <is>
          <t>5-1 我們的地球；5-2 地表的改變與平衡；5-3 岩石與礦物</t>
        </is>
      </c>
      <c r="H174" s="4" t="inlineStr">
        <is>
          <t>115</t>
        </is>
      </c>
      <c r="I174" s="4" t="inlineStr">
        <is>
          <t>出版商官網</t>
        </is>
      </c>
      <c r="J174" s="5" t="inlineStr">
        <is>
          <t>https://dl.hle.com.tw/1151/國中/01課程計畫/115翰林課程計畫_自然教學進度總表.zip</t>
        </is>
      </c>
      <c r="K174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5">
      <c r="A175" s="4" t="inlineStr">
        <is>
          <t>翰林</t>
        </is>
      </c>
      <c r="B175" s="4" t="inlineStr">
        <is>
          <t>國中</t>
        </is>
      </c>
      <c r="C175" s="4" t="inlineStr">
        <is>
          <t>9</t>
        </is>
      </c>
      <c r="D175" s="4" t="inlineStr">
        <is>
          <t>上</t>
        </is>
      </c>
      <c r="E175" s="4" t="inlineStr">
        <is>
          <t>地球科學</t>
        </is>
      </c>
      <c r="F175" s="4" t="inlineStr">
        <is>
          <t>第6章 板塊運動與岩層的祕密</t>
        </is>
      </c>
      <c r="G175" s="4" t="inlineStr">
        <is>
          <t>6-1 地球的構造與板塊運動；6-2 板塊運動與內營力的影響；6-3 岩層裡的秘密</t>
        </is>
      </c>
      <c r="H175" s="4" t="inlineStr">
        <is>
          <t>115</t>
        </is>
      </c>
      <c r="I175" s="4" t="inlineStr">
        <is>
          <t>出版商官網</t>
        </is>
      </c>
      <c r="J175" s="5" t="inlineStr">
        <is>
          <t>https://dl.hle.com.tw/1151/國中/01課程計畫/115翰林課程計畫_自然教學進度總表.zip</t>
        </is>
      </c>
      <c r="K175" s="4" t="inlineStr">
        <is>
          <t>來源為翰林官網行動大師「115課程計畫-教學進度總表」壓縮檔內《115三上自然(分科)(三次段考)課程總表.doc》;節名取自進度表,實驗/探討活動未列入;6-3節名分科進度表作「岩層裡的秘密」,合科進度表作「岩層的秘密」</t>
        </is>
      </c>
    </row>
    <row r="176">
      <c r="A176" s="4" t="inlineStr">
        <is>
          <t>翰林</t>
        </is>
      </c>
      <c r="B176" s="4" t="inlineStr">
        <is>
          <t>國中</t>
        </is>
      </c>
      <c r="C176" s="4" t="inlineStr">
        <is>
          <t>9</t>
        </is>
      </c>
      <c r="D176" s="4" t="inlineStr">
        <is>
          <t>上</t>
        </is>
      </c>
      <c r="E176" s="4" t="inlineStr">
        <is>
          <t>地球科學</t>
        </is>
      </c>
      <c r="F176" s="4" t="inlineStr">
        <is>
          <t>第7章 浩瀚的宇宙</t>
        </is>
      </c>
      <c r="G176" s="4" t="inlineStr">
        <is>
          <t>7-1 宇宙與太陽系；7-2 晝夜與四季；7-3 日地月的相對運動</t>
        </is>
      </c>
      <c r="H176" s="4" t="inlineStr">
        <is>
          <t>115</t>
        </is>
      </c>
      <c r="I176" s="4" t="inlineStr">
        <is>
          <t>出版商官網</t>
        </is>
      </c>
      <c r="J176" s="5" t="inlineStr">
        <is>
          <t>https://dl.hle.com.tw/1151/國中/01課程計畫/115翰林課程計畫_自然教學進度總表.zip</t>
        </is>
      </c>
      <c r="K176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7">
      <c r="A177" s="4" t="inlineStr">
        <is>
          <t>翰林</t>
        </is>
      </c>
      <c r="B177" s="4" t="inlineStr">
        <is>
          <t>國中</t>
        </is>
      </c>
      <c r="C177" s="4" t="inlineStr">
        <is>
          <t>9</t>
        </is>
      </c>
      <c r="D177" s="4" t="inlineStr">
        <is>
          <t>下</t>
        </is>
      </c>
      <c r="E177" s="4" t="inlineStr">
        <is>
          <t>地球科學</t>
        </is>
      </c>
      <c r="F177" s="4" t="inlineStr">
        <is>
          <t>第3章 變化莫測的天氣</t>
        </is>
      </c>
      <c r="G177" s="4" t="inlineStr">
        <is>
          <t>3-1 地球的大氣；3-2 天氣現象；3-3 氣團與鋒面；3-4 臺灣的災變天氣</t>
        </is>
      </c>
      <c r="H177" s="4" t="inlineStr">
        <is>
          <t>115</t>
        </is>
      </c>
      <c r="I177" s="4" t="inlineStr">
        <is>
          <t>出版商官網</t>
        </is>
      </c>
      <c r="J177" s="5" t="inlineStr">
        <is>
          <t>https://dl.hle.com.tw/1151/國中/01課程計畫/115翰林課程計畫_自然教學進度總表.zip</t>
        </is>
      </c>
      <c r="K177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8">
      <c r="A178" s="4" t="inlineStr">
        <is>
          <t>翰林</t>
        </is>
      </c>
      <c r="B178" s="4" t="inlineStr">
        <is>
          <t>國中</t>
        </is>
      </c>
      <c r="C178" s="4" t="inlineStr">
        <is>
          <t>9</t>
        </is>
      </c>
      <c r="D178" s="4" t="inlineStr">
        <is>
          <t>下</t>
        </is>
      </c>
      <c r="E178" s="4" t="inlineStr">
        <is>
          <t>地球科學</t>
        </is>
      </c>
      <c r="F178" s="4" t="inlineStr">
        <is>
          <t>第4章 永續的地球</t>
        </is>
      </c>
      <c r="G178" s="4" t="inlineStr">
        <is>
          <t>4-1 海洋與大氣的互動；4-2 全球變遷；4-3 人與自然的互動</t>
        </is>
      </c>
      <c r="H178" s="4" t="inlineStr">
        <is>
          <t>115</t>
        </is>
      </c>
      <c r="I178" s="4" t="inlineStr">
        <is>
          <t>出版商官網</t>
        </is>
      </c>
      <c r="J178" s="5" t="inlineStr">
        <is>
          <t>https://dl.hle.com.tw/1151/國中/01課程計畫/115翰林課程計畫_自然教學進度總表.zip</t>
        </is>
      </c>
      <c r="K178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9">
      <c r="A179" s="4" t="inlineStr">
        <is>
          <t>翰林</t>
        </is>
      </c>
      <c r="B179" s="4" t="inlineStr">
        <is>
          <t>國中</t>
        </is>
      </c>
      <c r="C179" s="4" t="inlineStr">
        <is>
          <t>9</t>
        </is>
      </c>
      <c r="D179" s="4" t="inlineStr">
        <is>
          <t>下</t>
        </is>
      </c>
      <c r="E179" s="4" t="inlineStr">
        <is>
          <t>地球科學</t>
        </is>
      </c>
      <c r="F179" s="4" t="inlineStr">
        <is>
          <t>跨科主題 氣候變遷與調適</t>
        </is>
      </c>
      <c r="G179" s="4" t="n"/>
      <c r="H179" s="4" t="inlineStr">
        <is>
          <t>115</t>
        </is>
      </c>
      <c r="I179" s="4" t="inlineStr">
        <is>
          <t>出版商官網</t>
        </is>
      </c>
      <c r="J179" s="5" t="inlineStr">
        <is>
          <t>https://dl.hle.com.tw/1151/國中/01課程計畫/115翰林課程計畫_自然教學進度總表.zip</t>
        </is>
      </c>
      <c r="K179" s="4" t="inlineStr">
        <is>
          <t>來源為翰林官網行動大師「115課程計畫-教學進度總表」壓縮檔內《115三下自然(分科)(二次段考)課程總表.doc》;節名取自進度表,實驗/探討活動未列入;進度表列為跨科主題</t>
        </is>
      </c>
    </row>
    <row r="180">
      <c r="A180" s="4" t="inlineStr">
        <is>
          <t>翰林</t>
        </is>
      </c>
      <c r="B180" s="4" t="inlineStr">
        <is>
          <t>國中</t>
        </is>
      </c>
      <c r="C180" s="4" t="inlineStr">
        <is>
          <t>7</t>
        </is>
      </c>
      <c r="D180" s="4" t="inlineStr">
        <is>
          <t>上</t>
        </is>
      </c>
      <c r="E180" s="4" t="inlineStr">
        <is>
          <t>社會-公民</t>
        </is>
      </c>
      <c r="F180" s="4" t="inlineStr">
        <is>
          <t>第三篇 公民身分及社群 第一章 公民與公民德性</t>
        </is>
      </c>
      <c r="G180" s="4" t="n"/>
      <c r="H180" s="4" t="inlineStr">
        <is>
          <t>115</t>
        </is>
      </c>
      <c r="I180" s="4" t="inlineStr">
        <is>
          <t>出版商官網</t>
        </is>
      </c>
      <c r="J180" s="5" t="inlineStr">
        <is>
          <t>https://dl.hle.com.tw/1151/國中/01課程計畫/115翰林課程計畫_社會教學進度總表.zip</t>
        </is>
      </c>
      <c r="K18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1">
      <c r="A181" s="4" t="inlineStr">
        <is>
          <t>翰林</t>
        </is>
      </c>
      <c r="B181" s="4" t="inlineStr">
        <is>
          <t>國中</t>
        </is>
      </c>
      <c r="C181" s="4" t="inlineStr">
        <is>
          <t>7</t>
        </is>
      </c>
      <c r="D181" s="4" t="inlineStr">
        <is>
          <t>上</t>
        </is>
      </c>
      <c r="E181" s="4" t="inlineStr">
        <is>
          <t>社會-公民</t>
        </is>
      </c>
      <c r="F181" s="4" t="inlineStr">
        <is>
          <t>第三篇 公民身分及社群 第二章 人性尊嚴與人權保障</t>
        </is>
      </c>
      <c r="G181" s="4" t="n"/>
      <c r="H181" s="4" t="inlineStr">
        <is>
          <t>115</t>
        </is>
      </c>
      <c r="I181" s="4" t="inlineStr">
        <is>
          <t>出版商官網</t>
        </is>
      </c>
      <c r="J181" s="5" t="inlineStr">
        <is>
          <t>https://dl.hle.com.tw/1151/國中/01課程計畫/115翰林課程計畫_社會教學進度總表.zip</t>
        </is>
      </c>
      <c r="K181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2">
      <c r="A182" s="4" t="inlineStr">
        <is>
          <t>翰林</t>
        </is>
      </c>
      <c r="B182" s="4" t="inlineStr">
        <is>
          <t>國中</t>
        </is>
      </c>
      <c r="C182" s="4" t="inlineStr">
        <is>
          <t>7</t>
        </is>
      </c>
      <c r="D182" s="4" t="inlineStr">
        <is>
          <t>上</t>
        </is>
      </c>
      <c r="E182" s="4" t="inlineStr">
        <is>
          <t>社會-公民</t>
        </is>
      </c>
      <c r="F182" s="4" t="inlineStr">
        <is>
          <t>第三篇 公民身分及社群 第三章 家庭生活</t>
        </is>
      </c>
      <c r="G182" s="4" t="n"/>
      <c r="H182" s="4" t="inlineStr">
        <is>
          <t>115</t>
        </is>
      </c>
      <c r="I182" s="4" t="inlineStr">
        <is>
          <t>出版商官網</t>
        </is>
      </c>
      <c r="J182" s="5" t="inlineStr">
        <is>
          <t>https://dl.hle.com.tw/1151/國中/01課程計畫/115翰林課程計畫_社會教學進度總表.zip</t>
        </is>
      </c>
      <c r="K18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3">
      <c r="A183" s="4" t="inlineStr">
        <is>
          <t>翰林</t>
        </is>
      </c>
      <c r="B183" s="4" t="inlineStr">
        <is>
          <t>國中</t>
        </is>
      </c>
      <c r="C183" s="4" t="inlineStr">
        <is>
          <t>7</t>
        </is>
      </c>
      <c r="D183" s="4" t="inlineStr">
        <is>
          <t>上</t>
        </is>
      </c>
      <c r="E183" s="4" t="inlineStr">
        <is>
          <t>社會-公民</t>
        </is>
      </c>
      <c r="F183" s="4" t="inlineStr">
        <is>
          <t>第三篇 公民身分及社群 第四章 變遷中的家庭</t>
        </is>
      </c>
      <c r="G183" s="4" t="n"/>
      <c r="H183" s="4" t="inlineStr">
        <is>
          <t>115</t>
        </is>
      </c>
      <c r="I183" s="4" t="inlineStr">
        <is>
          <t>出版商官網</t>
        </is>
      </c>
      <c r="J183" s="5" t="inlineStr">
        <is>
          <t>https://dl.hle.com.tw/1151/國中/01課程計畫/115翰林課程計畫_社會教學進度總表.zip</t>
        </is>
      </c>
      <c r="K18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4">
      <c r="A184" s="4" t="inlineStr">
        <is>
          <t>翰林</t>
        </is>
      </c>
      <c r="B184" s="4" t="inlineStr">
        <is>
          <t>國中</t>
        </is>
      </c>
      <c r="C184" s="4" t="inlineStr">
        <is>
          <t>7</t>
        </is>
      </c>
      <c r="D184" s="4" t="inlineStr">
        <is>
          <t>上</t>
        </is>
      </c>
      <c r="E184" s="4" t="inlineStr">
        <is>
          <t>社會-公民</t>
        </is>
      </c>
      <c r="F184" s="4" t="inlineStr">
        <is>
          <t>第三篇 公民身分及社群 第五章 學生權利與校園生活</t>
        </is>
      </c>
      <c r="G184" s="4" t="n"/>
      <c r="H184" s="4" t="inlineStr">
        <is>
          <t>115</t>
        </is>
      </c>
      <c r="I184" s="4" t="inlineStr">
        <is>
          <t>出版商官網</t>
        </is>
      </c>
      <c r="J184" s="5" t="inlineStr">
        <is>
          <t>https://dl.hle.com.tw/1151/國中/01課程計畫/115翰林課程計畫_社會教學進度總表.zip</t>
        </is>
      </c>
      <c r="K18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5">
      <c r="A185" s="4" t="inlineStr">
        <is>
          <t>翰林</t>
        </is>
      </c>
      <c r="B185" s="4" t="inlineStr">
        <is>
          <t>國中</t>
        </is>
      </c>
      <c r="C185" s="4" t="inlineStr">
        <is>
          <t>7</t>
        </is>
      </c>
      <c r="D185" s="4" t="inlineStr">
        <is>
          <t>上</t>
        </is>
      </c>
      <c r="E185" s="4" t="inlineStr">
        <is>
          <t>社會-公民</t>
        </is>
      </c>
      <c r="F185" s="4" t="inlineStr">
        <is>
          <t>第三篇 公民身分及社群 第六章 部落與公民參與</t>
        </is>
      </c>
      <c r="G185" s="4" t="n"/>
      <c r="H185" s="4" t="inlineStr">
        <is>
          <t>115</t>
        </is>
      </c>
      <c r="I185" s="4" t="inlineStr">
        <is>
          <t>出版商官網</t>
        </is>
      </c>
      <c r="J185" s="5" t="inlineStr">
        <is>
          <t>https://dl.hle.com.tw/1151/國中/01課程計畫/115翰林課程計畫_社會教學進度總表.zip</t>
        </is>
      </c>
      <c r="K18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6">
      <c r="A186" s="4" t="inlineStr">
        <is>
          <t>翰林</t>
        </is>
      </c>
      <c r="B186" s="4" t="inlineStr">
        <is>
          <t>國中</t>
        </is>
      </c>
      <c r="C186" s="4" t="inlineStr">
        <is>
          <t>7</t>
        </is>
      </c>
      <c r="D186" s="4" t="inlineStr">
        <is>
          <t>下</t>
        </is>
      </c>
      <c r="E186" s="4" t="inlineStr">
        <is>
          <t>社會-公民</t>
        </is>
      </c>
      <c r="F186" s="4" t="inlineStr">
        <is>
          <t>第三篇 公民與社會生活 第一章 多元文化</t>
        </is>
      </c>
      <c r="G186" s="4" t="n"/>
      <c r="H186" s="4" t="inlineStr">
        <is>
          <t>115</t>
        </is>
      </c>
      <c r="I186" s="4" t="inlineStr">
        <is>
          <t>出版商官網</t>
        </is>
      </c>
      <c r="J186" s="5" t="inlineStr">
        <is>
          <t>https://dl.hle.com.tw/1151/國中/01課程計畫/115翰林課程計畫_社會教學進度總表.zip</t>
        </is>
      </c>
      <c r="K18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7">
      <c r="A187" s="4" t="inlineStr">
        <is>
          <t>翰林</t>
        </is>
      </c>
      <c r="B187" s="4" t="inlineStr">
        <is>
          <t>國中</t>
        </is>
      </c>
      <c r="C187" s="4" t="inlineStr">
        <is>
          <t>7</t>
        </is>
      </c>
      <c r="D187" s="4" t="inlineStr">
        <is>
          <t>下</t>
        </is>
      </c>
      <c r="E187" s="4" t="inlineStr">
        <is>
          <t>社會-公民</t>
        </is>
      </c>
      <c r="F187" s="4" t="inlineStr">
        <is>
          <t>第三篇 公民與社會生活 第二章 社會規範</t>
        </is>
      </c>
      <c r="G187" s="4" t="n"/>
      <c r="H187" s="4" t="inlineStr">
        <is>
          <t>115</t>
        </is>
      </c>
      <c r="I187" s="4" t="inlineStr">
        <is>
          <t>出版商官網</t>
        </is>
      </c>
      <c r="J187" s="5" t="inlineStr">
        <is>
          <t>https://dl.hle.com.tw/1151/國中/01課程計畫/115翰林課程計畫_社會教學進度總表.zip</t>
        </is>
      </c>
      <c r="K187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8">
      <c r="A188" s="4" t="inlineStr">
        <is>
          <t>翰林</t>
        </is>
      </c>
      <c r="B188" s="4" t="inlineStr">
        <is>
          <t>國中</t>
        </is>
      </c>
      <c r="C188" s="4" t="inlineStr">
        <is>
          <t>7</t>
        </is>
      </c>
      <c r="D188" s="4" t="inlineStr">
        <is>
          <t>下</t>
        </is>
      </c>
      <c r="E188" s="4" t="inlineStr">
        <is>
          <t>社會-公民</t>
        </is>
      </c>
      <c r="F188" s="4" t="inlineStr">
        <is>
          <t>第三篇 公民與社會生活 第三章 團體與志願結社</t>
        </is>
      </c>
      <c r="G188" s="4" t="n"/>
      <c r="H188" s="4" t="inlineStr">
        <is>
          <t>115</t>
        </is>
      </c>
      <c r="I188" s="4" t="inlineStr">
        <is>
          <t>出版商官網</t>
        </is>
      </c>
      <c r="J188" s="5" t="inlineStr">
        <is>
          <t>https://dl.hle.com.tw/1151/國中/01課程計畫/115翰林課程計畫_社會教學進度總表.zip</t>
        </is>
      </c>
      <c r="K18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9">
      <c r="A189" s="4" t="inlineStr">
        <is>
          <t>翰林</t>
        </is>
      </c>
      <c r="B189" s="4" t="inlineStr">
        <is>
          <t>國中</t>
        </is>
      </c>
      <c r="C189" s="4" t="inlineStr">
        <is>
          <t>7</t>
        </is>
      </c>
      <c r="D189" s="4" t="inlineStr">
        <is>
          <t>下</t>
        </is>
      </c>
      <c r="E189" s="4" t="inlineStr">
        <is>
          <t>社會-公民</t>
        </is>
      </c>
      <c r="F189" s="4" t="inlineStr">
        <is>
          <t>第三篇 公民與社會生活 第四章 公共意見</t>
        </is>
      </c>
      <c r="G189" s="4" t="n"/>
      <c r="H189" s="4" t="inlineStr">
        <is>
          <t>115</t>
        </is>
      </c>
      <c r="I189" s="4" t="inlineStr">
        <is>
          <t>出版商官網</t>
        </is>
      </c>
      <c r="J189" s="5" t="inlineStr">
        <is>
          <t>https://dl.hle.com.tw/1151/國中/01課程計畫/115翰林課程計畫_社會教學進度總表.zip</t>
        </is>
      </c>
      <c r="K18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0">
      <c r="A190" s="4" t="inlineStr">
        <is>
          <t>翰林</t>
        </is>
      </c>
      <c r="B190" s="4" t="inlineStr">
        <is>
          <t>國中</t>
        </is>
      </c>
      <c r="C190" s="4" t="inlineStr">
        <is>
          <t>7</t>
        </is>
      </c>
      <c r="D190" s="4" t="inlineStr">
        <is>
          <t>下</t>
        </is>
      </c>
      <c r="E190" s="4" t="inlineStr">
        <is>
          <t>社會-公民</t>
        </is>
      </c>
      <c r="F190" s="4" t="inlineStr">
        <is>
          <t>第三篇 公民與社會生活 第五章 公平正義</t>
        </is>
      </c>
      <c r="G190" s="4" t="n"/>
      <c r="H190" s="4" t="inlineStr">
        <is>
          <t>115</t>
        </is>
      </c>
      <c r="I190" s="4" t="inlineStr">
        <is>
          <t>出版商官網</t>
        </is>
      </c>
      <c r="J190" s="5" t="inlineStr">
        <is>
          <t>https://dl.hle.com.tw/1151/國中/01課程計畫/115翰林課程計畫_社會教學進度總表.zip</t>
        </is>
      </c>
      <c r="K19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1">
      <c r="A191" s="4" t="inlineStr">
        <is>
          <t>翰林</t>
        </is>
      </c>
      <c r="B191" s="4" t="inlineStr">
        <is>
          <t>國中</t>
        </is>
      </c>
      <c r="C191" s="4" t="inlineStr">
        <is>
          <t>7</t>
        </is>
      </c>
      <c r="D191" s="4" t="inlineStr">
        <is>
          <t>下</t>
        </is>
      </c>
      <c r="E191" s="4" t="inlineStr">
        <is>
          <t>社會-公民</t>
        </is>
      </c>
      <c r="F191" s="4" t="inlineStr">
        <is>
          <t>第三篇 公民與社會生活 第六章 社會安全與國家責任</t>
        </is>
      </c>
      <c r="G191" s="4" t="n"/>
      <c r="H191" s="4" t="inlineStr">
        <is>
          <t>115</t>
        </is>
      </c>
      <c r="I191" s="4" t="inlineStr">
        <is>
          <t>出版商官網</t>
        </is>
      </c>
      <c r="J191" s="5" t="inlineStr">
        <is>
          <t>https://dl.hle.com.tw/1151/國中/01課程計畫/115翰林課程計畫_社會教學進度總表.zip</t>
        </is>
      </c>
      <c r="K19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2">
      <c r="A192" s="4" t="inlineStr">
        <is>
          <t>翰林</t>
        </is>
      </c>
      <c r="B192" s="4" t="inlineStr">
        <is>
          <t>國中</t>
        </is>
      </c>
      <c r="C192" s="4" t="inlineStr">
        <is>
          <t>8</t>
        </is>
      </c>
      <c r="D192" s="4" t="inlineStr">
        <is>
          <t>上</t>
        </is>
      </c>
      <c r="E192" s="4" t="inlineStr">
        <is>
          <t>社會-公民</t>
        </is>
      </c>
      <c r="F192" s="4" t="inlineStr">
        <is>
          <t>第四篇 民主政治的運作 第一章 國家與民主政治</t>
        </is>
      </c>
      <c r="G192" s="4" t="n"/>
      <c r="H192" s="4" t="inlineStr">
        <is>
          <t>115</t>
        </is>
      </c>
      <c r="I192" s="4" t="inlineStr">
        <is>
          <t>出版商官網</t>
        </is>
      </c>
      <c r="J192" s="5" t="inlineStr">
        <is>
          <t>https://dl.hle.com.tw/1151/國中/01課程計畫/115翰林課程計畫_社會教學進度總表.zip</t>
        </is>
      </c>
      <c r="K19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3">
      <c r="A193" s="4" t="inlineStr">
        <is>
          <t>翰林</t>
        </is>
      </c>
      <c r="B193" s="4" t="inlineStr">
        <is>
          <t>國中</t>
        </is>
      </c>
      <c r="C193" s="4" t="inlineStr">
        <is>
          <t>8</t>
        </is>
      </c>
      <c r="D193" s="4" t="inlineStr">
        <is>
          <t>上</t>
        </is>
      </c>
      <c r="E193" s="4" t="inlineStr">
        <is>
          <t>社會-公民</t>
        </is>
      </c>
      <c r="F193" s="4" t="inlineStr">
        <is>
          <t>第四篇 民主政治的運作 第二章 憲法與權利保障</t>
        </is>
      </c>
      <c r="G193" s="4" t="n"/>
      <c r="H193" s="4" t="inlineStr">
        <is>
          <t>115</t>
        </is>
      </c>
      <c r="I193" s="4" t="inlineStr">
        <is>
          <t>出版商官網</t>
        </is>
      </c>
      <c r="J193" s="5" t="inlineStr">
        <is>
          <t>https://dl.hle.com.tw/1151/國中/01課程計畫/115翰林課程計畫_社會教學進度總表.zip</t>
        </is>
      </c>
      <c r="K193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4">
      <c r="A194" s="4" t="inlineStr">
        <is>
          <t>翰林</t>
        </is>
      </c>
      <c r="B194" s="4" t="inlineStr">
        <is>
          <t>國中</t>
        </is>
      </c>
      <c r="C194" s="4" t="inlineStr">
        <is>
          <t>8</t>
        </is>
      </c>
      <c r="D194" s="4" t="inlineStr">
        <is>
          <t>上</t>
        </is>
      </c>
      <c r="E194" s="4" t="inlineStr">
        <is>
          <t>社會-公民</t>
        </is>
      </c>
      <c r="F194" s="4" t="inlineStr">
        <is>
          <t>第四篇 民主政治的運作 第三章 法治與權力分立</t>
        </is>
      </c>
      <c r="G194" s="4" t="n"/>
      <c r="H194" s="4" t="inlineStr">
        <is>
          <t>115</t>
        </is>
      </c>
      <c r="I194" s="4" t="inlineStr">
        <is>
          <t>出版商官網</t>
        </is>
      </c>
      <c r="J194" s="5" t="inlineStr">
        <is>
          <t>https://dl.hle.com.tw/1151/國中/01課程計畫/115翰林課程計畫_社會教學進度總表.zip</t>
        </is>
      </c>
      <c r="K19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5">
      <c r="A195" s="4" t="inlineStr">
        <is>
          <t>翰林</t>
        </is>
      </c>
      <c r="B195" s="4" t="inlineStr">
        <is>
          <t>國中</t>
        </is>
      </c>
      <c r="C195" s="4" t="inlineStr">
        <is>
          <t>8</t>
        </is>
      </c>
      <c r="D195" s="4" t="inlineStr">
        <is>
          <t>上</t>
        </is>
      </c>
      <c r="E195" s="4" t="inlineStr">
        <is>
          <t>社會-公民</t>
        </is>
      </c>
      <c r="F195" s="4" t="inlineStr">
        <is>
          <t>第四篇 民主政治的運作 第四章 中央政府</t>
        </is>
      </c>
      <c r="G195" s="4" t="n"/>
      <c r="H195" s="4" t="inlineStr">
        <is>
          <t>115</t>
        </is>
      </c>
      <c r="I195" s="4" t="inlineStr">
        <is>
          <t>出版商官網</t>
        </is>
      </c>
      <c r="J195" s="5" t="inlineStr">
        <is>
          <t>https://dl.hle.com.tw/1151/國中/01課程計畫/115翰林課程計畫_社會教學進度總表.zip</t>
        </is>
      </c>
      <c r="K19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6">
      <c r="A196" s="4" t="inlineStr">
        <is>
          <t>翰林</t>
        </is>
      </c>
      <c r="B196" s="4" t="inlineStr">
        <is>
          <t>國中</t>
        </is>
      </c>
      <c r="C196" s="4" t="inlineStr">
        <is>
          <t>8</t>
        </is>
      </c>
      <c r="D196" s="4" t="inlineStr">
        <is>
          <t>上</t>
        </is>
      </c>
      <c r="E196" s="4" t="inlineStr">
        <is>
          <t>社會-公民</t>
        </is>
      </c>
      <c r="F196" s="4" t="inlineStr">
        <is>
          <t>第四篇 民主政治的運作 第五章 地方政府</t>
        </is>
      </c>
      <c r="G196" s="4" t="n"/>
      <c r="H196" s="4" t="inlineStr">
        <is>
          <t>115</t>
        </is>
      </c>
      <c r="I196" s="4" t="inlineStr">
        <is>
          <t>出版商官網</t>
        </is>
      </c>
      <c r="J196" s="5" t="inlineStr">
        <is>
          <t>https://dl.hle.com.tw/1151/國中/01課程計畫/115翰林課程計畫_社會教學進度總表.zip</t>
        </is>
      </c>
      <c r="K19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7">
      <c r="A197" s="4" t="inlineStr">
        <is>
          <t>翰林</t>
        </is>
      </c>
      <c r="B197" s="4" t="inlineStr">
        <is>
          <t>國中</t>
        </is>
      </c>
      <c r="C197" s="4" t="inlineStr">
        <is>
          <t>8</t>
        </is>
      </c>
      <c r="D197" s="4" t="inlineStr">
        <is>
          <t>上</t>
        </is>
      </c>
      <c r="E197" s="4" t="inlineStr">
        <is>
          <t>社會-公民</t>
        </is>
      </c>
      <c r="F197" s="4" t="inlineStr">
        <is>
          <t>第四篇 民主政治的運作 第六章 政治參與</t>
        </is>
      </c>
      <c r="G197" s="4" t="n"/>
      <c r="H197" s="4" t="inlineStr">
        <is>
          <t>115</t>
        </is>
      </c>
      <c r="I197" s="4" t="inlineStr">
        <is>
          <t>出版商官網</t>
        </is>
      </c>
      <c r="J197" s="5" t="inlineStr">
        <is>
          <t>https://dl.hle.com.tw/1151/國中/01課程計畫/115翰林課程計畫_社會教學進度總表.zip</t>
        </is>
      </c>
      <c r="K19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8">
      <c r="A198" s="4" t="inlineStr">
        <is>
          <t>翰林</t>
        </is>
      </c>
      <c r="B198" s="4" t="inlineStr">
        <is>
          <t>國中</t>
        </is>
      </c>
      <c r="C198" s="4" t="inlineStr">
        <is>
          <t>8</t>
        </is>
      </c>
      <c r="D198" s="4" t="inlineStr">
        <is>
          <t>下</t>
        </is>
      </c>
      <c r="E198" s="4" t="inlineStr">
        <is>
          <t>社會-公民</t>
        </is>
      </c>
      <c r="F198" s="4" t="inlineStr">
        <is>
          <t>第三篇 法律與生活 第一章 生活中的契約</t>
        </is>
      </c>
      <c r="G198" s="4" t="n"/>
      <c r="H198" s="4" t="inlineStr">
        <is>
          <t>115</t>
        </is>
      </c>
      <c r="I198" s="4" t="inlineStr">
        <is>
          <t>出版商官網</t>
        </is>
      </c>
      <c r="J198" s="5" t="inlineStr">
        <is>
          <t>https://dl.hle.com.tw/1151/國中/01課程計畫/115翰林課程計畫_社會教學進度總表.zip</t>
        </is>
      </c>
      <c r="K19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199">
      <c r="A199" s="4" t="inlineStr">
        <is>
          <t>翰林</t>
        </is>
      </c>
      <c r="B199" s="4" t="inlineStr">
        <is>
          <t>國中</t>
        </is>
      </c>
      <c r="C199" s="4" t="inlineStr">
        <is>
          <t>8</t>
        </is>
      </c>
      <c r="D199" s="4" t="inlineStr">
        <is>
          <t>下</t>
        </is>
      </c>
      <c r="E199" s="4" t="inlineStr">
        <is>
          <t>社會-公民</t>
        </is>
      </c>
      <c r="F199" s="4" t="inlineStr">
        <is>
          <t>第三篇 法律與生活 第二章 民事糾紛的解決</t>
        </is>
      </c>
      <c r="G199" s="4" t="n"/>
      <c r="H199" s="4" t="inlineStr">
        <is>
          <t>115</t>
        </is>
      </c>
      <c r="I199" s="4" t="inlineStr">
        <is>
          <t>出版商官網</t>
        </is>
      </c>
      <c r="J199" s="5" t="inlineStr">
        <is>
          <t>https://dl.hle.com.tw/1151/國中/01課程計畫/115翰林課程計畫_社會教學進度總表.zip</t>
        </is>
      </c>
      <c r="K199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0">
      <c r="A200" s="4" t="inlineStr">
        <is>
          <t>翰林</t>
        </is>
      </c>
      <c r="B200" s="4" t="inlineStr">
        <is>
          <t>國中</t>
        </is>
      </c>
      <c r="C200" s="4" t="inlineStr">
        <is>
          <t>8</t>
        </is>
      </c>
      <c r="D200" s="4" t="inlineStr">
        <is>
          <t>下</t>
        </is>
      </c>
      <c r="E200" s="4" t="inlineStr">
        <is>
          <t>社會-公民</t>
        </is>
      </c>
      <c r="F200" s="4" t="inlineStr">
        <is>
          <t>第三篇 法律與生活 第三章 刑法與刑罰</t>
        </is>
      </c>
      <c r="G200" s="4" t="n"/>
      <c r="H200" s="4" t="inlineStr">
        <is>
          <t>115</t>
        </is>
      </c>
      <c r="I200" s="4" t="inlineStr">
        <is>
          <t>出版商官網</t>
        </is>
      </c>
      <c r="J200" s="5" t="inlineStr">
        <is>
          <t>https://dl.hle.com.tw/1151/國中/01課程計畫/115翰林課程計畫_社會教學進度總表.zip</t>
        </is>
      </c>
      <c r="K20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1">
      <c r="A201" s="4" t="inlineStr">
        <is>
          <t>翰林</t>
        </is>
      </c>
      <c r="B201" s="4" t="inlineStr">
        <is>
          <t>國中</t>
        </is>
      </c>
      <c r="C201" s="4" t="inlineStr">
        <is>
          <t>8</t>
        </is>
      </c>
      <c r="D201" s="4" t="inlineStr">
        <is>
          <t>下</t>
        </is>
      </c>
      <c r="E201" s="4" t="inlineStr">
        <is>
          <t>社會-公民</t>
        </is>
      </c>
      <c r="F201" s="4" t="inlineStr">
        <is>
          <t>第三篇 法律與生活 第四章 刑事案件的追訴</t>
        </is>
      </c>
      <c r="G201" s="4" t="n"/>
      <c r="H201" s="4" t="inlineStr">
        <is>
          <t>115</t>
        </is>
      </c>
      <c r="I201" s="4" t="inlineStr">
        <is>
          <t>出版商官網</t>
        </is>
      </c>
      <c r="J201" s="5" t="inlineStr">
        <is>
          <t>https://dl.hle.com.tw/1151/國中/01課程計畫/115翰林課程計畫_社會教學進度總表.zip</t>
        </is>
      </c>
      <c r="K20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2">
      <c r="A202" s="4" t="inlineStr">
        <is>
          <t>翰林</t>
        </is>
      </c>
      <c r="B202" s="4" t="inlineStr">
        <is>
          <t>國中</t>
        </is>
      </c>
      <c r="C202" s="4" t="inlineStr">
        <is>
          <t>8</t>
        </is>
      </c>
      <c r="D202" s="4" t="inlineStr">
        <is>
          <t>下</t>
        </is>
      </c>
      <c r="E202" s="4" t="inlineStr">
        <is>
          <t>社會-公民</t>
        </is>
      </c>
      <c r="F202" s="4" t="inlineStr">
        <is>
          <t>第三篇 法律與生活 第五章 行政法規與行政救濟</t>
        </is>
      </c>
      <c r="G202" s="4" t="n"/>
      <c r="H202" s="4" t="inlineStr">
        <is>
          <t>115</t>
        </is>
      </c>
      <c r="I202" s="4" t="inlineStr">
        <is>
          <t>出版商官網</t>
        </is>
      </c>
      <c r="J202" s="5" t="inlineStr">
        <is>
          <t>https://dl.hle.com.tw/1151/國中/01課程計畫/115翰林課程計畫_社會教學進度總表.zip</t>
        </is>
      </c>
      <c r="K20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3">
      <c r="A203" s="4" t="inlineStr">
        <is>
          <t>翰林</t>
        </is>
      </c>
      <c r="B203" s="4" t="inlineStr">
        <is>
          <t>國中</t>
        </is>
      </c>
      <c r="C203" s="4" t="inlineStr">
        <is>
          <t>8</t>
        </is>
      </c>
      <c r="D203" s="4" t="inlineStr">
        <is>
          <t>下</t>
        </is>
      </c>
      <c r="E203" s="4" t="inlineStr">
        <is>
          <t>社會-公民</t>
        </is>
      </c>
      <c r="F203" s="4" t="inlineStr">
        <is>
          <t>第三篇 法律與生活 第六章 兒少權益的維護</t>
        </is>
      </c>
      <c r="G203" s="4" t="n"/>
      <c r="H203" s="4" t="inlineStr">
        <is>
          <t>115</t>
        </is>
      </c>
      <c r="I203" s="4" t="inlineStr">
        <is>
          <t>出版商官網</t>
        </is>
      </c>
      <c r="J203" s="5" t="inlineStr">
        <is>
          <t>https://dl.hle.com.tw/1151/國中/01課程計畫/115翰林課程計畫_社會教學進度總表.zip</t>
        </is>
      </c>
      <c r="K20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4">
      <c r="A204" s="4" t="inlineStr">
        <is>
          <t>翰林</t>
        </is>
      </c>
      <c r="B204" s="4" t="inlineStr">
        <is>
          <t>國中</t>
        </is>
      </c>
      <c r="C204" s="4" t="inlineStr">
        <is>
          <t>9</t>
        </is>
      </c>
      <c r="D204" s="4" t="inlineStr">
        <is>
          <t>上</t>
        </is>
      </c>
      <c r="E204" s="4" t="inlineStr">
        <is>
          <t>社會-公民</t>
        </is>
      </c>
      <c r="F204" s="4" t="inlineStr">
        <is>
          <t>第三篇 經濟生活的運作及參與 第一章 選擇與消費</t>
        </is>
      </c>
      <c r="G204" s="4" t="n"/>
      <c r="H204" s="4" t="inlineStr">
        <is>
          <t>115</t>
        </is>
      </c>
      <c r="I204" s="4" t="inlineStr">
        <is>
          <t>出版商官網</t>
        </is>
      </c>
      <c r="J204" s="5" t="inlineStr">
        <is>
          <t>https://dl.hle.com.tw/1151/國中/01課程計畫/115翰林課程計畫_社會教學進度總表.zip</t>
        </is>
      </c>
      <c r="K20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5">
      <c r="A205" s="4" t="inlineStr">
        <is>
          <t>翰林</t>
        </is>
      </c>
      <c r="B205" s="4" t="inlineStr">
        <is>
          <t>國中</t>
        </is>
      </c>
      <c r="C205" s="4" t="inlineStr">
        <is>
          <t>9</t>
        </is>
      </c>
      <c r="D205" s="4" t="inlineStr">
        <is>
          <t>上</t>
        </is>
      </c>
      <c r="E205" s="4" t="inlineStr">
        <is>
          <t>社會-公民</t>
        </is>
      </c>
      <c r="F205" s="4" t="inlineStr">
        <is>
          <t>第三篇 經濟生活的運作及參與 第二章 生產與生產資源</t>
        </is>
      </c>
      <c r="G205" s="4" t="n"/>
      <c r="H205" s="4" t="inlineStr">
        <is>
          <t>115</t>
        </is>
      </c>
      <c r="I205" s="4" t="inlineStr">
        <is>
          <t>出版商官網</t>
        </is>
      </c>
      <c r="J205" s="5" t="inlineStr">
        <is>
          <t>https://dl.hle.com.tw/1151/國中/01課程計畫/115翰林課程計畫_社會教學進度總表.zip</t>
        </is>
      </c>
      <c r="K205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6">
      <c r="A206" s="4" t="inlineStr">
        <is>
          <t>翰林</t>
        </is>
      </c>
      <c r="B206" s="4" t="inlineStr">
        <is>
          <t>國中</t>
        </is>
      </c>
      <c r="C206" s="4" t="inlineStr">
        <is>
          <t>9</t>
        </is>
      </c>
      <c r="D206" s="4" t="inlineStr">
        <is>
          <t>上</t>
        </is>
      </c>
      <c r="E206" s="4" t="inlineStr">
        <is>
          <t>社會-公民</t>
        </is>
      </c>
      <c r="F206" s="4" t="inlineStr">
        <is>
          <t>第三篇 經濟生活的運作及參與 第三章 市場與競爭</t>
        </is>
      </c>
      <c r="G206" s="4" t="n"/>
      <c r="H206" s="4" t="inlineStr">
        <is>
          <t>115</t>
        </is>
      </c>
      <c r="I206" s="4" t="inlineStr">
        <is>
          <t>出版商官網</t>
        </is>
      </c>
      <c r="J206" s="5" t="inlineStr">
        <is>
          <t>https://dl.hle.com.tw/1151/國中/01課程計畫/115翰林課程計畫_社會教學進度總表.zip</t>
        </is>
      </c>
      <c r="K20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7">
      <c r="A207" s="4" t="inlineStr">
        <is>
          <t>翰林</t>
        </is>
      </c>
      <c r="B207" s="4" t="inlineStr">
        <is>
          <t>國中</t>
        </is>
      </c>
      <c r="C207" s="4" t="inlineStr">
        <is>
          <t>9</t>
        </is>
      </c>
      <c r="D207" s="4" t="inlineStr">
        <is>
          <t>上</t>
        </is>
      </c>
      <c r="E207" s="4" t="inlineStr">
        <is>
          <t>社會-公民</t>
        </is>
      </c>
      <c r="F207" s="4" t="inlineStr">
        <is>
          <t>第三篇 經濟生活的運作及參與 第四章 勞動參與</t>
        </is>
      </c>
      <c r="G207" s="4" t="n"/>
      <c r="H207" s="4" t="inlineStr">
        <is>
          <t>115</t>
        </is>
      </c>
      <c r="I207" s="4" t="inlineStr">
        <is>
          <t>出版商官網</t>
        </is>
      </c>
      <c r="J207" s="5" t="inlineStr">
        <is>
          <t>https://dl.hle.com.tw/1151/國中/01課程計畫/115翰林課程計畫_社會教學進度總表.zip</t>
        </is>
      </c>
      <c r="K20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8">
      <c r="A208" s="4" t="inlineStr">
        <is>
          <t>翰林</t>
        </is>
      </c>
      <c r="B208" s="4" t="inlineStr">
        <is>
          <t>國中</t>
        </is>
      </c>
      <c r="C208" s="4" t="inlineStr">
        <is>
          <t>9</t>
        </is>
      </c>
      <c r="D208" s="4" t="inlineStr">
        <is>
          <t>上</t>
        </is>
      </c>
      <c r="E208" s="4" t="inlineStr">
        <is>
          <t>社會-公民</t>
        </is>
      </c>
      <c r="F208" s="4" t="inlineStr">
        <is>
          <t>第三篇 經濟生活的運作及參與 第五章 貨幣的使用</t>
        </is>
      </c>
      <c r="G208" s="4" t="n"/>
      <c r="H208" s="4" t="inlineStr">
        <is>
          <t>115</t>
        </is>
      </c>
      <c r="I208" s="4" t="inlineStr">
        <is>
          <t>出版商官網</t>
        </is>
      </c>
      <c r="J208" s="5" t="inlineStr">
        <is>
          <t>https://dl.hle.com.tw/1151/國中/01課程計畫/115翰林課程計畫_社會教學進度總表.zip</t>
        </is>
      </c>
      <c r="K20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9">
      <c r="A209" s="4" t="inlineStr">
        <is>
          <t>翰林</t>
        </is>
      </c>
      <c r="B209" s="4" t="inlineStr">
        <is>
          <t>國中</t>
        </is>
      </c>
      <c r="C209" s="4" t="inlineStr">
        <is>
          <t>9</t>
        </is>
      </c>
      <c r="D209" s="4" t="inlineStr">
        <is>
          <t>上</t>
        </is>
      </c>
      <c r="E209" s="4" t="inlineStr">
        <is>
          <t>社會-公民</t>
        </is>
      </c>
      <c r="F209" s="4" t="inlineStr">
        <is>
          <t>第三篇 經濟生活的運作及參與 第六章 國際貿易與外幣</t>
        </is>
      </c>
      <c r="G209" s="4" t="n"/>
      <c r="H209" s="4" t="inlineStr">
        <is>
          <t>115</t>
        </is>
      </c>
      <c r="I209" s="4" t="inlineStr">
        <is>
          <t>出版商官網</t>
        </is>
      </c>
      <c r="J209" s="5" t="inlineStr">
        <is>
          <t>https://dl.hle.com.tw/1151/國中/01課程計畫/115翰林課程計畫_社會教學進度總表.zip</t>
        </is>
      </c>
      <c r="K20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10">
      <c r="A210" s="4" t="inlineStr">
        <is>
          <t>翰林</t>
        </is>
      </c>
      <c r="B210" s="4" t="inlineStr">
        <is>
          <t>國中</t>
        </is>
      </c>
      <c r="C210" s="4" t="inlineStr">
        <is>
          <t>9</t>
        </is>
      </c>
      <c r="D210" s="4" t="inlineStr">
        <is>
          <t>下</t>
        </is>
      </c>
      <c r="E210" s="4" t="inlineStr">
        <is>
          <t>社會-公民</t>
        </is>
      </c>
      <c r="F210" s="4" t="inlineStr">
        <is>
          <t>第三篇 全球關連 第一章 科技發展</t>
        </is>
      </c>
      <c r="G210" s="4" t="n"/>
      <c r="H210" s="4" t="inlineStr">
        <is>
          <t>115</t>
        </is>
      </c>
      <c r="I210" s="4" t="inlineStr">
        <is>
          <t>出版商官網</t>
        </is>
      </c>
      <c r="J210" s="5" t="inlineStr">
        <is>
          <t>https://dl.hle.com.tw/1151/國中/01課程計畫/115翰林課程計畫_社會教學進度總表.zip</t>
        </is>
      </c>
      <c r="K210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1">
      <c r="A211" s="4" t="inlineStr">
        <is>
          <t>翰林</t>
        </is>
      </c>
      <c r="B211" s="4" t="inlineStr">
        <is>
          <t>國中</t>
        </is>
      </c>
      <c r="C211" s="4" t="inlineStr">
        <is>
          <t>9</t>
        </is>
      </c>
      <c r="D211" s="4" t="inlineStr">
        <is>
          <t>下</t>
        </is>
      </c>
      <c r="E211" s="4" t="inlineStr">
        <is>
          <t>社會-公民</t>
        </is>
      </c>
      <c r="F211" s="4" t="inlineStr">
        <is>
          <t>第三篇 全球關連 第二章 全球化與國際參與</t>
        </is>
      </c>
      <c r="G211" s="4" t="n"/>
      <c r="H211" s="4" t="inlineStr">
        <is>
          <t>115</t>
        </is>
      </c>
      <c r="I211" s="4" t="inlineStr">
        <is>
          <t>出版商官網</t>
        </is>
      </c>
      <c r="J211" s="5" t="inlineStr">
        <is>
          <t>https://dl.hle.com.tw/1151/國中/01課程計畫/115翰林課程計畫_社會教學進度總表.zip</t>
        </is>
      </c>
      <c r="K211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2">
      <c r="A212" s="4" t="inlineStr">
        <is>
          <t>翰林</t>
        </is>
      </c>
      <c r="B212" s="4" t="inlineStr">
        <is>
          <t>國中</t>
        </is>
      </c>
      <c r="C212" s="4" t="inlineStr">
        <is>
          <t>7</t>
        </is>
      </c>
      <c r="D212" s="4" t="inlineStr">
        <is>
          <t>上</t>
        </is>
      </c>
      <c r="E212" s="4" t="inlineStr">
        <is>
          <t>社會-地理</t>
        </is>
      </c>
      <c r="F212" s="4" t="inlineStr">
        <is>
          <t>第一篇 臺灣的環境（上） 第一章 認識位置與地圖</t>
        </is>
      </c>
      <c r="G212" s="4" t="n"/>
      <c r="H212" s="4" t="inlineStr">
        <is>
          <t>115</t>
        </is>
      </c>
      <c r="I212" s="4" t="inlineStr">
        <is>
          <t>出版商官網</t>
        </is>
      </c>
      <c r="J212" s="5" t="inlineStr">
        <is>
          <t>https://dl.hle.com.tw/1151/國中/01課程計畫/115翰林課程計畫_社會教學進度總表.zip</t>
        </is>
      </c>
      <c r="K21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3">
      <c r="A213" s="4" t="inlineStr">
        <is>
          <t>翰林</t>
        </is>
      </c>
      <c r="B213" s="4" t="inlineStr">
        <is>
          <t>國中</t>
        </is>
      </c>
      <c r="C213" s="4" t="inlineStr">
        <is>
          <t>7</t>
        </is>
      </c>
      <c r="D213" s="4" t="inlineStr">
        <is>
          <t>上</t>
        </is>
      </c>
      <c r="E213" s="4" t="inlineStr">
        <is>
          <t>社會-地理</t>
        </is>
      </c>
      <c r="F213" s="4" t="inlineStr">
        <is>
          <t>第一篇 臺灣的環境（上） 第二章 世界中的臺灣</t>
        </is>
      </c>
      <c r="G213" s="4" t="n"/>
      <c r="H213" s="4" t="inlineStr">
        <is>
          <t>115</t>
        </is>
      </c>
      <c r="I213" s="4" t="inlineStr">
        <is>
          <t>出版商官網</t>
        </is>
      </c>
      <c r="J213" s="5" t="inlineStr">
        <is>
          <t>https://dl.hle.com.tw/1151/國中/01課程計畫/115翰林課程計畫_社會教學進度總表.zip</t>
        </is>
      </c>
      <c r="K21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4">
      <c r="A214" s="4" t="inlineStr">
        <is>
          <t>翰林</t>
        </is>
      </c>
      <c r="B214" s="4" t="inlineStr">
        <is>
          <t>國中</t>
        </is>
      </c>
      <c r="C214" s="4" t="inlineStr">
        <is>
          <t>7</t>
        </is>
      </c>
      <c r="D214" s="4" t="inlineStr">
        <is>
          <t>上</t>
        </is>
      </c>
      <c r="E214" s="4" t="inlineStr">
        <is>
          <t>社會-地理</t>
        </is>
      </c>
      <c r="F214" s="4" t="inlineStr">
        <is>
          <t>第一篇 臺灣的環境（上） 第三章 地形</t>
        </is>
      </c>
      <c r="G214" s="4" t="n"/>
      <c r="H214" s="4" t="inlineStr">
        <is>
          <t>115</t>
        </is>
      </c>
      <c r="I214" s="4" t="inlineStr">
        <is>
          <t>出版商官網</t>
        </is>
      </c>
      <c r="J214" s="5" t="inlineStr">
        <is>
          <t>https://dl.hle.com.tw/1151/國中/01課程計畫/115翰林課程計畫_社會教學進度總表.zip</t>
        </is>
      </c>
      <c r="K21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5">
      <c r="A215" s="4" t="inlineStr">
        <is>
          <t>翰林</t>
        </is>
      </c>
      <c r="B215" s="4" t="inlineStr">
        <is>
          <t>國中</t>
        </is>
      </c>
      <c r="C215" s="4" t="inlineStr">
        <is>
          <t>7</t>
        </is>
      </c>
      <c r="D215" s="4" t="inlineStr">
        <is>
          <t>上</t>
        </is>
      </c>
      <c r="E215" s="4" t="inlineStr">
        <is>
          <t>社會-地理</t>
        </is>
      </c>
      <c r="F215" s="4" t="inlineStr">
        <is>
          <t>第一篇 臺灣的環境（上） 第四章 海岸與島嶼</t>
        </is>
      </c>
      <c r="G215" s="4" t="n"/>
      <c r="H215" s="4" t="inlineStr">
        <is>
          <t>115</t>
        </is>
      </c>
      <c r="I215" s="4" t="inlineStr">
        <is>
          <t>出版商官網</t>
        </is>
      </c>
      <c r="J215" s="5" t="inlineStr">
        <is>
          <t>https://dl.hle.com.tw/1151/國中/01課程計畫/115翰林課程計畫_社會教學進度總表.zip</t>
        </is>
      </c>
      <c r="K21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6">
      <c r="A216" s="4" t="inlineStr">
        <is>
          <t>翰林</t>
        </is>
      </c>
      <c r="B216" s="4" t="inlineStr">
        <is>
          <t>國中</t>
        </is>
      </c>
      <c r="C216" s="4" t="inlineStr">
        <is>
          <t>7</t>
        </is>
      </c>
      <c r="D216" s="4" t="inlineStr">
        <is>
          <t>上</t>
        </is>
      </c>
      <c r="E216" s="4" t="inlineStr">
        <is>
          <t>社會-地理</t>
        </is>
      </c>
      <c r="F216" s="4" t="inlineStr">
        <is>
          <t>第一篇 臺灣的環境（上） 第五章 天氣與氣候</t>
        </is>
      </c>
      <c r="G216" s="4" t="n"/>
      <c r="H216" s="4" t="inlineStr">
        <is>
          <t>115</t>
        </is>
      </c>
      <c r="I216" s="4" t="inlineStr">
        <is>
          <t>出版商官網</t>
        </is>
      </c>
      <c r="J216" s="5" t="inlineStr">
        <is>
          <t>https://dl.hle.com.tw/1151/國中/01課程計畫/115翰林課程計畫_社會教學進度總表.zip</t>
        </is>
      </c>
      <c r="K21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7">
      <c r="A217" s="4" t="inlineStr">
        <is>
          <t>翰林</t>
        </is>
      </c>
      <c r="B217" s="4" t="inlineStr">
        <is>
          <t>國中</t>
        </is>
      </c>
      <c r="C217" s="4" t="inlineStr">
        <is>
          <t>7</t>
        </is>
      </c>
      <c r="D217" s="4" t="inlineStr">
        <is>
          <t>上</t>
        </is>
      </c>
      <c r="E217" s="4" t="inlineStr">
        <is>
          <t>社會-地理</t>
        </is>
      </c>
      <c r="F217" s="4" t="inlineStr">
        <is>
          <t>第一篇 臺灣的環境（上） 第六章 水文</t>
        </is>
      </c>
      <c r="G217" s="4" t="n"/>
      <c r="H217" s="4" t="inlineStr">
        <is>
          <t>115</t>
        </is>
      </c>
      <c r="I217" s="4" t="inlineStr">
        <is>
          <t>出版商官網</t>
        </is>
      </c>
      <c r="J217" s="5" t="inlineStr">
        <is>
          <t>https://dl.hle.com.tw/1151/國中/01課程計畫/115翰林課程計畫_社會教學進度總表.zip</t>
        </is>
      </c>
      <c r="K21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8">
      <c r="A218" s="4" t="inlineStr">
        <is>
          <t>翰林</t>
        </is>
      </c>
      <c r="B218" s="4" t="inlineStr">
        <is>
          <t>國中</t>
        </is>
      </c>
      <c r="C218" s="4" t="inlineStr">
        <is>
          <t>7</t>
        </is>
      </c>
      <c r="D218" s="4" t="inlineStr">
        <is>
          <t>下</t>
        </is>
      </c>
      <c r="E218" s="4" t="inlineStr">
        <is>
          <t>社會-地理</t>
        </is>
      </c>
      <c r="F218" s="4" t="inlineStr">
        <is>
          <t>第一篇 臺灣的環境（下） 第一章 人口成長與分布</t>
        </is>
      </c>
      <c r="G218" s="4" t="n"/>
      <c r="H218" s="4" t="inlineStr">
        <is>
          <t>115</t>
        </is>
      </c>
      <c r="I218" s="4" t="inlineStr">
        <is>
          <t>出版商官網</t>
        </is>
      </c>
      <c r="J218" s="5" t="inlineStr">
        <is>
          <t>https://dl.hle.com.tw/1151/國中/01課程計畫/115翰林課程計畫_社會教學進度總表.zip</t>
        </is>
      </c>
      <c r="K21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19">
      <c r="A219" s="4" t="inlineStr">
        <is>
          <t>翰林</t>
        </is>
      </c>
      <c r="B219" s="4" t="inlineStr">
        <is>
          <t>國中</t>
        </is>
      </c>
      <c r="C219" s="4" t="inlineStr">
        <is>
          <t>7</t>
        </is>
      </c>
      <c r="D219" s="4" t="inlineStr">
        <is>
          <t>下</t>
        </is>
      </c>
      <c r="E219" s="4" t="inlineStr">
        <is>
          <t>社會-地理</t>
        </is>
      </c>
      <c r="F219" s="4" t="inlineStr">
        <is>
          <t>第一篇 臺灣的環境（下） 第二章 人口組成與族群文化</t>
        </is>
      </c>
      <c r="G219" s="4" t="n"/>
      <c r="H219" s="4" t="inlineStr">
        <is>
          <t>115</t>
        </is>
      </c>
      <c r="I219" s="4" t="inlineStr">
        <is>
          <t>出版商官網</t>
        </is>
      </c>
      <c r="J219" s="5" t="inlineStr">
        <is>
          <t>https://dl.hle.com.tw/1151/國中/01課程計畫/115翰林課程計畫_社會教學進度總表.zip</t>
        </is>
      </c>
      <c r="K21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0">
      <c r="A220" s="4" t="inlineStr">
        <is>
          <t>翰林</t>
        </is>
      </c>
      <c r="B220" s="4" t="inlineStr">
        <is>
          <t>國中</t>
        </is>
      </c>
      <c r="C220" s="4" t="inlineStr">
        <is>
          <t>7</t>
        </is>
      </c>
      <c r="D220" s="4" t="inlineStr">
        <is>
          <t>下</t>
        </is>
      </c>
      <c r="E220" s="4" t="inlineStr">
        <is>
          <t>社會-地理</t>
        </is>
      </c>
      <c r="F220" s="4" t="inlineStr">
        <is>
          <t>第一篇 臺灣的環境（下） 第三章 第一級產業</t>
        </is>
      </c>
      <c r="G220" s="4" t="n"/>
      <c r="H220" s="4" t="inlineStr">
        <is>
          <t>115</t>
        </is>
      </c>
      <c r="I220" s="4" t="inlineStr">
        <is>
          <t>出版商官網</t>
        </is>
      </c>
      <c r="J220" s="5" t="inlineStr">
        <is>
          <t>https://dl.hle.com.tw/1151/國中/01課程計畫/115翰林課程計畫_社會教學進度總表.zip</t>
        </is>
      </c>
      <c r="K22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1">
      <c r="A221" s="4" t="inlineStr">
        <is>
          <t>翰林</t>
        </is>
      </c>
      <c r="B221" s="4" t="inlineStr">
        <is>
          <t>國中</t>
        </is>
      </c>
      <c r="C221" s="4" t="inlineStr">
        <is>
          <t>7</t>
        </is>
      </c>
      <c r="D221" s="4" t="inlineStr">
        <is>
          <t>下</t>
        </is>
      </c>
      <c r="E221" s="4" t="inlineStr">
        <is>
          <t>社會-地理</t>
        </is>
      </c>
      <c r="F221" s="4" t="inlineStr">
        <is>
          <t>第一篇 臺灣的環境（下） 第四章 第二、三級產業</t>
        </is>
      </c>
      <c r="G221" s="4" t="n"/>
      <c r="H221" s="4" t="inlineStr">
        <is>
          <t>115</t>
        </is>
      </c>
      <c r="I221" s="4" t="inlineStr">
        <is>
          <t>出版商官網</t>
        </is>
      </c>
      <c r="J221" s="5" t="inlineStr">
        <is>
          <t>https://dl.hle.com.tw/1151/國中/01課程計畫/115翰林課程計畫_社會教學進度總表.zip</t>
        </is>
      </c>
      <c r="K22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2">
      <c r="A222" s="4" t="inlineStr">
        <is>
          <t>翰林</t>
        </is>
      </c>
      <c r="B222" s="4" t="inlineStr">
        <is>
          <t>國中</t>
        </is>
      </c>
      <c r="C222" s="4" t="inlineStr">
        <is>
          <t>7</t>
        </is>
      </c>
      <c r="D222" s="4" t="inlineStr">
        <is>
          <t>下</t>
        </is>
      </c>
      <c r="E222" s="4" t="inlineStr">
        <is>
          <t>社會-地理</t>
        </is>
      </c>
      <c r="F222" s="4" t="inlineStr">
        <is>
          <t>第一篇 臺灣的環境（下） 第五章 聚落體系與都市發展</t>
        </is>
      </c>
      <c r="G222" s="4" t="n"/>
      <c r="H222" s="4" t="inlineStr">
        <is>
          <t>115</t>
        </is>
      </c>
      <c r="I222" s="4" t="inlineStr">
        <is>
          <t>出版商官網</t>
        </is>
      </c>
      <c r="J222" s="5" t="inlineStr">
        <is>
          <t>https://dl.hle.com.tw/1151/國中/01課程計畫/115翰林課程計畫_社會教學進度總表.zip</t>
        </is>
      </c>
      <c r="K22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3">
      <c r="A223" s="4" t="inlineStr">
        <is>
          <t>翰林</t>
        </is>
      </c>
      <c r="B223" s="4" t="inlineStr">
        <is>
          <t>國中</t>
        </is>
      </c>
      <c r="C223" s="4" t="inlineStr">
        <is>
          <t>7</t>
        </is>
      </c>
      <c r="D223" s="4" t="inlineStr">
        <is>
          <t>下</t>
        </is>
      </c>
      <c r="E223" s="4" t="inlineStr">
        <is>
          <t>社會-地理</t>
        </is>
      </c>
      <c r="F223" s="4" t="inlineStr">
        <is>
          <t>第一篇 臺灣的環境（下） 第六章 區域發展與差異</t>
        </is>
      </c>
      <c r="G223" s="4" t="n"/>
      <c r="H223" s="4" t="inlineStr">
        <is>
          <t>115</t>
        </is>
      </c>
      <c r="I223" s="4" t="inlineStr">
        <is>
          <t>出版商官網</t>
        </is>
      </c>
      <c r="J223" s="5" t="inlineStr">
        <is>
          <t>https://dl.hle.com.tw/1151/國中/01課程計畫/115翰林課程計畫_社會教學進度總表.zip</t>
        </is>
      </c>
      <c r="K22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4">
      <c r="A224" s="4" t="inlineStr">
        <is>
          <t>翰林</t>
        </is>
      </c>
      <c r="B224" s="4" t="inlineStr">
        <is>
          <t>國中</t>
        </is>
      </c>
      <c r="C224" s="4" t="inlineStr">
        <is>
          <t>8</t>
        </is>
      </c>
      <c r="D224" s="4" t="inlineStr">
        <is>
          <t>上</t>
        </is>
      </c>
      <c r="E224" s="4" t="inlineStr">
        <is>
          <t>社會-地理</t>
        </is>
      </c>
      <c r="F224" s="4" t="inlineStr">
        <is>
          <t>第一篇 中國大地 第一章 中國的地形</t>
        </is>
      </c>
      <c r="G224" s="4" t="n"/>
      <c r="H224" s="4" t="inlineStr">
        <is>
          <t>115</t>
        </is>
      </c>
      <c r="I224" s="4" t="inlineStr">
        <is>
          <t>出版商官網</t>
        </is>
      </c>
      <c r="J224" s="5" t="inlineStr">
        <is>
          <t>https://dl.hle.com.tw/1151/國中/01課程計畫/115翰林課程計畫_社會教學進度總表.zip</t>
        </is>
      </c>
      <c r="K22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5">
      <c r="A225" s="4" t="inlineStr">
        <is>
          <t>翰林</t>
        </is>
      </c>
      <c r="B225" s="4" t="inlineStr">
        <is>
          <t>國中</t>
        </is>
      </c>
      <c r="C225" s="4" t="inlineStr">
        <is>
          <t>8</t>
        </is>
      </c>
      <c r="D225" s="4" t="inlineStr">
        <is>
          <t>上</t>
        </is>
      </c>
      <c r="E225" s="4" t="inlineStr">
        <is>
          <t>社會-地理</t>
        </is>
      </c>
      <c r="F225" s="4" t="inlineStr">
        <is>
          <t>第一篇 中國大地 第二章 中國的氣候</t>
        </is>
      </c>
      <c r="G225" s="4" t="n"/>
      <c r="H225" s="4" t="inlineStr">
        <is>
          <t>115</t>
        </is>
      </c>
      <c r="I225" s="4" t="inlineStr">
        <is>
          <t>出版商官網</t>
        </is>
      </c>
      <c r="J225" s="5" t="inlineStr">
        <is>
          <t>https://dl.hle.com.tw/1151/國中/01課程計畫/115翰林課程計畫_社會教學進度總表.zip</t>
        </is>
      </c>
      <c r="K22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6">
      <c r="A226" s="4" t="inlineStr">
        <is>
          <t>翰林</t>
        </is>
      </c>
      <c r="B226" s="4" t="inlineStr">
        <is>
          <t>國中</t>
        </is>
      </c>
      <c r="C226" s="4" t="inlineStr">
        <is>
          <t>8</t>
        </is>
      </c>
      <c r="D226" s="4" t="inlineStr">
        <is>
          <t>上</t>
        </is>
      </c>
      <c r="E226" s="4" t="inlineStr">
        <is>
          <t>社會-地理</t>
        </is>
      </c>
      <c r="F226" s="4" t="inlineStr">
        <is>
          <t>第一篇 中國大地 第三章 中國的人口</t>
        </is>
      </c>
      <c r="G226" s="4" t="n"/>
      <c r="H226" s="4" t="inlineStr">
        <is>
          <t>115</t>
        </is>
      </c>
      <c r="I226" s="4" t="inlineStr">
        <is>
          <t>出版商官網</t>
        </is>
      </c>
      <c r="J226" s="5" t="inlineStr">
        <is>
          <t>https://dl.hle.com.tw/1151/國中/01課程計畫/115翰林課程計畫_社會教學進度總表.zip</t>
        </is>
      </c>
      <c r="K22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7">
      <c r="A227" s="4" t="inlineStr">
        <is>
          <t>翰林</t>
        </is>
      </c>
      <c r="B227" s="4" t="inlineStr">
        <is>
          <t>國中</t>
        </is>
      </c>
      <c r="C227" s="4" t="inlineStr">
        <is>
          <t>8</t>
        </is>
      </c>
      <c r="D227" s="4" t="inlineStr">
        <is>
          <t>上</t>
        </is>
      </c>
      <c r="E227" s="4" t="inlineStr">
        <is>
          <t>社會-地理</t>
        </is>
      </c>
      <c r="F227" s="4" t="inlineStr">
        <is>
          <t>第一篇 中國大地 第四章 中國的經濟發展與全球關連</t>
        </is>
      </c>
      <c r="G227" s="4" t="n"/>
      <c r="H227" s="4" t="inlineStr">
        <is>
          <t>115</t>
        </is>
      </c>
      <c r="I227" s="4" t="inlineStr">
        <is>
          <t>出版商官網</t>
        </is>
      </c>
      <c r="J227" s="5" t="inlineStr">
        <is>
          <t>https://dl.hle.com.tw/1151/國中/01課程計畫/115翰林課程計畫_社會教學進度總表.zip</t>
        </is>
      </c>
      <c r="K22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8">
      <c r="A228" s="4" t="inlineStr">
        <is>
          <t>翰林</t>
        </is>
      </c>
      <c r="B228" s="4" t="inlineStr">
        <is>
          <t>國中</t>
        </is>
      </c>
      <c r="C228" s="4" t="inlineStr">
        <is>
          <t>8</t>
        </is>
      </c>
      <c r="D228" s="4" t="inlineStr">
        <is>
          <t>上</t>
        </is>
      </c>
      <c r="E228" s="4" t="inlineStr">
        <is>
          <t>社會-地理</t>
        </is>
      </c>
      <c r="F228" s="4" t="inlineStr">
        <is>
          <t>第二篇 世界風情（上） 第一章 東北亞的自然環境與文化</t>
        </is>
      </c>
      <c r="G228" s="4" t="n"/>
      <c r="H228" s="4" t="inlineStr">
        <is>
          <t>115</t>
        </is>
      </c>
      <c r="I228" s="4" t="inlineStr">
        <is>
          <t>出版商官網</t>
        </is>
      </c>
      <c r="J228" s="5" t="inlineStr">
        <is>
          <t>https://dl.hle.com.tw/1151/國中/01課程計畫/115翰林課程計畫_社會教學進度總表.zip</t>
        </is>
      </c>
      <c r="K22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9">
      <c r="A229" s="4" t="inlineStr">
        <is>
          <t>翰林</t>
        </is>
      </c>
      <c r="B229" s="4" t="inlineStr">
        <is>
          <t>國中</t>
        </is>
      </c>
      <c r="C229" s="4" t="inlineStr">
        <is>
          <t>8</t>
        </is>
      </c>
      <c r="D229" s="4" t="inlineStr">
        <is>
          <t>上</t>
        </is>
      </c>
      <c r="E229" s="4" t="inlineStr">
        <is>
          <t>社會-地理</t>
        </is>
      </c>
      <c r="F229" s="4" t="inlineStr">
        <is>
          <t>第二篇 世界風情（上） 第二章 東北亞的經濟發展與挑戰</t>
        </is>
      </c>
      <c r="G229" s="4" t="n"/>
      <c r="H229" s="4" t="inlineStr">
        <is>
          <t>115</t>
        </is>
      </c>
      <c r="I229" s="4" t="inlineStr">
        <is>
          <t>出版商官網</t>
        </is>
      </c>
      <c r="J229" s="5" t="inlineStr">
        <is>
          <t>https://dl.hle.com.tw/1151/國中/01課程計畫/115翰林課程計畫_社會教學進度總表.zip</t>
        </is>
      </c>
      <c r="K22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30">
      <c r="A230" s="4" t="inlineStr">
        <is>
          <t>翰林</t>
        </is>
      </c>
      <c r="B230" s="4" t="inlineStr">
        <is>
          <t>國中</t>
        </is>
      </c>
      <c r="C230" s="4" t="inlineStr">
        <is>
          <t>8</t>
        </is>
      </c>
      <c r="D230" s="4" t="inlineStr">
        <is>
          <t>下</t>
        </is>
      </c>
      <c r="E230" s="4" t="inlineStr">
        <is>
          <t>社會-地理</t>
        </is>
      </c>
      <c r="F230" s="4" t="inlineStr">
        <is>
          <t>第一篇 世界風情（中） 第一章 東南亞</t>
        </is>
      </c>
      <c r="G230" s="4" t="n"/>
      <c r="H230" s="4" t="inlineStr">
        <is>
          <t>115</t>
        </is>
      </c>
      <c r="I230" s="4" t="inlineStr">
        <is>
          <t>出版商官網</t>
        </is>
      </c>
      <c r="J230" s="5" t="inlineStr">
        <is>
          <t>https://dl.hle.com.tw/1151/國中/01課程計畫/115翰林課程計畫_社會教學進度總表.zip</t>
        </is>
      </c>
      <c r="K23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1">
      <c r="A231" s="4" t="inlineStr">
        <is>
          <t>翰林</t>
        </is>
      </c>
      <c r="B231" s="4" t="inlineStr">
        <is>
          <t>國中</t>
        </is>
      </c>
      <c r="C231" s="4" t="inlineStr">
        <is>
          <t>8</t>
        </is>
      </c>
      <c r="D231" s="4" t="inlineStr">
        <is>
          <t>下</t>
        </is>
      </c>
      <c r="E231" s="4" t="inlineStr">
        <is>
          <t>社會-地理</t>
        </is>
      </c>
      <c r="F231" s="4" t="inlineStr">
        <is>
          <t>第一篇 世界風情（中） 第二章 南亞</t>
        </is>
      </c>
      <c r="G231" s="4" t="n"/>
      <c r="H231" s="4" t="inlineStr">
        <is>
          <t>115</t>
        </is>
      </c>
      <c r="I231" s="4" t="inlineStr">
        <is>
          <t>出版商官網</t>
        </is>
      </c>
      <c r="J231" s="5" t="inlineStr">
        <is>
          <t>https://dl.hle.com.tw/1151/國中/01課程計畫/115翰林課程計畫_社會教學進度總表.zip</t>
        </is>
      </c>
      <c r="K23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2">
      <c r="A232" s="4" t="inlineStr">
        <is>
          <t>翰林</t>
        </is>
      </c>
      <c r="B232" s="4" t="inlineStr">
        <is>
          <t>國中</t>
        </is>
      </c>
      <c r="C232" s="4" t="inlineStr">
        <is>
          <t>8</t>
        </is>
      </c>
      <c r="D232" s="4" t="inlineStr">
        <is>
          <t>下</t>
        </is>
      </c>
      <c r="E232" s="4" t="inlineStr">
        <is>
          <t>社會-地理</t>
        </is>
      </c>
      <c r="F232" s="4" t="inlineStr">
        <is>
          <t>第一篇 世界風情（中） 第三章 西亞與北非的自然環境與文化</t>
        </is>
      </c>
      <c r="G232" s="4" t="n"/>
      <c r="H232" s="4" t="inlineStr">
        <is>
          <t>115</t>
        </is>
      </c>
      <c r="I232" s="4" t="inlineStr">
        <is>
          <t>出版商官網</t>
        </is>
      </c>
      <c r="J232" s="5" t="inlineStr">
        <is>
          <t>https://dl.hle.com.tw/1151/國中/01課程計畫/115翰林課程計畫_社會教學進度總表.zip</t>
        </is>
      </c>
      <c r="K23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3">
      <c r="A233" s="4" t="inlineStr">
        <is>
          <t>翰林</t>
        </is>
      </c>
      <c r="B233" s="4" t="inlineStr">
        <is>
          <t>國中</t>
        </is>
      </c>
      <c r="C233" s="4" t="inlineStr">
        <is>
          <t>8</t>
        </is>
      </c>
      <c r="D233" s="4" t="inlineStr">
        <is>
          <t>下</t>
        </is>
      </c>
      <c r="E233" s="4" t="inlineStr">
        <is>
          <t>社會-地理</t>
        </is>
      </c>
      <c r="F233" s="4" t="inlineStr">
        <is>
          <t>第一篇 世界風情（中） 第四章 西亞與北非的衝突與經濟發展</t>
        </is>
      </c>
      <c r="G233" s="4" t="n"/>
      <c r="H233" s="4" t="inlineStr">
        <is>
          <t>115</t>
        </is>
      </c>
      <c r="I233" s="4" t="inlineStr">
        <is>
          <t>出版商官網</t>
        </is>
      </c>
      <c r="J233" s="5" t="inlineStr">
        <is>
          <t>https://dl.hle.com.tw/1151/國中/01課程計畫/115翰林課程計畫_社會教學進度總表.zip</t>
        </is>
      </c>
      <c r="K23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4">
      <c r="A234" s="4" t="inlineStr">
        <is>
          <t>翰林</t>
        </is>
      </c>
      <c r="B234" s="4" t="inlineStr">
        <is>
          <t>國中</t>
        </is>
      </c>
      <c r="C234" s="4" t="inlineStr">
        <is>
          <t>8</t>
        </is>
      </c>
      <c r="D234" s="4" t="inlineStr">
        <is>
          <t>下</t>
        </is>
      </c>
      <c r="E234" s="4" t="inlineStr">
        <is>
          <t>社會-地理</t>
        </is>
      </c>
      <c r="F234" s="4" t="inlineStr">
        <is>
          <t>第一篇 世界風情（中） 第五章 漠南非洲的自然環境與文化</t>
        </is>
      </c>
      <c r="G234" s="4" t="n"/>
      <c r="H234" s="4" t="inlineStr">
        <is>
          <t>115</t>
        </is>
      </c>
      <c r="I234" s="4" t="inlineStr">
        <is>
          <t>出版商官網</t>
        </is>
      </c>
      <c r="J234" s="5" t="inlineStr">
        <is>
          <t>https://dl.hle.com.tw/1151/國中/01課程計畫/115翰林課程計畫_社會教學進度總表.zip</t>
        </is>
      </c>
      <c r="K23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5">
      <c r="A235" s="4" t="inlineStr">
        <is>
          <t>翰林</t>
        </is>
      </c>
      <c r="B235" s="4" t="inlineStr">
        <is>
          <t>國中</t>
        </is>
      </c>
      <c r="C235" s="4" t="inlineStr">
        <is>
          <t>8</t>
        </is>
      </c>
      <c r="D235" s="4" t="inlineStr">
        <is>
          <t>下</t>
        </is>
      </c>
      <c r="E235" s="4" t="inlineStr">
        <is>
          <t>社會-地理</t>
        </is>
      </c>
      <c r="F235" s="4" t="inlineStr">
        <is>
          <t>第一篇 世界風情（中） 第六章 漠南非洲的產業與經濟發展</t>
        </is>
      </c>
      <c r="G235" s="4" t="n"/>
      <c r="H235" s="4" t="inlineStr">
        <is>
          <t>115</t>
        </is>
      </c>
      <c r="I235" s="4" t="inlineStr">
        <is>
          <t>出版商官網</t>
        </is>
      </c>
      <c r="J235" s="5" t="inlineStr">
        <is>
          <t>https://dl.hle.com.tw/1151/國中/01課程計畫/115翰林課程計畫_社會教學進度總表.zip</t>
        </is>
      </c>
      <c r="K23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6">
      <c r="A236" s="4" t="inlineStr">
        <is>
          <t>翰林</t>
        </is>
      </c>
      <c r="B236" s="4" t="inlineStr">
        <is>
          <t>國中</t>
        </is>
      </c>
      <c r="C236" s="4" t="inlineStr">
        <is>
          <t>9</t>
        </is>
      </c>
      <c r="D236" s="4" t="inlineStr">
        <is>
          <t>上</t>
        </is>
      </c>
      <c r="E236" s="4" t="inlineStr">
        <is>
          <t>社會-地理</t>
        </is>
      </c>
      <c r="F236" s="4" t="inlineStr">
        <is>
          <t>第一篇 世界風情（下） 第一章 歐洲概述</t>
        </is>
      </c>
      <c r="G236" s="4" t="n"/>
      <c r="H236" s="4" t="inlineStr">
        <is>
          <t>115</t>
        </is>
      </c>
      <c r="I236" s="4" t="inlineStr">
        <is>
          <t>出版商官網</t>
        </is>
      </c>
      <c r="J236" s="5" t="inlineStr">
        <is>
          <t>https://dl.hle.com.tw/1151/國中/01課程計畫/115翰林課程計畫_社會教學進度總表.zip</t>
        </is>
      </c>
      <c r="K23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7">
      <c r="A237" s="4" t="inlineStr">
        <is>
          <t>翰林</t>
        </is>
      </c>
      <c r="B237" s="4" t="inlineStr">
        <is>
          <t>國中</t>
        </is>
      </c>
      <c r="C237" s="4" t="inlineStr">
        <is>
          <t>9</t>
        </is>
      </c>
      <c r="D237" s="4" t="inlineStr">
        <is>
          <t>上</t>
        </is>
      </c>
      <c r="E237" s="4" t="inlineStr">
        <is>
          <t>社會-地理</t>
        </is>
      </c>
      <c r="F237" s="4" t="inlineStr">
        <is>
          <t>第一篇 世界風情（下） 第二章 歐洲區域特色與俄羅斯</t>
        </is>
      </c>
      <c r="G237" s="4" t="n"/>
      <c r="H237" s="4" t="inlineStr">
        <is>
          <t>115</t>
        </is>
      </c>
      <c r="I237" s="4" t="inlineStr">
        <is>
          <t>出版商官網</t>
        </is>
      </c>
      <c r="J237" s="5" t="inlineStr">
        <is>
          <t>https://dl.hle.com.tw/1151/國中/01課程計畫/115翰林課程計畫_社會教學進度總表.zip</t>
        </is>
      </c>
      <c r="K23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8">
      <c r="A238" s="4" t="inlineStr">
        <is>
          <t>翰林</t>
        </is>
      </c>
      <c r="B238" s="4" t="inlineStr">
        <is>
          <t>國中</t>
        </is>
      </c>
      <c r="C238" s="4" t="inlineStr">
        <is>
          <t>9</t>
        </is>
      </c>
      <c r="D238" s="4" t="inlineStr">
        <is>
          <t>上</t>
        </is>
      </c>
      <c r="E238" s="4" t="inlineStr">
        <is>
          <t>社會-地理</t>
        </is>
      </c>
      <c r="F238" s="4" t="inlineStr">
        <is>
          <t>第一篇 世界風情（下） 第三章 北美洲</t>
        </is>
      </c>
      <c r="G238" s="4" t="n"/>
      <c r="H238" s="4" t="inlineStr">
        <is>
          <t>115</t>
        </is>
      </c>
      <c r="I238" s="4" t="inlineStr">
        <is>
          <t>出版商官網</t>
        </is>
      </c>
      <c r="J238" s="5" t="inlineStr">
        <is>
          <t>https://dl.hle.com.tw/1151/國中/01課程計畫/115翰林課程計畫_社會教學進度總表.zip</t>
        </is>
      </c>
      <c r="K23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9">
      <c r="A239" s="4" t="inlineStr">
        <is>
          <t>翰林</t>
        </is>
      </c>
      <c r="B239" s="4" t="inlineStr">
        <is>
          <t>國中</t>
        </is>
      </c>
      <c r="C239" s="4" t="inlineStr">
        <is>
          <t>9</t>
        </is>
      </c>
      <c r="D239" s="4" t="inlineStr">
        <is>
          <t>上</t>
        </is>
      </c>
      <c r="E239" s="4" t="inlineStr">
        <is>
          <t>社會-地理</t>
        </is>
      </c>
      <c r="F239" s="4" t="inlineStr">
        <is>
          <t>第一篇 世界風情（下） 第四章 中南美洲</t>
        </is>
      </c>
      <c r="G239" s="4" t="n"/>
      <c r="H239" s="4" t="inlineStr">
        <is>
          <t>115</t>
        </is>
      </c>
      <c r="I239" s="4" t="inlineStr">
        <is>
          <t>出版商官網</t>
        </is>
      </c>
      <c r="J239" s="5" t="inlineStr">
        <is>
          <t>https://dl.hle.com.tw/1151/國中/01課程計畫/115翰林課程計畫_社會教學進度總表.zip</t>
        </is>
      </c>
      <c r="K23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0">
      <c r="A240" s="4" t="inlineStr">
        <is>
          <t>翰林</t>
        </is>
      </c>
      <c r="B240" s="4" t="inlineStr">
        <is>
          <t>國中</t>
        </is>
      </c>
      <c r="C240" s="4" t="inlineStr">
        <is>
          <t>9</t>
        </is>
      </c>
      <c r="D240" s="4" t="inlineStr">
        <is>
          <t>上</t>
        </is>
      </c>
      <c r="E240" s="4" t="inlineStr">
        <is>
          <t>社會-地理</t>
        </is>
      </c>
      <c r="F240" s="4" t="inlineStr">
        <is>
          <t>第一篇 世界風情（下） 第五章 大洋洲</t>
        </is>
      </c>
      <c r="G240" s="4" t="n"/>
      <c r="H240" s="4" t="inlineStr">
        <is>
          <t>115</t>
        </is>
      </c>
      <c r="I240" s="4" t="inlineStr">
        <is>
          <t>出版商官網</t>
        </is>
      </c>
      <c r="J240" s="5" t="inlineStr">
        <is>
          <t>https://dl.hle.com.tw/1151/國中/01課程計畫/115翰林課程計畫_社會教學進度總表.zip</t>
        </is>
      </c>
      <c r="K24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1">
      <c r="A241" s="4" t="inlineStr">
        <is>
          <t>翰林</t>
        </is>
      </c>
      <c r="B241" s="4" t="inlineStr">
        <is>
          <t>國中</t>
        </is>
      </c>
      <c r="C241" s="4" t="inlineStr">
        <is>
          <t>9</t>
        </is>
      </c>
      <c r="D241" s="4" t="inlineStr">
        <is>
          <t>上</t>
        </is>
      </c>
      <c r="E241" s="4" t="inlineStr">
        <is>
          <t>社會-地理</t>
        </is>
      </c>
      <c r="F241" s="4" t="inlineStr">
        <is>
          <t>第一篇 世界風情（下） 第六章 兩極地區與全球氣候變遷</t>
        </is>
      </c>
      <c r="G241" s="4" t="n"/>
      <c r="H241" s="4" t="inlineStr">
        <is>
          <t>115</t>
        </is>
      </c>
      <c r="I241" s="4" t="inlineStr">
        <is>
          <t>出版商官網</t>
        </is>
      </c>
      <c r="J241" s="5" t="inlineStr">
        <is>
          <t>https://dl.hle.com.tw/1151/國中/01課程計畫/115翰林課程計畫_社會教學進度總表.zip</t>
        </is>
      </c>
      <c r="K24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2">
      <c r="A242" s="4" t="inlineStr">
        <is>
          <t>翰林</t>
        </is>
      </c>
      <c r="B242" s="4" t="inlineStr">
        <is>
          <t>國中</t>
        </is>
      </c>
      <c r="C242" s="4" t="inlineStr">
        <is>
          <t>9</t>
        </is>
      </c>
      <c r="D242" s="4" t="inlineStr">
        <is>
          <t>下</t>
        </is>
      </c>
      <c r="E242" s="4" t="inlineStr">
        <is>
          <t>社會-地理</t>
        </is>
      </c>
      <c r="F242" s="4" t="inlineStr">
        <is>
          <t>第一篇 地理議題 第一章 臺灣的地名文化</t>
        </is>
      </c>
      <c r="G242" s="4" t="n"/>
      <c r="H242" s="4" t="inlineStr">
        <is>
          <t>115</t>
        </is>
      </c>
      <c r="I242" s="4" t="inlineStr">
        <is>
          <t>出版商官網</t>
        </is>
      </c>
      <c r="J242" s="5" t="inlineStr">
        <is>
          <t>https://dl.hle.com.tw/1151/國中/01課程計畫/115翰林課程計畫_社會教學進度總表.zip</t>
        </is>
      </c>
      <c r="K242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3">
      <c r="A243" s="4" t="inlineStr">
        <is>
          <t>翰林</t>
        </is>
      </c>
      <c r="B243" s="4" t="inlineStr">
        <is>
          <t>國中</t>
        </is>
      </c>
      <c r="C243" s="4" t="inlineStr">
        <is>
          <t>9</t>
        </is>
      </c>
      <c r="D243" s="4" t="inlineStr">
        <is>
          <t>下</t>
        </is>
      </c>
      <c r="E243" s="4" t="inlineStr">
        <is>
          <t>社會-地理</t>
        </is>
      </c>
      <c r="F243" s="4" t="inlineStr">
        <is>
          <t>第一篇 地理議題 第二章 臺灣的農業發展與食品議題</t>
        </is>
      </c>
      <c r="G243" s="4" t="n"/>
      <c r="H243" s="4" t="inlineStr">
        <is>
          <t>115</t>
        </is>
      </c>
      <c r="I243" s="4" t="inlineStr">
        <is>
          <t>出版商官網</t>
        </is>
      </c>
      <c r="J243" s="5" t="inlineStr">
        <is>
          <t>https://dl.hle.com.tw/1151/國中/01課程計畫/115翰林課程計畫_社會教學進度總表.zip</t>
        </is>
      </c>
      <c r="K243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4">
      <c r="A244" s="4" t="inlineStr">
        <is>
          <t>翰林</t>
        </is>
      </c>
      <c r="B244" s="4" t="inlineStr">
        <is>
          <t>國中</t>
        </is>
      </c>
      <c r="C244" s="4" t="inlineStr">
        <is>
          <t>7</t>
        </is>
      </c>
      <c r="D244" s="4" t="inlineStr">
        <is>
          <t>上</t>
        </is>
      </c>
      <c r="E244" s="4" t="inlineStr">
        <is>
          <t>社會-歷史</t>
        </is>
      </c>
      <c r="F244" s="4" t="inlineStr">
        <is>
          <t>第二篇 臺灣的歷史(上) 導言：歷史的基礎觀念</t>
        </is>
      </c>
      <c r="G244" s="4" t="n"/>
      <c r="H244" s="4" t="inlineStr">
        <is>
          <t>115</t>
        </is>
      </c>
      <c r="I244" s="4" t="inlineStr">
        <is>
          <t>出版商官網</t>
        </is>
      </c>
      <c r="J244" s="5" t="inlineStr">
        <is>
          <t>https://dl.hle.com.tw/1151/國中/01課程計畫/115翰林課程計畫_社會教學進度總表.zip</t>
        </is>
      </c>
      <c r="K24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5">
      <c r="A245" s="4" t="inlineStr">
        <is>
          <t>翰林</t>
        </is>
      </c>
      <c r="B245" s="4" t="inlineStr">
        <is>
          <t>國中</t>
        </is>
      </c>
      <c r="C245" s="4" t="inlineStr">
        <is>
          <t>7</t>
        </is>
      </c>
      <c r="D245" s="4" t="inlineStr">
        <is>
          <t>上</t>
        </is>
      </c>
      <c r="E245" s="4" t="inlineStr">
        <is>
          <t>社會-歷史</t>
        </is>
      </c>
      <c r="F245" s="4" t="inlineStr">
        <is>
          <t>第二篇 臺灣的歷史(上) 第一章 史前臺灣與原住民文化</t>
        </is>
      </c>
      <c r="G245" s="4" t="n"/>
      <c r="H245" s="4" t="inlineStr">
        <is>
          <t>115</t>
        </is>
      </c>
      <c r="I245" s="4" t="inlineStr">
        <is>
          <t>出版商官網</t>
        </is>
      </c>
      <c r="J245" s="5" t="inlineStr">
        <is>
          <t>https://dl.hle.com.tw/1151/國中/01課程計畫/115翰林課程計畫_社會教學進度總表.zip</t>
        </is>
      </c>
      <c r="K24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6">
      <c r="A246" s="4" t="inlineStr">
        <is>
          <t>翰林</t>
        </is>
      </c>
      <c r="B246" s="4" t="inlineStr">
        <is>
          <t>國中</t>
        </is>
      </c>
      <c r="C246" s="4" t="inlineStr">
        <is>
          <t>7</t>
        </is>
      </c>
      <c r="D246" s="4" t="inlineStr">
        <is>
          <t>上</t>
        </is>
      </c>
      <c r="E246" s="4" t="inlineStr">
        <is>
          <t>社會-歷史</t>
        </is>
      </c>
      <c r="F246" s="4" t="inlineStr">
        <is>
          <t>第二篇 臺灣的歷史(上) 第二章 大航海時代各方勢力的競逐</t>
        </is>
      </c>
      <c r="G246" s="4" t="n"/>
      <c r="H246" s="4" t="inlineStr">
        <is>
          <t>115</t>
        </is>
      </c>
      <c r="I246" s="4" t="inlineStr">
        <is>
          <t>出版商官網</t>
        </is>
      </c>
      <c r="J246" s="5" t="inlineStr">
        <is>
          <t>https://dl.hle.com.tw/1151/國中/01課程計畫/115翰林課程計畫_社會教學進度總表.zip</t>
        </is>
      </c>
      <c r="K24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7">
      <c r="A247" s="4" t="inlineStr">
        <is>
          <t>翰林</t>
        </is>
      </c>
      <c r="B247" s="4" t="inlineStr">
        <is>
          <t>國中</t>
        </is>
      </c>
      <c r="C247" s="4" t="inlineStr">
        <is>
          <t>7</t>
        </is>
      </c>
      <c r="D247" s="4" t="inlineStr">
        <is>
          <t>上</t>
        </is>
      </c>
      <c r="E247" s="4" t="inlineStr">
        <is>
          <t>社會-歷史</t>
        </is>
      </c>
      <c r="F247" s="4" t="inlineStr">
        <is>
          <t>第二篇 臺灣的歷史(上) 第三章 大航海時代臺灣原住民與外來者</t>
        </is>
      </c>
      <c r="G247" s="4" t="n"/>
      <c r="H247" s="4" t="inlineStr">
        <is>
          <t>115</t>
        </is>
      </c>
      <c r="I247" s="4" t="inlineStr">
        <is>
          <t>出版商官網</t>
        </is>
      </c>
      <c r="J247" s="5" t="inlineStr">
        <is>
          <t>https://dl.hle.com.tw/1151/國中/01課程計畫/115翰林課程計畫_社會教學進度總表.zip</t>
        </is>
      </c>
      <c r="K24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8">
      <c r="A248" s="4" t="inlineStr">
        <is>
          <t>翰林</t>
        </is>
      </c>
      <c r="B248" s="4" t="inlineStr">
        <is>
          <t>國中</t>
        </is>
      </c>
      <c r="C248" s="4" t="inlineStr">
        <is>
          <t>7</t>
        </is>
      </c>
      <c r="D248" s="4" t="inlineStr">
        <is>
          <t>上</t>
        </is>
      </c>
      <c r="E248" s="4" t="inlineStr">
        <is>
          <t>社會-歷史</t>
        </is>
      </c>
      <c r="F248" s="4" t="inlineStr">
        <is>
          <t>第二篇 臺灣的歷史(上) 第四章 清帝國統治政策的變遷</t>
        </is>
      </c>
      <c r="G248" s="4" t="n"/>
      <c r="H248" s="4" t="inlineStr">
        <is>
          <t>115</t>
        </is>
      </c>
      <c r="I248" s="4" t="inlineStr">
        <is>
          <t>出版商官網</t>
        </is>
      </c>
      <c r="J248" s="5" t="inlineStr">
        <is>
          <t>https://dl.hle.com.tw/1151/國中/01課程計畫/115翰林課程計畫_社會教學進度總表.zip</t>
        </is>
      </c>
      <c r="K248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9">
      <c r="A249" s="4" t="inlineStr">
        <is>
          <t>翰林</t>
        </is>
      </c>
      <c r="B249" s="4" t="inlineStr">
        <is>
          <t>國中</t>
        </is>
      </c>
      <c r="C249" s="4" t="inlineStr">
        <is>
          <t>7</t>
        </is>
      </c>
      <c r="D249" s="4" t="inlineStr">
        <is>
          <t>上</t>
        </is>
      </c>
      <c r="E249" s="4" t="inlineStr">
        <is>
          <t>社會-歷史</t>
        </is>
      </c>
      <c r="F249" s="4" t="inlineStr">
        <is>
          <t>第二篇 臺灣的歷史(上) 第五章 清帝國時期農商業的發展</t>
        </is>
      </c>
      <c r="G249" s="4" t="n"/>
      <c r="H249" s="4" t="inlineStr">
        <is>
          <t>115</t>
        </is>
      </c>
      <c r="I249" s="4" t="inlineStr">
        <is>
          <t>出版商官網</t>
        </is>
      </c>
      <c r="J249" s="5" t="inlineStr">
        <is>
          <t>https://dl.hle.com.tw/1151/國中/01課程計畫/115翰林課程計畫_社會教學進度總表.zip</t>
        </is>
      </c>
      <c r="K249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0">
      <c r="A250" s="4" t="inlineStr">
        <is>
          <t>翰林</t>
        </is>
      </c>
      <c r="B250" s="4" t="inlineStr">
        <is>
          <t>國中</t>
        </is>
      </c>
      <c r="C250" s="4" t="inlineStr">
        <is>
          <t>7</t>
        </is>
      </c>
      <c r="D250" s="4" t="inlineStr">
        <is>
          <t>上</t>
        </is>
      </c>
      <c r="E250" s="4" t="inlineStr">
        <is>
          <t>社會-歷史</t>
        </is>
      </c>
      <c r="F250" s="4" t="inlineStr">
        <is>
          <t>第二篇 臺灣的歷史(上) 第六章 清帝國時期社會文化的變遷</t>
        </is>
      </c>
      <c r="G250" s="4" t="n"/>
      <c r="H250" s="4" t="inlineStr">
        <is>
          <t>115</t>
        </is>
      </c>
      <c r="I250" s="4" t="inlineStr">
        <is>
          <t>出版商官網</t>
        </is>
      </c>
      <c r="J250" s="5" t="inlineStr">
        <is>
          <t>https://dl.hle.com.tw/1151/國中/01課程計畫/115翰林課程計畫_社會教學進度總表.zip</t>
        </is>
      </c>
      <c r="K25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1">
      <c r="A251" s="4" t="inlineStr">
        <is>
          <t>翰林</t>
        </is>
      </c>
      <c r="B251" s="4" t="inlineStr">
        <is>
          <t>國中</t>
        </is>
      </c>
      <c r="C251" s="4" t="inlineStr">
        <is>
          <t>7</t>
        </is>
      </c>
      <c r="D251" s="4" t="inlineStr">
        <is>
          <t>下</t>
        </is>
      </c>
      <c r="E251" s="4" t="inlineStr">
        <is>
          <t>社會-歷史</t>
        </is>
      </c>
      <c r="F251" s="4" t="inlineStr">
        <is>
          <t>第二篇 臺灣的歷史（下） 第一章 日治時期的政治</t>
        </is>
      </c>
      <c r="G251" s="4" t="n"/>
      <c r="H251" s="4" t="inlineStr">
        <is>
          <t>115</t>
        </is>
      </c>
      <c r="I251" s="4" t="inlineStr">
        <is>
          <t>出版商官網</t>
        </is>
      </c>
      <c r="J251" s="5" t="inlineStr">
        <is>
          <t>https://dl.hle.com.tw/1151/國中/01課程計畫/115翰林課程計畫_社會教學進度總表.zip</t>
        </is>
      </c>
      <c r="K25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2">
      <c r="A252" s="4" t="inlineStr">
        <is>
          <t>翰林</t>
        </is>
      </c>
      <c r="B252" s="4" t="inlineStr">
        <is>
          <t>國中</t>
        </is>
      </c>
      <c r="C252" s="4" t="inlineStr">
        <is>
          <t>7</t>
        </is>
      </c>
      <c r="D252" s="4" t="inlineStr">
        <is>
          <t>下</t>
        </is>
      </c>
      <c r="E252" s="4" t="inlineStr">
        <is>
          <t>社會-歷史</t>
        </is>
      </c>
      <c r="F252" s="4" t="inlineStr">
        <is>
          <t>第二篇 臺灣的歷史（下） 第二章 日治時期的經濟</t>
        </is>
      </c>
      <c r="G252" s="4" t="n"/>
      <c r="H252" s="4" t="inlineStr">
        <is>
          <t>115</t>
        </is>
      </c>
      <c r="I252" s="4" t="inlineStr">
        <is>
          <t>出版商官網</t>
        </is>
      </c>
      <c r="J252" s="5" t="inlineStr">
        <is>
          <t>https://dl.hle.com.tw/1151/國中/01課程計畫/115翰林課程計畫_社會教學進度總表.zip</t>
        </is>
      </c>
      <c r="K25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3">
      <c r="A253" s="4" t="inlineStr">
        <is>
          <t>翰林</t>
        </is>
      </c>
      <c r="B253" s="4" t="inlineStr">
        <is>
          <t>國中</t>
        </is>
      </c>
      <c r="C253" s="4" t="inlineStr">
        <is>
          <t>7</t>
        </is>
      </c>
      <c r="D253" s="4" t="inlineStr">
        <is>
          <t>下</t>
        </is>
      </c>
      <c r="E253" s="4" t="inlineStr">
        <is>
          <t>社會-歷史</t>
        </is>
      </c>
      <c r="F253" s="4" t="inlineStr">
        <is>
          <t>第二篇 臺灣的歷史（下） 第三章 日治時期的社會與文化</t>
        </is>
      </c>
      <c r="G253" s="4" t="n"/>
      <c r="H253" s="4" t="inlineStr">
        <is>
          <t>115</t>
        </is>
      </c>
      <c r="I253" s="4" t="inlineStr">
        <is>
          <t>出版商官網</t>
        </is>
      </c>
      <c r="J253" s="5" t="inlineStr">
        <is>
          <t>https://dl.hle.com.tw/1151/國中/01課程計畫/115翰林課程計畫_社會教學進度總表.zip</t>
        </is>
      </c>
      <c r="K25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4">
      <c r="A254" s="4" t="inlineStr">
        <is>
          <t>翰林</t>
        </is>
      </c>
      <c r="B254" s="4" t="inlineStr">
        <is>
          <t>國中</t>
        </is>
      </c>
      <c r="C254" s="4" t="inlineStr">
        <is>
          <t>7</t>
        </is>
      </c>
      <c r="D254" s="4" t="inlineStr">
        <is>
          <t>下</t>
        </is>
      </c>
      <c r="E254" s="4" t="inlineStr">
        <is>
          <t>社會-歷史</t>
        </is>
      </c>
      <c r="F254" s="4" t="inlineStr">
        <is>
          <t>第二篇 臺灣的歷史（下） 第四章 戰後臺灣的政治</t>
        </is>
      </c>
      <c r="G254" s="4" t="n"/>
      <c r="H254" s="4" t="inlineStr">
        <is>
          <t>115</t>
        </is>
      </c>
      <c r="I254" s="4" t="inlineStr">
        <is>
          <t>出版商官網</t>
        </is>
      </c>
      <c r="J254" s="5" t="inlineStr">
        <is>
          <t>https://dl.hle.com.tw/1151/國中/01課程計畫/115翰林課程計畫_社會教學進度總表.zip</t>
        </is>
      </c>
      <c r="K254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5">
      <c r="A255" s="4" t="inlineStr">
        <is>
          <t>翰林</t>
        </is>
      </c>
      <c r="B255" s="4" t="inlineStr">
        <is>
          <t>國中</t>
        </is>
      </c>
      <c r="C255" s="4" t="inlineStr">
        <is>
          <t>7</t>
        </is>
      </c>
      <c r="D255" s="4" t="inlineStr">
        <is>
          <t>下</t>
        </is>
      </c>
      <c r="E255" s="4" t="inlineStr">
        <is>
          <t>社會-歷史</t>
        </is>
      </c>
      <c r="F255" s="4" t="inlineStr">
        <is>
          <t>第二篇 臺灣的歷史（下） 第五章 戰後臺灣的外交</t>
        </is>
      </c>
      <c r="G255" s="4" t="n"/>
      <c r="H255" s="4" t="inlineStr">
        <is>
          <t>115</t>
        </is>
      </c>
      <c r="I255" s="4" t="inlineStr">
        <is>
          <t>出版商官網</t>
        </is>
      </c>
      <c r="J255" s="5" t="inlineStr">
        <is>
          <t>https://dl.hle.com.tw/1151/國中/01課程計畫/115翰林課程計畫_社會教學進度總表.zip</t>
        </is>
      </c>
      <c r="K255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6">
      <c r="A256" s="4" t="inlineStr">
        <is>
          <t>翰林</t>
        </is>
      </c>
      <c r="B256" s="4" t="inlineStr">
        <is>
          <t>國中</t>
        </is>
      </c>
      <c r="C256" s="4" t="inlineStr">
        <is>
          <t>7</t>
        </is>
      </c>
      <c r="D256" s="4" t="inlineStr">
        <is>
          <t>下</t>
        </is>
      </c>
      <c r="E256" s="4" t="inlineStr">
        <is>
          <t>社會-歷史</t>
        </is>
      </c>
      <c r="F256" s="4" t="inlineStr">
        <is>
          <t>第二篇 臺灣的歷史（下） 第六章 戰後臺灣的經濟與社會</t>
        </is>
      </c>
      <c r="G256" s="4" t="n"/>
      <c r="H256" s="4" t="inlineStr">
        <is>
          <t>115</t>
        </is>
      </c>
      <c r="I256" s="4" t="inlineStr">
        <is>
          <t>出版商官網</t>
        </is>
      </c>
      <c r="J256" s="5" t="inlineStr">
        <is>
          <t>https://dl.hle.com.tw/1151/國中/01課程計畫/115翰林課程計畫_社會教學進度總表.zip</t>
        </is>
      </c>
      <c r="K25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7">
      <c r="A257" s="4" t="inlineStr">
        <is>
          <t>翰林</t>
        </is>
      </c>
      <c r="B257" s="4" t="inlineStr">
        <is>
          <t>國中</t>
        </is>
      </c>
      <c r="C257" s="4" t="inlineStr">
        <is>
          <t>8</t>
        </is>
      </c>
      <c r="D257" s="4" t="inlineStr">
        <is>
          <t>上</t>
        </is>
      </c>
      <c r="E257" s="4" t="inlineStr">
        <is>
          <t>社會-歷史</t>
        </is>
      </c>
      <c r="F257" s="4" t="inlineStr">
        <is>
          <t>第三篇 中國與東亞（上） 第一章 商周至隋唐時期的國家與社會</t>
        </is>
      </c>
      <c r="G257" s="4" t="n"/>
      <c r="H257" s="4" t="inlineStr">
        <is>
          <t>115</t>
        </is>
      </c>
      <c r="I257" s="4" t="inlineStr">
        <is>
          <t>出版商官網</t>
        </is>
      </c>
      <c r="J257" s="5" t="inlineStr">
        <is>
          <t>https://dl.hle.com.tw/1151/國中/01課程計畫/115翰林課程計畫_社會教學進度總表.zip</t>
        </is>
      </c>
      <c r="K25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8">
      <c r="A258" s="4" t="inlineStr">
        <is>
          <t>翰林</t>
        </is>
      </c>
      <c r="B258" s="4" t="inlineStr">
        <is>
          <t>國中</t>
        </is>
      </c>
      <c r="C258" s="4" t="inlineStr">
        <is>
          <t>8</t>
        </is>
      </c>
      <c r="D258" s="4" t="inlineStr">
        <is>
          <t>上</t>
        </is>
      </c>
      <c r="E258" s="4" t="inlineStr">
        <is>
          <t>社會-歷史</t>
        </is>
      </c>
      <c r="F258" s="4" t="inlineStr">
        <is>
          <t>第三篇 中國與東亞（上） 第二章 商周至隋唐時期的民族與文化</t>
        </is>
      </c>
      <c r="G258" s="4" t="n"/>
      <c r="H258" s="4" t="inlineStr">
        <is>
          <t>115</t>
        </is>
      </c>
      <c r="I258" s="4" t="inlineStr">
        <is>
          <t>出版商官網</t>
        </is>
      </c>
      <c r="J258" s="5" t="inlineStr">
        <is>
          <t>https://dl.hle.com.tw/1151/國中/01課程計畫/115翰林課程計畫_社會教學進度總表.zip</t>
        </is>
      </c>
      <c r="K25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9">
      <c r="A259" s="4" t="inlineStr">
        <is>
          <t>翰林</t>
        </is>
      </c>
      <c r="B259" s="4" t="inlineStr">
        <is>
          <t>國中</t>
        </is>
      </c>
      <c r="C259" s="4" t="inlineStr">
        <is>
          <t>8</t>
        </is>
      </c>
      <c r="D259" s="4" t="inlineStr">
        <is>
          <t>上</t>
        </is>
      </c>
      <c r="E259" s="4" t="inlineStr">
        <is>
          <t>社會-歷史</t>
        </is>
      </c>
      <c r="F259" s="4" t="inlineStr">
        <is>
          <t>第三篇 中國與東亞（上） 第三章 宋元多民族並立的時期</t>
        </is>
      </c>
      <c r="G259" s="4" t="n"/>
      <c r="H259" s="4" t="inlineStr">
        <is>
          <t>115</t>
        </is>
      </c>
      <c r="I259" s="4" t="inlineStr">
        <is>
          <t>出版商官網</t>
        </is>
      </c>
      <c r="J259" s="5" t="inlineStr">
        <is>
          <t>https://dl.hle.com.tw/1151/國中/01課程計畫/115翰林課程計畫_社會教學進度總表.zip</t>
        </is>
      </c>
      <c r="K25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0">
      <c r="A260" s="4" t="inlineStr">
        <is>
          <t>翰林</t>
        </is>
      </c>
      <c r="B260" s="4" t="inlineStr">
        <is>
          <t>國中</t>
        </is>
      </c>
      <c r="C260" s="4" t="inlineStr">
        <is>
          <t>8</t>
        </is>
      </c>
      <c r="D260" s="4" t="inlineStr">
        <is>
          <t>上</t>
        </is>
      </c>
      <c r="E260" s="4" t="inlineStr">
        <is>
          <t>社會-歷史</t>
        </is>
      </c>
      <c r="F260" s="4" t="inlineStr">
        <is>
          <t>第三篇 中國與東亞（上） 第四章 明清時期東亞世界的變動</t>
        </is>
      </c>
      <c r="G260" s="4" t="n"/>
      <c r="H260" s="4" t="inlineStr">
        <is>
          <t>115</t>
        </is>
      </c>
      <c r="I260" s="4" t="inlineStr">
        <is>
          <t>出版商官網</t>
        </is>
      </c>
      <c r="J260" s="5" t="inlineStr">
        <is>
          <t>https://dl.hle.com.tw/1151/國中/01課程計畫/115翰林課程計畫_社會教學進度總表.zip</t>
        </is>
      </c>
      <c r="K260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1">
      <c r="A261" s="4" t="inlineStr">
        <is>
          <t>翰林</t>
        </is>
      </c>
      <c r="B261" s="4" t="inlineStr">
        <is>
          <t>國中</t>
        </is>
      </c>
      <c r="C261" s="4" t="inlineStr">
        <is>
          <t>8</t>
        </is>
      </c>
      <c r="D261" s="4" t="inlineStr">
        <is>
          <t>上</t>
        </is>
      </c>
      <c r="E261" s="4" t="inlineStr">
        <is>
          <t>社會-歷史</t>
        </is>
      </c>
      <c r="F261" s="4" t="inlineStr">
        <is>
          <t>第三篇 中國與東亞（上） 第五章 西力衝擊下的東亞世界</t>
        </is>
      </c>
      <c r="G261" s="4" t="n"/>
      <c r="H261" s="4" t="inlineStr">
        <is>
          <t>115</t>
        </is>
      </c>
      <c r="I261" s="4" t="inlineStr">
        <is>
          <t>出版商官網</t>
        </is>
      </c>
      <c r="J261" s="5" t="inlineStr">
        <is>
          <t>https://dl.hle.com.tw/1151/國中/01課程計畫/115翰林課程計畫_社會教學進度總表.zip</t>
        </is>
      </c>
      <c r="K261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2">
      <c r="A262" s="4" t="inlineStr">
        <is>
          <t>翰林</t>
        </is>
      </c>
      <c r="B262" s="4" t="inlineStr">
        <is>
          <t>國中</t>
        </is>
      </c>
      <c r="C262" s="4" t="inlineStr">
        <is>
          <t>8</t>
        </is>
      </c>
      <c r="D262" s="4" t="inlineStr">
        <is>
          <t>上</t>
        </is>
      </c>
      <c r="E262" s="4" t="inlineStr">
        <is>
          <t>社會-歷史</t>
        </is>
      </c>
      <c r="F262" s="4" t="inlineStr">
        <is>
          <t>第三篇 中國與東亞（上） 第六章 清末變局與社會文化的變遷</t>
        </is>
      </c>
      <c r="G262" s="4" t="n"/>
      <c r="H262" s="4" t="inlineStr">
        <is>
          <t>115</t>
        </is>
      </c>
      <c r="I262" s="4" t="inlineStr">
        <is>
          <t>出版商官網</t>
        </is>
      </c>
      <c r="J262" s="5" t="inlineStr">
        <is>
          <t>https://dl.hle.com.tw/1151/國中/01課程計畫/115翰林課程計畫_社會教學進度總表.zip</t>
        </is>
      </c>
      <c r="K26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3">
      <c r="A263" s="4" t="inlineStr">
        <is>
          <t>翰林</t>
        </is>
      </c>
      <c r="B263" s="4" t="inlineStr">
        <is>
          <t>國中</t>
        </is>
      </c>
      <c r="C263" s="4" t="inlineStr">
        <is>
          <t>8</t>
        </is>
      </c>
      <c r="D263" s="4" t="inlineStr">
        <is>
          <t>下</t>
        </is>
      </c>
      <c r="E263" s="4" t="inlineStr">
        <is>
          <t>社會-歷史</t>
        </is>
      </c>
      <c r="F263" s="4" t="inlineStr">
        <is>
          <t>第二篇 中國與東亞（下） 第一章 中華民國的建立</t>
        </is>
      </c>
      <c r="G263" s="4" t="n"/>
      <c r="H263" s="4" t="inlineStr">
        <is>
          <t>115</t>
        </is>
      </c>
      <c r="I263" s="4" t="inlineStr">
        <is>
          <t>出版商官網</t>
        </is>
      </c>
      <c r="J263" s="5" t="inlineStr">
        <is>
          <t>https://dl.hle.com.tw/1151/國中/01課程計畫/115翰林課程計畫_社會教學進度總表.zip</t>
        </is>
      </c>
      <c r="K26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4">
      <c r="A264" s="4" t="inlineStr">
        <is>
          <t>翰林</t>
        </is>
      </c>
      <c r="B264" s="4" t="inlineStr">
        <is>
          <t>國中</t>
        </is>
      </c>
      <c r="C264" s="4" t="inlineStr">
        <is>
          <t>8</t>
        </is>
      </c>
      <c r="D264" s="4" t="inlineStr">
        <is>
          <t>下</t>
        </is>
      </c>
      <c r="E264" s="4" t="inlineStr">
        <is>
          <t>社會-歷史</t>
        </is>
      </c>
      <c r="F264" s="4" t="inlineStr">
        <is>
          <t>第二篇 中國與東亞（下） 第二章 舊傳統與新思潮</t>
        </is>
      </c>
      <c r="G264" s="4" t="n"/>
      <c r="H264" s="4" t="inlineStr">
        <is>
          <t>115</t>
        </is>
      </c>
      <c r="I264" s="4" t="inlineStr">
        <is>
          <t>出版商官網</t>
        </is>
      </c>
      <c r="J264" s="5" t="inlineStr">
        <is>
          <t>https://dl.hle.com.tw/1151/國中/01課程計畫/115翰林課程計畫_社會教學進度總表.zip</t>
        </is>
      </c>
      <c r="K26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5">
      <c r="A265" s="4" t="inlineStr">
        <is>
          <t>翰林</t>
        </is>
      </c>
      <c r="B265" s="4" t="inlineStr">
        <is>
          <t>國中</t>
        </is>
      </c>
      <c r="C265" s="4" t="inlineStr">
        <is>
          <t>8</t>
        </is>
      </c>
      <c r="D265" s="4" t="inlineStr">
        <is>
          <t>下</t>
        </is>
      </c>
      <c r="E265" s="4" t="inlineStr">
        <is>
          <t>社會-歷史</t>
        </is>
      </c>
      <c r="F265" s="4" t="inlineStr">
        <is>
          <t>第二篇 中國與東亞（下） 第三章 現代國家的挑戰</t>
        </is>
      </c>
      <c r="G265" s="4" t="n"/>
      <c r="H265" s="4" t="inlineStr">
        <is>
          <t>115</t>
        </is>
      </c>
      <c r="I265" s="4" t="inlineStr">
        <is>
          <t>出版商官網</t>
        </is>
      </c>
      <c r="J265" s="5" t="inlineStr">
        <is>
          <t>https://dl.hle.com.tw/1151/國中/01課程計畫/115翰林課程計畫_社會教學進度總表.zip</t>
        </is>
      </c>
      <c r="K26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6">
      <c r="A266" s="4" t="inlineStr">
        <is>
          <t>翰林</t>
        </is>
      </c>
      <c r="B266" s="4" t="inlineStr">
        <is>
          <t>國中</t>
        </is>
      </c>
      <c r="C266" s="4" t="inlineStr">
        <is>
          <t>8</t>
        </is>
      </c>
      <c r="D266" s="4" t="inlineStr">
        <is>
          <t>下</t>
        </is>
      </c>
      <c r="E266" s="4" t="inlineStr">
        <is>
          <t>社會-歷史</t>
        </is>
      </c>
      <c r="F266" s="4" t="inlineStr">
        <is>
          <t>第二篇 中國與東亞（下） 第四章 現代國家的變局</t>
        </is>
      </c>
      <c r="G266" s="4" t="n"/>
      <c r="H266" s="4" t="inlineStr">
        <is>
          <t>115</t>
        </is>
      </c>
      <c r="I266" s="4" t="inlineStr">
        <is>
          <t>出版商官網</t>
        </is>
      </c>
      <c r="J266" s="5" t="inlineStr">
        <is>
          <t>https://dl.hle.com.tw/1151/國中/01課程計畫/115翰林課程計畫_社會教學進度總表.zip</t>
        </is>
      </c>
      <c r="K266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7">
      <c r="A267" s="4" t="inlineStr">
        <is>
          <t>翰林</t>
        </is>
      </c>
      <c r="B267" s="4" t="inlineStr">
        <is>
          <t>國中</t>
        </is>
      </c>
      <c r="C267" s="4" t="inlineStr">
        <is>
          <t>8</t>
        </is>
      </c>
      <c r="D267" s="4" t="inlineStr">
        <is>
          <t>下</t>
        </is>
      </c>
      <c r="E267" s="4" t="inlineStr">
        <is>
          <t>社會-歷史</t>
        </is>
      </c>
      <c r="F267" s="4" t="inlineStr">
        <is>
          <t>第二篇 中國與東亞（下） 第五章 共產政權在中國</t>
        </is>
      </c>
      <c r="G267" s="4" t="n"/>
      <c r="H267" s="4" t="inlineStr">
        <is>
          <t>115</t>
        </is>
      </c>
      <c r="I267" s="4" t="inlineStr">
        <is>
          <t>出版商官網</t>
        </is>
      </c>
      <c r="J267" s="5" t="inlineStr">
        <is>
          <t>https://dl.hle.com.tw/1151/國中/01課程計畫/115翰林課程計畫_社會教學進度總表.zip</t>
        </is>
      </c>
      <c r="K267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8">
      <c r="A268" s="4" t="inlineStr">
        <is>
          <t>翰林</t>
        </is>
      </c>
      <c r="B268" s="4" t="inlineStr">
        <is>
          <t>國中</t>
        </is>
      </c>
      <c r="C268" s="4" t="inlineStr">
        <is>
          <t>8</t>
        </is>
      </c>
      <c r="D268" s="4" t="inlineStr">
        <is>
          <t>下</t>
        </is>
      </c>
      <c r="E268" s="4" t="inlineStr">
        <is>
          <t>社會-歷史</t>
        </is>
      </c>
      <c r="F268" s="4" t="inlineStr">
        <is>
          <t>第二篇 中國與東亞（下） 第六章 當代東亞的局勢</t>
        </is>
      </c>
      <c r="G268" s="4" t="n"/>
      <c r="H268" s="4" t="inlineStr">
        <is>
          <t>115</t>
        </is>
      </c>
      <c r="I268" s="4" t="inlineStr">
        <is>
          <t>出版商官網</t>
        </is>
      </c>
      <c r="J268" s="5" t="inlineStr">
        <is>
          <t>https://dl.hle.com.tw/1151/國中/01課程計畫/115翰林課程計畫_社會教學進度總表.zip</t>
        </is>
      </c>
      <c r="K26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9">
      <c r="A269" s="4" t="inlineStr">
        <is>
          <t>翰林</t>
        </is>
      </c>
      <c r="B269" s="4" t="inlineStr">
        <is>
          <t>國中</t>
        </is>
      </c>
      <c r="C269" s="4" t="inlineStr">
        <is>
          <t>9</t>
        </is>
      </c>
      <c r="D269" s="4" t="inlineStr">
        <is>
          <t>上</t>
        </is>
      </c>
      <c r="E269" s="4" t="inlineStr">
        <is>
          <t>社會-歷史</t>
        </is>
      </c>
      <c r="F269" s="4" t="inlineStr">
        <is>
          <t>第二篇 世界的歷史（上） 第一章 西亞與非洲的古文明</t>
        </is>
      </c>
      <c r="G269" s="4" t="n"/>
      <c r="H269" s="4" t="inlineStr">
        <is>
          <t>115</t>
        </is>
      </c>
      <c r="I269" s="4" t="inlineStr">
        <is>
          <t>出版商官網</t>
        </is>
      </c>
      <c r="J269" s="5" t="inlineStr">
        <is>
          <t>https://dl.hle.com.tw/1151/國中/01課程計畫/115翰林課程計畫_社會教學進度總表.zip</t>
        </is>
      </c>
      <c r="K26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0">
      <c r="A270" s="4" t="inlineStr">
        <is>
          <t>翰林</t>
        </is>
      </c>
      <c r="B270" s="4" t="inlineStr">
        <is>
          <t>國中</t>
        </is>
      </c>
      <c r="C270" s="4" t="inlineStr">
        <is>
          <t>9</t>
        </is>
      </c>
      <c r="D270" s="4" t="inlineStr">
        <is>
          <t>上</t>
        </is>
      </c>
      <c r="E270" s="4" t="inlineStr">
        <is>
          <t>社會-歷史</t>
        </is>
      </c>
      <c r="F270" s="4" t="inlineStr">
        <is>
          <t>第二篇 世界的歷史（上） 第二章 古希臘羅馬文化的開展</t>
        </is>
      </c>
      <c r="G270" s="4" t="n"/>
      <c r="H270" s="4" t="inlineStr">
        <is>
          <t>115</t>
        </is>
      </c>
      <c r="I270" s="4" t="inlineStr">
        <is>
          <t>出版商官網</t>
        </is>
      </c>
      <c r="J270" s="5" t="inlineStr">
        <is>
          <t>https://dl.hle.com.tw/1151/國中/01課程計畫/115翰林課程計畫_社會教學進度總表.zip</t>
        </is>
      </c>
      <c r="K27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1">
      <c r="A271" s="4" t="inlineStr">
        <is>
          <t>翰林</t>
        </is>
      </c>
      <c r="B271" s="4" t="inlineStr">
        <is>
          <t>國中</t>
        </is>
      </c>
      <c r="C271" s="4" t="inlineStr">
        <is>
          <t>9</t>
        </is>
      </c>
      <c r="D271" s="4" t="inlineStr">
        <is>
          <t>上</t>
        </is>
      </c>
      <c r="E271" s="4" t="inlineStr">
        <is>
          <t>社會-歷史</t>
        </is>
      </c>
      <c r="F271" s="4" t="inlineStr">
        <is>
          <t>第二篇 世界的歷史（上） 第三章 普世宗教的發展</t>
        </is>
      </c>
      <c r="G271" s="4" t="n"/>
      <c r="H271" s="4" t="inlineStr">
        <is>
          <t>115</t>
        </is>
      </c>
      <c r="I271" s="4" t="inlineStr">
        <is>
          <t>出版商官網</t>
        </is>
      </c>
      <c r="J271" s="5" t="inlineStr">
        <is>
          <t>https://dl.hle.com.tw/1151/國中/01課程計畫/115翰林課程計畫_社會教學進度總表.zip</t>
        </is>
      </c>
      <c r="K27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2">
      <c r="A272" s="4" t="inlineStr">
        <is>
          <t>翰林</t>
        </is>
      </c>
      <c r="B272" s="4" t="inlineStr">
        <is>
          <t>國中</t>
        </is>
      </c>
      <c r="C272" s="4" t="inlineStr">
        <is>
          <t>9</t>
        </is>
      </c>
      <c r="D272" s="4" t="inlineStr">
        <is>
          <t>上</t>
        </is>
      </c>
      <c r="E272" s="4" t="inlineStr">
        <is>
          <t>社會-歷史</t>
        </is>
      </c>
      <c r="F272" s="4" t="inlineStr">
        <is>
          <t>第二篇 世界的歷史（上） 第四章 近代歐洲與多元世界</t>
        </is>
      </c>
      <c r="G272" s="4" t="n"/>
      <c r="H272" s="4" t="inlineStr">
        <is>
          <t>115</t>
        </is>
      </c>
      <c r="I272" s="4" t="inlineStr">
        <is>
          <t>出版商官網</t>
        </is>
      </c>
      <c r="J272" s="5" t="inlineStr">
        <is>
          <t>https://dl.hle.com.tw/1151/國中/01課程計畫/115翰林課程計畫_社會教學進度總表.zip</t>
        </is>
      </c>
      <c r="K272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3">
      <c r="A273" s="4" t="inlineStr">
        <is>
          <t>翰林</t>
        </is>
      </c>
      <c r="B273" s="4" t="inlineStr">
        <is>
          <t>國中</t>
        </is>
      </c>
      <c r="C273" s="4" t="inlineStr">
        <is>
          <t>9</t>
        </is>
      </c>
      <c r="D273" s="4" t="inlineStr">
        <is>
          <t>上</t>
        </is>
      </c>
      <c r="E273" s="4" t="inlineStr">
        <is>
          <t>社會-歷史</t>
        </is>
      </c>
      <c r="F273" s="4" t="inlineStr">
        <is>
          <t>第二篇 世界的歷史（上） 第五章 近代歐洲的變革</t>
        </is>
      </c>
      <c r="G273" s="4" t="n"/>
      <c r="H273" s="4" t="inlineStr">
        <is>
          <t>115</t>
        </is>
      </c>
      <c r="I273" s="4" t="inlineStr">
        <is>
          <t>出版商官網</t>
        </is>
      </c>
      <c r="J273" s="5" t="inlineStr">
        <is>
          <t>https://dl.hle.com.tw/1151/國中/01課程計畫/115翰林課程計畫_社會教學進度總表.zip</t>
        </is>
      </c>
      <c r="K273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4">
      <c r="A274" s="4" t="inlineStr">
        <is>
          <t>翰林</t>
        </is>
      </c>
      <c r="B274" s="4" t="inlineStr">
        <is>
          <t>國中</t>
        </is>
      </c>
      <c r="C274" s="4" t="inlineStr">
        <is>
          <t>9</t>
        </is>
      </c>
      <c r="D274" s="4" t="inlineStr">
        <is>
          <t>上</t>
        </is>
      </c>
      <c r="E274" s="4" t="inlineStr">
        <is>
          <t>社會-歷史</t>
        </is>
      </c>
      <c r="F274" s="4" t="inlineStr">
        <is>
          <t>第二篇 世界的歷史（上） 第六章 現代世界的形成</t>
        </is>
      </c>
      <c r="G274" s="4" t="n"/>
      <c r="H274" s="4" t="inlineStr">
        <is>
          <t>115</t>
        </is>
      </c>
      <c r="I274" s="4" t="inlineStr">
        <is>
          <t>出版商官網</t>
        </is>
      </c>
      <c r="J274" s="5" t="inlineStr">
        <is>
          <t>https://dl.hle.com.tw/1151/國中/01課程計畫/115翰林課程計畫_社會教學進度總表.zip</t>
        </is>
      </c>
      <c r="K27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5">
      <c r="A275" s="4" t="inlineStr">
        <is>
          <t>翰林</t>
        </is>
      </c>
      <c r="B275" s="4" t="inlineStr">
        <is>
          <t>國中</t>
        </is>
      </c>
      <c r="C275" s="4" t="inlineStr">
        <is>
          <t>9</t>
        </is>
      </c>
      <c r="D275" s="4" t="inlineStr">
        <is>
          <t>下</t>
        </is>
      </c>
      <c r="E275" s="4" t="inlineStr">
        <is>
          <t>社會-歷史</t>
        </is>
      </c>
      <c r="F275" s="4" t="inlineStr">
        <is>
          <t>第二篇 世界的歷史（下） 第一章 工業革命與現代世界的形成</t>
        </is>
      </c>
      <c r="G275" s="4" t="n"/>
      <c r="H275" s="4" t="inlineStr">
        <is>
          <t>115</t>
        </is>
      </c>
      <c r="I275" s="4" t="inlineStr">
        <is>
          <t>出版商官網</t>
        </is>
      </c>
      <c r="J275" s="5" t="inlineStr">
        <is>
          <t>https://dl.hle.com.tw/1151/國中/01課程計畫/115翰林課程計畫_社會教學進度總表.zip</t>
        </is>
      </c>
      <c r="K275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6">
      <c r="A276" s="4" t="inlineStr">
        <is>
          <t>翰林</t>
        </is>
      </c>
      <c r="B276" s="4" t="inlineStr">
        <is>
          <t>國中</t>
        </is>
      </c>
      <c r="C276" s="4" t="inlineStr">
        <is>
          <t>9</t>
        </is>
      </c>
      <c r="D276" s="4" t="inlineStr">
        <is>
          <t>下</t>
        </is>
      </c>
      <c r="E276" s="4" t="inlineStr">
        <is>
          <t>社會-歷史</t>
        </is>
      </c>
      <c r="F276" s="4" t="inlineStr">
        <is>
          <t>第二篇 世界的歷史（下） 第二章 第一次世界大戰與戰後秩序</t>
        </is>
      </c>
      <c r="G276" s="4" t="n"/>
      <c r="H276" s="4" t="inlineStr">
        <is>
          <t>115</t>
        </is>
      </c>
      <c r="I276" s="4" t="inlineStr">
        <is>
          <t>出版商官網</t>
        </is>
      </c>
      <c r="J276" s="5" t="inlineStr">
        <is>
          <t>https://dl.hle.com.tw/1151/國中/01課程計畫/115翰林課程計畫_社會教學進度總表.zip</t>
        </is>
      </c>
      <c r="K276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7">
      <c r="A277" s="4" t="inlineStr">
        <is>
          <t>翰林</t>
        </is>
      </c>
      <c r="B277" s="4" t="inlineStr">
        <is>
          <t>國中</t>
        </is>
      </c>
      <c r="C277" s="4" t="inlineStr">
        <is>
          <t>9</t>
        </is>
      </c>
      <c r="D277" s="4" t="inlineStr">
        <is>
          <t>下</t>
        </is>
      </c>
      <c r="E277" s="4" t="inlineStr">
        <is>
          <t>社會-歷史</t>
        </is>
      </c>
      <c r="F277" s="4" t="inlineStr">
        <is>
          <t>第二篇 世界的歷史（下） 第三章 第二次世界大戰與戰後局勢</t>
        </is>
      </c>
      <c r="G277" s="4" t="n"/>
      <c r="H277" s="4" t="inlineStr">
        <is>
          <t>115</t>
        </is>
      </c>
      <c r="I277" s="4" t="inlineStr">
        <is>
          <t>出版商官網</t>
        </is>
      </c>
      <c r="J277" s="5" t="inlineStr">
        <is>
          <t>https://dl.hle.com.tw/1151/國中/01課程計畫/115翰林課程計畫_社會教學進度總表.zip</t>
        </is>
      </c>
      <c r="K277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8">
      <c r="A278" s="4" t="inlineStr">
        <is>
          <t>康軒</t>
        </is>
      </c>
      <c r="B278" s="4" t="inlineStr">
        <is>
          <t>國中</t>
        </is>
      </c>
      <c r="C278" s="4" t="inlineStr">
        <is>
          <t>7</t>
        </is>
      </c>
      <c r="D278" s="4" t="inlineStr">
        <is>
          <t>上</t>
        </is>
      </c>
      <c r="E278" s="4" t="inlineStr">
        <is>
          <t>國文</t>
        </is>
      </c>
      <c r="F278" s="4" t="inlineStr">
        <is>
          <t>第一課 夏夜</t>
        </is>
      </c>
      <c r="G278" s="4" t="n"/>
      <c r="H278" s="4" t="inlineStr">
        <is>
          <t>114</t>
        </is>
      </c>
      <c r="I278" s="4" t="inlineStr">
        <is>
          <t>學校課程計畫</t>
        </is>
      </c>
      <c r="J278" s="5" t="inlineStr">
        <is>
          <t>https://www.nmjh.tp.edu.tw/wp-content/uploads/doc/nmjh332/114七年級國語文領域.pdf</t>
        </is>
      </c>
      <c r="K278" s="4" t="inlineStr">
        <is>
          <t>114學年度多校康軒版國文課程計畫（臺北市南門國中、民生國中、新竹市竹光國中）及一校特教班教學總表列第一課〈夏夜〉；康軒國中影音高手亦有「B1L01_夏夜_課文朗讀」。第一課以外的課次見下列，其餘課次未查到</t>
        </is>
      </c>
    </row>
    <row r="279">
      <c r="A279" s="4" t="inlineStr">
        <is>
          <t>康軒</t>
        </is>
      </c>
      <c r="B279" s="4" t="inlineStr">
        <is>
          <t>國中</t>
        </is>
      </c>
      <c r="C279" s="4" t="inlineStr">
        <is>
          <t>7</t>
        </is>
      </c>
      <c r="D279" s="4" t="inlineStr">
        <is>
          <t>上</t>
        </is>
      </c>
      <c r="E279" s="4" t="inlineStr">
        <is>
          <t>國文</t>
        </is>
      </c>
      <c r="F279" s="4" t="inlineStr">
        <is>
          <t>第二課 吃冰的滋味</t>
        </is>
      </c>
      <c r="G279" s="4" t="n"/>
      <c r="H279" s="4" t="n"/>
      <c r="I279" s="4" t="inlineStr">
        <is>
          <t>其他</t>
        </is>
      </c>
      <c r="J279" s="5" t="inlineStr">
        <is>
          <t>https://acerksy.pixnet.net/blog/posts/14220018170</t>
        </is>
      </c>
      <c r="K279" s="4" t="inlineStr">
        <is>
          <t>取自部落格「七上康軒國語」課次列表，年度版次未標示，未經學校計畫確認</t>
        </is>
      </c>
    </row>
    <row r="280">
      <c r="A280" s="4" t="inlineStr">
        <is>
          <t>康軒</t>
        </is>
      </c>
      <c r="B280" s="4" t="inlineStr">
        <is>
          <t>國中</t>
        </is>
      </c>
      <c r="C280" s="4" t="inlineStr">
        <is>
          <t>7</t>
        </is>
      </c>
      <c r="D280" s="4" t="inlineStr">
        <is>
          <t>上</t>
        </is>
      </c>
      <c r="E280" s="4" t="inlineStr">
        <is>
          <t>國文</t>
        </is>
      </c>
      <c r="F280" s="4" t="inlineStr">
        <is>
          <t>第三課 善用時間的方法</t>
        </is>
      </c>
      <c r="G280" s="4" t="n"/>
      <c r="H280" s="4" t="n"/>
      <c r="I280" s="4" t="inlineStr">
        <is>
          <t>其他</t>
        </is>
      </c>
      <c r="J280" s="5" t="inlineStr">
        <is>
          <t>https://acerksy.pixnet.net/blog/posts/14220018170</t>
        </is>
      </c>
      <c r="K280" s="4" t="inlineStr">
        <is>
          <t>取自部落格「七上康軒國語」課次列表，年度版次未標示，未經學校計畫確認</t>
        </is>
      </c>
    </row>
    <row r="281">
      <c r="A281" s="4" t="inlineStr">
        <is>
          <t>康軒</t>
        </is>
      </c>
      <c r="B281" s="4" t="inlineStr">
        <is>
          <t>國中</t>
        </is>
      </c>
      <c r="C281" s="4" t="inlineStr">
        <is>
          <t>7</t>
        </is>
      </c>
      <c r="D281" s="4" t="inlineStr">
        <is>
          <t>上</t>
        </is>
      </c>
      <c r="E281" s="4" t="inlineStr">
        <is>
          <t>國文</t>
        </is>
      </c>
      <c r="F281" s="4" t="inlineStr">
        <is>
          <t>第四課 差不多先生傳</t>
        </is>
      </c>
      <c r="G281" s="4" t="n"/>
      <c r="H281" s="4" t="n"/>
      <c r="I281" s="4" t="inlineStr">
        <is>
          <t>其他</t>
        </is>
      </c>
      <c r="J281" s="5" t="inlineStr">
        <is>
          <t>https://acerksy.pixnet.net/blog/posts/14220018170</t>
        </is>
      </c>
      <c r="K281" s="4" t="inlineStr">
        <is>
          <t>取自部落格「七上康軒國語」課次列表，年度版次未標示，未經學校計畫確認；第五課以後未查到</t>
        </is>
      </c>
    </row>
    <row r="282">
      <c r="A282" s="6" t="inlineStr">
        <is>
          <t>康軒</t>
        </is>
      </c>
      <c r="B282" s="6" t="inlineStr">
        <is>
          <t>國中</t>
        </is>
      </c>
      <c r="C282" s="6" t="inlineStr">
        <is>
          <t>7</t>
        </is>
      </c>
      <c r="D282" s="6" t="inlineStr">
        <is>
          <t>下</t>
        </is>
      </c>
      <c r="E282" s="6" t="inlineStr">
        <is>
          <t>國文</t>
        </is>
      </c>
      <c r="F282" s="6" t="n"/>
      <c r="G282" s="6" t="n"/>
      <c r="H282" s="6" t="n"/>
      <c r="I282" s="6" t="inlineStr">
        <is>
          <t>其他</t>
        </is>
      </c>
      <c r="J282" s="6" t="n"/>
      <c r="K282" s="6" t="inlineStr">
        <is>
          <t>未查到（共用的網路搜尋次數額度已用完，未能完成此冊此科的搜尋）</t>
        </is>
      </c>
    </row>
    <row r="283">
      <c r="A283" s="6" t="inlineStr">
        <is>
          <t>康軒</t>
        </is>
      </c>
      <c r="B283" s="6" t="inlineStr">
        <is>
          <t>國中</t>
        </is>
      </c>
      <c r="C283" s="6" t="inlineStr">
        <is>
          <t>8</t>
        </is>
      </c>
      <c r="D283" s="6" t="inlineStr">
        <is>
          <t>上</t>
        </is>
      </c>
      <c r="E283" s="6" t="inlineStr">
        <is>
          <t>國文</t>
        </is>
      </c>
      <c r="F283" s="6" t="n"/>
      <c r="G283" s="6" t="n"/>
      <c r="H283" s="6" t="n"/>
      <c r="I283" s="6" t="inlineStr">
        <is>
          <t>其他</t>
        </is>
      </c>
      <c r="J283" s="6" t="n"/>
      <c r="K283" s="6" t="inlineStr">
        <is>
          <t>未查到（共用的網路搜尋次數額度已用完，未能完成此冊此科的搜尋）</t>
        </is>
      </c>
    </row>
    <row r="284">
      <c r="A284" s="4" t="inlineStr">
        <is>
          <t>康軒</t>
        </is>
      </c>
      <c r="B284" s="4" t="inlineStr">
        <is>
          <t>國中</t>
        </is>
      </c>
      <c r="C284" s="4" t="inlineStr">
        <is>
          <t>8</t>
        </is>
      </c>
      <c r="D284" s="4" t="inlineStr">
        <is>
          <t>下</t>
        </is>
      </c>
      <c r="E284" s="4" t="inlineStr">
        <is>
          <t>國文</t>
        </is>
      </c>
      <c r="F284" s="4" t="inlineStr">
        <is>
          <t>自學一 運動家的風度</t>
        </is>
      </c>
      <c r="G284" s="4" t="n"/>
      <c r="H284" s="4" t="n"/>
      <c r="I284" s="4" t="inlineStr">
        <is>
          <t>出版商頁面</t>
        </is>
      </c>
      <c r="J284" s="5" t="inlineStr">
        <is>
          <t>https://digitalmaster.knsh.com.tw/all/video/j/mandarin_page.html?l1=8%E4%B8%8B&amp;l2=%E8%87%AA%E4%B8%80%E3%80%80%E9%81%8B%E5%8B%95%E5%AE%B6%E7%9A%84%E9%A2%A8%E5%BA%A6</t>
        </is>
      </c>
      <c r="K284" s="4" t="inlineStr">
        <is>
          <t>僅從康軒國中影音高手頁面網址看到「8下 自一 運動家的風度」；其餘課次未查到；學年度未標示</t>
        </is>
      </c>
    </row>
    <row r="285">
      <c r="A285" s="6" t="inlineStr">
        <is>
          <t>康軒</t>
        </is>
      </c>
      <c r="B285" s="6" t="inlineStr">
        <is>
          <t>國中</t>
        </is>
      </c>
      <c r="C285" s="6" t="inlineStr">
        <is>
          <t>9</t>
        </is>
      </c>
      <c r="D285" s="6" t="inlineStr">
        <is>
          <t>上</t>
        </is>
      </c>
      <c r="E285" s="6" t="inlineStr">
        <is>
          <t>國文</t>
        </is>
      </c>
      <c r="F285" s="6" t="n"/>
      <c r="G285" s="6" t="n"/>
      <c r="H285" s="6" t="n"/>
      <c r="I285" s="6" t="inlineStr">
        <is>
          <t>其他</t>
        </is>
      </c>
      <c r="J285" s="6" t="n"/>
      <c r="K285" s="6" t="inlineStr">
        <is>
          <t>未查到（共用的網路搜尋次數額度已用完，未能完成此冊此科的搜尋）</t>
        </is>
      </c>
    </row>
    <row r="286">
      <c r="A286" s="6" t="inlineStr">
        <is>
          <t>康軒</t>
        </is>
      </c>
      <c r="B286" s="6" t="inlineStr">
        <is>
          <t>國中</t>
        </is>
      </c>
      <c r="C286" s="6" t="inlineStr">
        <is>
          <t>9</t>
        </is>
      </c>
      <c r="D286" s="6" t="inlineStr">
        <is>
          <t>下</t>
        </is>
      </c>
      <c r="E286" s="6" t="inlineStr">
        <is>
          <t>國文</t>
        </is>
      </c>
      <c r="F286" s="6" t="n"/>
      <c r="G286" s="6" t="n"/>
      <c r="H286" s="6" t="n"/>
      <c r="I286" s="6" t="inlineStr">
        <is>
          <t>其他</t>
        </is>
      </c>
      <c r="J286" s="6" t="n"/>
      <c r="K286" s="6" t="inlineStr">
        <is>
          <t>未查到（共用的網路搜尋次數額度已用完，未能完成此冊此科的搜尋）</t>
        </is>
      </c>
    </row>
    <row r="287">
      <c r="A287" s="6" t="inlineStr">
        <is>
          <t>康軒</t>
        </is>
      </c>
      <c r="B287" s="6" t="inlineStr">
        <is>
          <t>國中</t>
        </is>
      </c>
      <c r="C287" s="6" t="inlineStr">
        <is>
          <t>7</t>
        </is>
      </c>
      <c r="D287" s="6" t="inlineStr">
        <is>
          <t>上</t>
        </is>
      </c>
      <c r="E287" s="6" t="inlineStr">
        <is>
          <t>英文</t>
        </is>
      </c>
      <c r="F287" s="6" t="n"/>
      <c r="G287" s="6" t="n"/>
      <c r="H287" s="6" t="n"/>
      <c r="I287" s="6" t="inlineStr">
        <is>
          <t>其他</t>
        </is>
      </c>
      <c r="J287" s="6" t="n"/>
      <c r="K287" s="6" t="inlineStr">
        <is>
          <t>未查到（共用的網路搜尋次數額度已用完，未能完成此冊此科的搜尋）</t>
        </is>
      </c>
    </row>
    <row r="288">
      <c r="A288" s="6" t="inlineStr">
        <is>
          <t>康軒</t>
        </is>
      </c>
      <c r="B288" s="6" t="inlineStr">
        <is>
          <t>國中</t>
        </is>
      </c>
      <c r="C288" s="6" t="inlineStr">
        <is>
          <t>7</t>
        </is>
      </c>
      <c r="D288" s="6" t="inlineStr">
        <is>
          <t>下</t>
        </is>
      </c>
      <c r="E288" s="6" t="inlineStr">
        <is>
          <t>英文</t>
        </is>
      </c>
      <c r="F288" s="6" t="n"/>
      <c r="G288" s="6" t="n"/>
      <c r="H288" s="6" t="n"/>
      <c r="I288" s="6" t="inlineStr">
        <is>
          <t>其他</t>
        </is>
      </c>
      <c r="J288" s="6" t="n"/>
      <c r="K288" s="6" t="inlineStr">
        <is>
          <t>未查到（共用的網路搜尋次數額度已用完，未能完成此冊此科的搜尋）</t>
        </is>
      </c>
    </row>
    <row r="289">
      <c r="A289" s="6" t="inlineStr">
        <is>
          <t>康軒</t>
        </is>
      </c>
      <c r="B289" s="6" t="inlineStr">
        <is>
          <t>國中</t>
        </is>
      </c>
      <c r="C289" s="6" t="inlineStr">
        <is>
          <t>8</t>
        </is>
      </c>
      <c r="D289" s="6" t="inlineStr">
        <is>
          <t>上</t>
        </is>
      </c>
      <c r="E289" s="6" t="inlineStr">
        <is>
          <t>英文</t>
        </is>
      </c>
      <c r="F289" s="6" t="n"/>
      <c r="G289" s="6" t="n"/>
      <c r="H289" s="6" t="n"/>
      <c r="I289" s="6" t="inlineStr">
        <is>
          <t>其他</t>
        </is>
      </c>
      <c r="J289" s="6" t="n"/>
      <c r="K289" s="6" t="inlineStr">
        <is>
          <t>未查到（共用的網路搜尋次數額度已用完，未能完成此冊此科的搜尋）</t>
        </is>
      </c>
    </row>
    <row r="290">
      <c r="A290" s="6" t="inlineStr">
        <is>
          <t>康軒</t>
        </is>
      </c>
      <c r="B290" s="6" t="inlineStr">
        <is>
          <t>國中</t>
        </is>
      </c>
      <c r="C290" s="6" t="inlineStr">
        <is>
          <t>8</t>
        </is>
      </c>
      <c r="D290" s="6" t="inlineStr">
        <is>
          <t>下</t>
        </is>
      </c>
      <c r="E290" s="6" t="inlineStr">
        <is>
          <t>英文</t>
        </is>
      </c>
      <c r="F290" s="6" t="n"/>
      <c r="G290" s="6" t="n"/>
      <c r="H290" s="6" t="n"/>
      <c r="I290" s="6" t="inlineStr">
        <is>
          <t>其他</t>
        </is>
      </c>
      <c r="J290" s="6" t="n"/>
      <c r="K290" s="6" t="inlineStr">
        <is>
          <t>未查到（共用的網路搜尋次數額度已用完，未能完成此冊此科的搜尋）</t>
        </is>
      </c>
    </row>
    <row r="291">
      <c r="A291" s="6" t="inlineStr">
        <is>
          <t>康軒</t>
        </is>
      </c>
      <c r="B291" s="6" t="inlineStr">
        <is>
          <t>國中</t>
        </is>
      </c>
      <c r="C291" s="6" t="inlineStr">
        <is>
          <t>9</t>
        </is>
      </c>
      <c r="D291" s="6" t="inlineStr">
        <is>
          <t>上</t>
        </is>
      </c>
      <c r="E291" s="6" t="inlineStr">
        <is>
          <t>英文</t>
        </is>
      </c>
      <c r="F291" s="6" t="n"/>
      <c r="G291" s="6" t="n"/>
      <c r="H291" s="6" t="n"/>
      <c r="I291" s="6" t="inlineStr">
        <is>
          <t>其他</t>
        </is>
      </c>
      <c r="J291" s="6" t="n"/>
      <c r="K291" s="6" t="inlineStr">
        <is>
          <t>未查到（共用的網路搜尋次數額度已用完，未能完成此冊此科的搜尋）</t>
        </is>
      </c>
    </row>
    <row r="292">
      <c r="A292" s="6" t="inlineStr">
        <is>
          <t>康軒</t>
        </is>
      </c>
      <c r="B292" s="6" t="inlineStr">
        <is>
          <t>國中</t>
        </is>
      </c>
      <c r="C292" s="6" t="inlineStr">
        <is>
          <t>9</t>
        </is>
      </c>
      <c r="D292" s="6" t="inlineStr">
        <is>
          <t>下</t>
        </is>
      </c>
      <c r="E292" s="6" t="inlineStr">
        <is>
          <t>英文</t>
        </is>
      </c>
      <c r="F292" s="6" t="n"/>
      <c r="G292" s="6" t="n"/>
      <c r="H292" s="6" t="n"/>
      <c r="I292" s="6" t="inlineStr">
        <is>
          <t>其他</t>
        </is>
      </c>
      <c r="J292" s="6" t="n"/>
      <c r="K292" s="6" t="inlineStr">
        <is>
          <t>未查到（共用的網路搜尋次數額度已用完，未能完成此冊此科的搜尋）</t>
        </is>
      </c>
    </row>
    <row r="293">
      <c r="A293" s="4" t="inlineStr">
        <is>
          <t>康軒</t>
        </is>
      </c>
      <c r="B293" s="4" t="inlineStr">
        <is>
          <t>國中</t>
        </is>
      </c>
      <c r="C293" s="4" t="inlineStr">
        <is>
          <t>7</t>
        </is>
      </c>
      <c r="D293" s="4" t="inlineStr">
        <is>
          <t>上</t>
        </is>
      </c>
      <c r="E293" s="4" t="inlineStr">
        <is>
          <t>數學</t>
        </is>
      </c>
      <c r="F293" s="4" t="inlineStr">
        <is>
          <t>第1章 整數的運算</t>
        </is>
      </c>
      <c r="G293" s="4" t="inlineStr">
        <is>
          <t>1-1 負數與數線；1-2 整數的加減；1-3 整數的乘除與四則運算；1-4 指數記法與科學記號</t>
        </is>
      </c>
      <c r="H293" s="4" t="inlineStr">
        <is>
          <t>112</t>
        </is>
      </c>
      <c r="I293" s="4" t="inlineStr">
        <is>
          <t>其他</t>
        </is>
      </c>
      <c r="J293" s="5" t="inlineStr">
        <is>
          <t>https://www.learnmode.net/course/592128/content</t>
        </is>
      </c>
      <c r="K293" s="4" t="inlineStr">
        <is>
          <t>節名取自 LearnMode「(112學年) 康軒版─國中數學【七上】」目錄；彰化縣大村國中115學年度課程計畫（康軒版）可見第1章整數的運算、1-1 負數與數線、1-3 整數的乘除與四則運算，與此一致：https://www.curriculum.chc.edu.tw/storage/137/115/5-7%E6%95%B8%E5%AD%B8.pdf/PHHKAaoTMrf14KSv1nEscC86VW94PnKbCuS3kRSx.pdf</t>
        </is>
      </c>
    </row>
    <row r="294">
      <c r="A294" s="4" t="inlineStr">
        <is>
          <t>康軒</t>
        </is>
      </c>
      <c r="B294" s="4" t="inlineStr">
        <is>
          <t>國中</t>
        </is>
      </c>
      <c r="C294" s="4" t="inlineStr">
        <is>
          <t>7</t>
        </is>
      </c>
      <c r="D294" s="4" t="inlineStr">
        <is>
          <t>上</t>
        </is>
      </c>
      <c r="E294" s="4" t="inlineStr">
        <is>
          <t>數學</t>
        </is>
      </c>
      <c r="F294" s="4" t="inlineStr">
        <is>
          <t>第2章 分數的運算</t>
        </is>
      </c>
      <c r="G294" s="4" t="inlineStr">
        <is>
          <t>2-1 因數與倍數；2-2 最大公因數與最小公倍數；2-3 分數的四則運算；2-4 指數律</t>
        </is>
      </c>
      <c r="H294" s="4" t="inlineStr">
        <is>
          <t>112</t>
        </is>
      </c>
      <c r="I294" s="4" t="inlineStr">
        <is>
          <t>其他</t>
        </is>
      </c>
      <c r="J294" s="5" t="inlineStr">
        <is>
          <t>https://www.learnmode.net/course/592128/content</t>
        </is>
      </c>
      <c r="K294" s="4" t="inlineStr">
        <is>
          <t>取自 LearnMode 112學年康軒版七上目錄；未找到115學年度明確節名</t>
        </is>
      </c>
    </row>
    <row r="295">
      <c r="A295" s="4" t="inlineStr">
        <is>
          <t>康軒</t>
        </is>
      </c>
      <c r="B295" s="4" t="inlineStr">
        <is>
          <t>國中</t>
        </is>
      </c>
      <c r="C295" s="4" t="inlineStr">
        <is>
          <t>7</t>
        </is>
      </c>
      <c r="D295" s="4" t="inlineStr">
        <is>
          <t>上</t>
        </is>
      </c>
      <c r="E295" s="4" t="inlineStr">
        <is>
          <t>數學</t>
        </is>
      </c>
      <c r="F295" s="4" t="inlineStr">
        <is>
          <t>第3章 一元一次方程式</t>
        </is>
      </c>
      <c r="G295" s="4" t="inlineStr">
        <is>
          <t>3-1 代數式的化簡；3-2 一元一次方程式；3-3 應用問題</t>
        </is>
      </c>
      <c r="H295" s="4" t="inlineStr">
        <is>
          <t>112</t>
        </is>
      </c>
      <c r="I295" s="4" t="inlineStr">
        <is>
          <t>其他</t>
        </is>
      </c>
      <c r="J295" s="5" t="inlineStr">
        <is>
          <t>https://www.learnmode.net/course/592128/content</t>
        </is>
      </c>
      <c r="K295" s="4" t="inlineStr">
        <is>
          <t>取自 LearnMode 112學年康軒版七上目錄；均一「類康軒版」節名不同（3-1 以符號列式與運算等），以 LearnMode 為準</t>
        </is>
      </c>
    </row>
    <row r="296">
      <c r="A296" s="4" t="inlineStr">
        <is>
          <t>康軒</t>
        </is>
      </c>
      <c r="B296" s="4" t="inlineStr">
        <is>
          <t>國中</t>
        </is>
      </c>
      <c r="C296" s="4" t="inlineStr">
        <is>
          <t>7</t>
        </is>
      </c>
      <c r="D296" s="4" t="inlineStr">
        <is>
          <t>下</t>
        </is>
      </c>
      <c r="E296" s="4" t="inlineStr">
        <is>
          <t>數學</t>
        </is>
      </c>
      <c r="F296" s="4" t="inlineStr">
        <is>
          <t>第1章 二元一次聯立方程式</t>
        </is>
      </c>
      <c r="G296" s="4" t="inlineStr">
        <is>
          <t>1-1 二元一次方程式；1-2 解二元一次聯立方程式；1-3 應用問題</t>
        </is>
      </c>
      <c r="H296" s="4" t="n"/>
      <c r="I296" s="4" t="inlineStr">
        <is>
          <t>其他</t>
        </is>
      </c>
      <c r="J296" s="5" t="inlineStr">
        <is>
          <t>https://www.junyiacademy.org/topics/k-m7a</t>
        </is>
      </c>
      <c r="K296" s="4" t="inlineStr">
        <is>
          <t>取自均一教育平台「類康軒版」（標示依康軒版教科書編排），學年度未標示；LearnMode 107學年康軒版七下亦列此章名</t>
        </is>
      </c>
    </row>
    <row r="297">
      <c r="A297" s="4" t="inlineStr">
        <is>
          <t>康軒</t>
        </is>
      </c>
      <c r="B297" s="4" t="inlineStr">
        <is>
          <t>國中</t>
        </is>
      </c>
      <c r="C297" s="4" t="inlineStr">
        <is>
          <t>7</t>
        </is>
      </c>
      <c r="D297" s="4" t="inlineStr">
        <is>
          <t>下</t>
        </is>
      </c>
      <c r="E297" s="4" t="inlineStr">
        <is>
          <t>數學</t>
        </is>
      </c>
      <c r="F297" s="4" t="inlineStr">
        <is>
          <t>第2章 直角坐標與二元一次方程式的圖形</t>
        </is>
      </c>
      <c r="G297" s="4" t="inlineStr">
        <is>
          <t>2-1 直角坐標平面；2-2 二元一次方程式的圖形</t>
        </is>
      </c>
      <c r="H297" s="4" t="n"/>
      <c r="I297" s="4" t="inlineStr">
        <is>
          <t>其他</t>
        </is>
      </c>
      <c r="J297" s="5" t="inlineStr">
        <is>
          <t>https://www.junyiacademy.org/topics/k-m7a</t>
        </is>
      </c>
      <c r="K297" s="4" t="inlineStr">
        <is>
          <t>取自均一「類康軒版」，學年度未標示</t>
        </is>
      </c>
    </row>
    <row r="298">
      <c r="A298" s="4" t="inlineStr">
        <is>
          <t>康軒</t>
        </is>
      </c>
      <c r="B298" s="4" t="inlineStr">
        <is>
          <t>國中</t>
        </is>
      </c>
      <c r="C298" s="4" t="inlineStr">
        <is>
          <t>7</t>
        </is>
      </c>
      <c r="D298" s="4" t="inlineStr">
        <is>
          <t>下</t>
        </is>
      </c>
      <c r="E298" s="4" t="inlineStr">
        <is>
          <t>數學</t>
        </is>
      </c>
      <c r="F298" s="4" t="inlineStr">
        <is>
          <t>第3章 比與比例式</t>
        </is>
      </c>
      <c r="G298" s="4" t="inlineStr">
        <is>
          <t>3-1 比例式；3-2 正比與反比</t>
        </is>
      </c>
      <c r="H298" s="4" t="n"/>
      <c r="I298" s="4" t="inlineStr">
        <is>
          <t>其他</t>
        </is>
      </c>
      <c r="J298" s="5" t="inlineStr">
        <is>
          <t>https://www.junyiacademy.org/topics/k-m7a</t>
        </is>
      </c>
      <c r="K298" s="4" t="inlineStr">
        <is>
          <t>取自均一「類康軒版」，學年度未標示</t>
        </is>
      </c>
    </row>
    <row r="299">
      <c r="A299" s="4" t="inlineStr">
        <is>
          <t>康軒</t>
        </is>
      </c>
      <c r="B299" s="4" t="inlineStr">
        <is>
          <t>國中</t>
        </is>
      </c>
      <c r="C299" s="4" t="inlineStr">
        <is>
          <t>7</t>
        </is>
      </c>
      <c r="D299" s="4" t="inlineStr">
        <is>
          <t>下</t>
        </is>
      </c>
      <c r="E299" s="4" t="inlineStr">
        <is>
          <t>數學</t>
        </is>
      </c>
      <c r="F299" s="4" t="inlineStr">
        <is>
          <t>第4章 一元一次不等式</t>
        </is>
      </c>
      <c r="G299" s="4" t="inlineStr">
        <is>
          <t>4-1 認識一元一次不等式；4-2 解一元一次不等式</t>
        </is>
      </c>
      <c r="H299" s="4" t="n"/>
      <c r="I299" s="4" t="inlineStr">
        <is>
          <t>其他</t>
        </is>
      </c>
      <c r="J299" s="5" t="inlineStr">
        <is>
          <t>https://www.junyiacademy.org/topics/k-m7a</t>
        </is>
      </c>
      <c r="K299" s="4" t="inlineStr">
        <is>
          <t>取自均一「類康軒版」，學年度未標示</t>
        </is>
      </c>
    </row>
    <row r="300">
      <c r="A300" s="4" t="inlineStr">
        <is>
          <t>康軒</t>
        </is>
      </c>
      <c r="B300" s="4" t="inlineStr">
        <is>
          <t>國中</t>
        </is>
      </c>
      <c r="C300" s="4" t="inlineStr">
        <is>
          <t>7</t>
        </is>
      </c>
      <c r="D300" s="4" t="inlineStr">
        <is>
          <t>下</t>
        </is>
      </c>
      <c r="E300" s="4" t="inlineStr">
        <is>
          <t>數學</t>
        </is>
      </c>
      <c r="F300" s="4" t="inlineStr">
        <is>
          <t>第5章 統計</t>
        </is>
      </c>
      <c r="G300" s="4" t="n"/>
      <c r="H300" s="4" t="n"/>
      <c r="I300" s="4" t="inlineStr">
        <is>
          <t>其他</t>
        </is>
      </c>
      <c r="J300" s="5" t="inlineStr">
        <is>
          <t>https://www.junyiacademy.org/topics/k-m7a</t>
        </is>
      </c>
      <c r="K300" s="4" t="inlineStr">
        <is>
          <t>章名取自均一「類康軒版」，節名未查到</t>
        </is>
      </c>
    </row>
    <row r="301">
      <c r="A301" s="4" t="inlineStr">
        <is>
          <t>康軒</t>
        </is>
      </c>
      <c r="B301" s="4" t="inlineStr">
        <is>
          <t>國中</t>
        </is>
      </c>
      <c r="C301" s="4" t="inlineStr">
        <is>
          <t>7</t>
        </is>
      </c>
      <c r="D301" s="4" t="inlineStr">
        <is>
          <t>下</t>
        </is>
      </c>
      <c r="E301" s="4" t="inlineStr">
        <is>
          <t>數學</t>
        </is>
      </c>
      <c r="F301" s="4" t="inlineStr">
        <is>
          <t>第6章 生活中的幾何</t>
        </is>
      </c>
      <c r="G301" s="4" t="n"/>
      <c r="H301" s="4" t="n"/>
      <c r="I301" s="4" t="inlineStr">
        <is>
          <t>其他</t>
        </is>
      </c>
      <c r="J301" s="5" t="inlineStr">
        <is>
          <t>https://www.junyiacademy.org/topics/k-m7a</t>
        </is>
      </c>
      <c r="K301" s="4" t="inlineStr">
        <is>
          <t>章名取自均一「類康軒版」，節名未查到</t>
        </is>
      </c>
    </row>
    <row r="302">
      <c r="A302" s="4" t="inlineStr">
        <is>
          <t>康軒</t>
        </is>
      </c>
      <c r="B302" s="4" t="inlineStr">
        <is>
          <t>國中</t>
        </is>
      </c>
      <c r="C302" s="4" t="inlineStr">
        <is>
          <t>8</t>
        </is>
      </c>
      <c r="D302" s="4" t="inlineStr">
        <is>
          <t>上</t>
        </is>
      </c>
      <c r="E302" s="4" t="inlineStr">
        <is>
          <t>數學</t>
        </is>
      </c>
      <c r="F302" s="4" t="inlineStr">
        <is>
          <t>第1章 乘法公式與多項式</t>
        </is>
      </c>
      <c r="G302" s="4" t="inlineStr">
        <is>
          <t>1-1 乘法公式；1-2 多項式與其加減運算；1-3 多項式的乘除運算</t>
        </is>
      </c>
      <c r="H302" s="4" t="inlineStr">
        <is>
          <t>113</t>
        </is>
      </c>
      <c r="I302" s="4" t="inlineStr">
        <is>
          <t>其他</t>
        </is>
      </c>
      <c r="J302" s="5" t="inlineStr">
        <is>
          <t>https://www.junyiacademy.org/topics/k-m8a</t>
        </is>
      </c>
      <c r="K302" s="4" t="inlineStr">
        <is>
          <t>取自均一教育平台「類康軒版」八年級（標示依康軒版113學年度教科書章節架構編排）；未找到115學年度明確節名；LearnMode 110學年康軒版八上亦列相同主題</t>
        </is>
      </c>
    </row>
    <row r="303">
      <c r="A303" s="4" t="inlineStr">
        <is>
          <t>康軒</t>
        </is>
      </c>
      <c r="B303" s="4" t="inlineStr">
        <is>
          <t>國中</t>
        </is>
      </c>
      <c r="C303" s="4" t="inlineStr">
        <is>
          <t>8</t>
        </is>
      </c>
      <c r="D303" s="4" t="inlineStr">
        <is>
          <t>上</t>
        </is>
      </c>
      <c r="E303" s="4" t="inlineStr">
        <is>
          <t>數學</t>
        </is>
      </c>
      <c r="F303" s="4" t="inlineStr">
        <is>
          <t>第2章 平方根與畢氏定理</t>
        </is>
      </c>
      <c r="G303" s="4" t="inlineStr">
        <is>
          <t>2-1 平方根與近似值；2-2 根式的運算；2-3 畢氏定理</t>
        </is>
      </c>
      <c r="H303" s="4" t="inlineStr">
        <is>
          <t>113</t>
        </is>
      </c>
      <c r="I303" s="4" t="inlineStr">
        <is>
          <t>其他</t>
        </is>
      </c>
      <c r="J303" s="5" t="inlineStr">
        <is>
          <t>https://www.junyiacademy.org/topics/k-m8a</t>
        </is>
      </c>
      <c r="K303" s="4" t="inlineStr">
        <is>
          <t>取自均一教育平台「類康軒版」八年級（標示依康軒版113學年度教科書章節架構編排）；未找到115學年度明確節名</t>
        </is>
      </c>
    </row>
    <row r="304">
      <c r="A304" s="4" t="inlineStr">
        <is>
          <t>康軒</t>
        </is>
      </c>
      <c r="B304" s="4" t="inlineStr">
        <is>
          <t>國中</t>
        </is>
      </c>
      <c r="C304" s="4" t="inlineStr">
        <is>
          <t>8</t>
        </is>
      </c>
      <c r="D304" s="4" t="inlineStr">
        <is>
          <t>上</t>
        </is>
      </c>
      <c r="E304" s="4" t="inlineStr">
        <is>
          <t>數學</t>
        </is>
      </c>
      <c r="F304" s="4" t="inlineStr">
        <is>
          <t>第3章 因式分解</t>
        </is>
      </c>
      <c r="G304" s="4" t="inlineStr">
        <is>
          <t>3-1 利用提公因式與乘法公式做因式分解；3-2 利用十字交乘法做因式分解</t>
        </is>
      </c>
      <c r="H304" s="4" t="inlineStr">
        <is>
          <t>113</t>
        </is>
      </c>
      <c r="I304" s="4" t="inlineStr">
        <is>
          <t>其他</t>
        </is>
      </c>
      <c r="J304" s="5" t="inlineStr">
        <is>
          <t>https://www.junyiacademy.org/topics/k-m8a</t>
        </is>
      </c>
      <c r="K304" s="4" t="inlineStr">
        <is>
          <t>取自均一教育平台「類康軒版」八年級（標示依康軒版113學年度教科書章節架構編排）；未找到115學年度明確節名；LearnMode 110學年康軒版八上（https://www.learnmode.net/course/165854/content）節名相同</t>
        </is>
      </c>
    </row>
    <row r="305">
      <c r="A305" s="4" t="inlineStr">
        <is>
          <t>康軒</t>
        </is>
      </c>
      <c r="B305" s="4" t="inlineStr">
        <is>
          <t>國中</t>
        </is>
      </c>
      <c r="C305" s="4" t="inlineStr">
        <is>
          <t>8</t>
        </is>
      </c>
      <c r="D305" s="4" t="inlineStr">
        <is>
          <t>上</t>
        </is>
      </c>
      <c r="E305" s="4" t="inlineStr">
        <is>
          <t>數學</t>
        </is>
      </c>
      <c r="F305" s="4" t="inlineStr">
        <is>
          <t>第4章 一元二次方程式</t>
        </is>
      </c>
      <c r="G305" s="4" t="inlineStr">
        <is>
          <t>4-1 因式分解解一元二次方程式；4-2 配方法與公式解；4-3 應用問題</t>
        </is>
      </c>
      <c r="H305" s="4" t="inlineStr">
        <is>
          <t>113</t>
        </is>
      </c>
      <c r="I305" s="4" t="inlineStr">
        <is>
          <t>其他</t>
        </is>
      </c>
      <c r="J305" s="5" t="inlineStr">
        <is>
          <t>https://www.junyiacademy.org/topics/k-m8a</t>
        </is>
      </c>
      <c r="K305" s="4" t="inlineStr">
        <is>
          <t>4-1 取自均一「類康軒版」；4-2、4-3 見於搜尋摘要中彰化縣弘文中學113學年度第一學期國二數學（康軒版）教學進度表，該文件確切網址未取得</t>
        </is>
      </c>
    </row>
    <row r="306">
      <c r="A306" s="4" t="inlineStr">
        <is>
          <t>康軒</t>
        </is>
      </c>
      <c r="B306" s="4" t="inlineStr">
        <is>
          <t>國中</t>
        </is>
      </c>
      <c r="C306" s="4" t="inlineStr">
        <is>
          <t>8</t>
        </is>
      </c>
      <c r="D306" s="4" t="inlineStr">
        <is>
          <t>上</t>
        </is>
      </c>
      <c r="E306" s="4" t="inlineStr">
        <is>
          <t>數學</t>
        </is>
      </c>
      <c r="F306" s="4" t="inlineStr">
        <is>
          <t>第5章 統計資料處理</t>
        </is>
      </c>
      <c r="G306" s="4" t="inlineStr">
        <is>
          <t>5-1 資料整理與統計圖表</t>
        </is>
      </c>
      <c r="H306" s="4" t="inlineStr">
        <is>
          <t>113</t>
        </is>
      </c>
      <c r="I306" s="4" t="inlineStr">
        <is>
          <t>其他</t>
        </is>
      </c>
      <c r="J306" s="5" t="inlineStr">
        <is>
          <t>https://www.junyiacademy.org/topics/k-m8a</t>
        </is>
      </c>
      <c r="K306" s="4" t="inlineStr">
        <is>
          <t>取自均一教育平台「類康軒版」八年級（標示依康軒版113學年度教科書章節架構編排）；未找到115學年度明確節名；僅查到5-1</t>
        </is>
      </c>
    </row>
    <row r="307">
      <c r="A307" s="4" t="inlineStr">
        <is>
          <t>康軒</t>
        </is>
      </c>
      <c r="B307" s="4" t="inlineStr">
        <is>
          <t>國中</t>
        </is>
      </c>
      <c r="C307" s="4" t="inlineStr">
        <is>
          <t>8</t>
        </is>
      </c>
      <c r="D307" s="4" t="inlineStr">
        <is>
          <t>下</t>
        </is>
      </c>
      <c r="E307" s="4" t="inlineStr">
        <is>
          <t>數學</t>
        </is>
      </c>
      <c r="F307" s="4" t="inlineStr">
        <is>
          <t>第1章 數列與級數</t>
        </is>
      </c>
      <c r="G307" s="4" t="inlineStr">
        <is>
          <t>1-1 等差數列；1-2 等差級數；1-3 等比數列</t>
        </is>
      </c>
      <c r="H307" s="4" t="inlineStr">
        <is>
          <t>112</t>
        </is>
      </c>
      <c r="I307" s="4" t="inlineStr">
        <is>
          <t>其他</t>
        </is>
      </c>
      <c r="J307" s="5" t="inlineStr">
        <is>
          <t>https://www.learnmode.net/course/638732/content</t>
        </is>
      </c>
      <c r="K307" s="4" t="inlineStr">
        <is>
          <t>取自 LearnMode「(112學年) 康軒版─國中數學【八下】」目錄；未找到115學年度明確節名</t>
        </is>
      </c>
    </row>
    <row r="308">
      <c r="A308" s="4" t="inlineStr">
        <is>
          <t>康軒</t>
        </is>
      </c>
      <c r="B308" s="4" t="inlineStr">
        <is>
          <t>國中</t>
        </is>
      </c>
      <c r="C308" s="4" t="inlineStr">
        <is>
          <t>8</t>
        </is>
      </c>
      <c r="D308" s="4" t="inlineStr">
        <is>
          <t>下</t>
        </is>
      </c>
      <c r="E308" s="4" t="inlineStr">
        <is>
          <t>數學</t>
        </is>
      </c>
      <c r="F308" s="4" t="inlineStr">
        <is>
          <t>第2章 函數</t>
        </is>
      </c>
      <c r="G308" s="4" t="inlineStr">
        <is>
          <t>2-1 函數與函數圖形</t>
        </is>
      </c>
      <c r="H308" s="4" t="inlineStr">
        <is>
          <t>112</t>
        </is>
      </c>
      <c r="I308" s="4" t="inlineStr">
        <is>
          <t>其他</t>
        </is>
      </c>
      <c r="J308" s="5" t="inlineStr">
        <is>
          <t>https://www.learnmode.net/course/638732/content</t>
        </is>
      </c>
      <c r="K308" s="4" t="inlineStr">
        <is>
          <t>取自 LearnMode「(112學年) 康軒版─國中數學【八下】」目錄；未找到115學年度明確節名</t>
        </is>
      </c>
    </row>
    <row r="309">
      <c r="A309" s="4" t="inlineStr">
        <is>
          <t>康軒</t>
        </is>
      </c>
      <c r="B309" s="4" t="inlineStr">
        <is>
          <t>國中</t>
        </is>
      </c>
      <c r="C309" s="4" t="inlineStr">
        <is>
          <t>8</t>
        </is>
      </c>
      <c r="D309" s="4" t="inlineStr">
        <is>
          <t>下</t>
        </is>
      </c>
      <c r="E309" s="4" t="inlineStr">
        <is>
          <t>數學</t>
        </is>
      </c>
      <c r="F309" s="4" t="inlineStr">
        <is>
          <t>第3章 三角形的基本性質</t>
        </is>
      </c>
      <c r="G309" s="4" t="inlineStr">
        <is>
          <t>3-1 三角形與多邊形的內角與外角；3-2 尺規作圖；3-3 三角形的全等性質；3-4 中垂線與角平分線的性質；3-5 三角形的邊角關係</t>
        </is>
      </c>
      <c r="H309" s="4" t="inlineStr">
        <is>
          <t>112</t>
        </is>
      </c>
      <c r="I309" s="4" t="inlineStr">
        <is>
          <t>其他</t>
        </is>
      </c>
      <c r="J309" s="5" t="inlineStr">
        <is>
          <t>https://www.learnmode.net/course/638732/content</t>
        </is>
      </c>
      <c r="K309" s="4" t="inlineStr">
        <is>
          <t>取自 LearnMode「(112學年) 康軒版─國中數學【八下】」目錄；未找到115學年度明確節名</t>
        </is>
      </c>
    </row>
    <row r="310">
      <c r="A310" s="4" t="inlineStr">
        <is>
          <t>康軒</t>
        </is>
      </c>
      <c r="B310" s="4" t="inlineStr">
        <is>
          <t>國中</t>
        </is>
      </c>
      <c r="C310" s="4" t="inlineStr">
        <is>
          <t>8</t>
        </is>
      </c>
      <c r="D310" s="4" t="inlineStr">
        <is>
          <t>下</t>
        </is>
      </c>
      <c r="E310" s="4" t="inlineStr">
        <is>
          <t>數學</t>
        </is>
      </c>
      <c r="F310" s="4" t="inlineStr">
        <is>
          <t>第4章 平行與四邊形</t>
        </is>
      </c>
      <c r="G310" s="4" t="inlineStr">
        <is>
          <t>4-1 平行；4-2 平行四邊形；4-3 特殊四邊形的性質</t>
        </is>
      </c>
      <c r="H310" s="4" t="inlineStr">
        <is>
          <t>112</t>
        </is>
      </c>
      <c r="I310" s="4" t="inlineStr">
        <is>
          <t>其他</t>
        </is>
      </c>
      <c r="J310" s="5" t="inlineStr">
        <is>
          <t>https://www.learnmode.net/course/638732/content</t>
        </is>
      </c>
      <c r="K310" s="4" t="inlineStr">
        <is>
          <t>取自 LearnMode「(112學年) 康軒版─國中數學【八下】」目錄；未找到115學年度明確節名</t>
        </is>
      </c>
    </row>
    <row r="311">
      <c r="A311" s="4" t="inlineStr">
        <is>
          <t>康軒</t>
        </is>
      </c>
      <c r="B311" s="4" t="inlineStr">
        <is>
          <t>國中</t>
        </is>
      </c>
      <c r="C311" s="4" t="inlineStr">
        <is>
          <t>9</t>
        </is>
      </c>
      <c r="D311" s="4" t="inlineStr">
        <is>
          <t>上</t>
        </is>
      </c>
      <c r="E311" s="4" t="inlineStr">
        <is>
          <t>數學</t>
        </is>
      </c>
      <c r="F311" s="4" t="inlineStr">
        <is>
          <t>第1章 相似形</t>
        </is>
      </c>
      <c r="G311" s="4" t="inlineStr">
        <is>
          <t>1-1 連比例；1-2 比例線段；1-3 相似三角形判別性質；1-4 相似三角形的應用</t>
        </is>
      </c>
      <c r="H311" s="4" t="n"/>
      <c r="I311" s="4" t="inlineStr">
        <is>
          <t>出版商頁面</t>
        </is>
      </c>
      <c r="J311" s="5" t="inlineStr">
        <is>
          <t>https://digitalmaster.knsh.com.tw/ju/math/webgames/B5.html</t>
        </is>
      </c>
      <c r="K311" s="4" t="inlineStr">
        <is>
          <t>節名取自康軒數位高手「康軒互動遊戲區」B5（九上）頁面，該頁未標示學年度，且為遊戲目錄，可能未列出全部小節；章名另見均一「類康軒版」九年級（https://www.junyiacademy.org/topics/k-m9a）；均一將1-3列為「縮放與相似」，兩來源不一致</t>
        </is>
      </c>
    </row>
    <row r="312">
      <c r="A312" s="4" t="inlineStr">
        <is>
          <t>康軒</t>
        </is>
      </c>
      <c r="B312" s="4" t="inlineStr">
        <is>
          <t>國中</t>
        </is>
      </c>
      <c r="C312" s="4" t="inlineStr">
        <is>
          <t>9</t>
        </is>
      </c>
      <c r="D312" s="4" t="inlineStr">
        <is>
          <t>上</t>
        </is>
      </c>
      <c r="E312" s="4" t="inlineStr">
        <is>
          <t>數學</t>
        </is>
      </c>
      <c r="F312" s="4" t="inlineStr">
        <is>
          <t>第2章 圓</t>
        </is>
      </c>
      <c r="G312" s="4" t="inlineStr">
        <is>
          <t>2-1 點、直線與圓之間的位置關係；2-2 圓心角、圓周角與弧的關係</t>
        </is>
      </c>
      <c r="H312" s="4" t="n"/>
      <c r="I312" s="4" t="inlineStr">
        <is>
          <t>出版商頁面</t>
        </is>
      </c>
      <c r="J312" s="5" t="inlineStr">
        <is>
          <t>https://digitalmaster.knsh.com.tw/ju/math/webgames/B5.html</t>
        </is>
      </c>
      <c r="K312" s="4" t="inlineStr">
        <is>
          <t>節名取自康軒數位高手「康軒互動遊戲區」B5（九上）頁面，該頁未標示學年度，且為遊戲目錄，可能未列出全部小節；章名另見均一「類康軒版」九年級（https://www.junyiacademy.org/topics/k-m9a）</t>
        </is>
      </c>
    </row>
    <row r="313">
      <c r="A313" s="4" t="inlineStr">
        <is>
          <t>康軒</t>
        </is>
      </c>
      <c r="B313" s="4" t="inlineStr">
        <is>
          <t>國中</t>
        </is>
      </c>
      <c r="C313" s="4" t="inlineStr">
        <is>
          <t>9</t>
        </is>
      </c>
      <c r="D313" s="4" t="inlineStr">
        <is>
          <t>上</t>
        </is>
      </c>
      <c r="E313" s="4" t="inlineStr">
        <is>
          <t>數學</t>
        </is>
      </c>
      <c r="F313" s="4" t="inlineStr">
        <is>
          <t>第3章 幾何與證明</t>
        </is>
      </c>
      <c r="G313" s="4" t="inlineStr">
        <is>
          <t>3-1 證明與推理；3-2 三角形的外心、內心與重心</t>
        </is>
      </c>
      <c r="H313" s="4" t="n"/>
      <c r="I313" s="4" t="inlineStr">
        <is>
          <t>出版商頁面</t>
        </is>
      </c>
      <c r="J313" s="5" t="inlineStr">
        <is>
          <t>https://digitalmaster.knsh.com.tw/ju/math/webgames/B5.html</t>
        </is>
      </c>
      <c r="K313" s="4" t="inlineStr">
        <is>
          <t>節名取自康軒數位高手「康軒互動遊戲區」B5（九上）頁面，該頁未標示學年度，且為遊戲目錄，可能未列出全部小節；章名另見均一「類康軒版」九年級（https://www.junyiacademy.org/topics/k-m9a）</t>
        </is>
      </c>
    </row>
    <row r="314">
      <c r="A314" s="4" t="inlineStr">
        <is>
          <t>康軒</t>
        </is>
      </c>
      <c r="B314" s="4" t="inlineStr">
        <is>
          <t>國中</t>
        </is>
      </c>
      <c r="C314" s="4" t="inlineStr">
        <is>
          <t>9</t>
        </is>
      </c>
      <c r="D314" s="4" t="inlineStr">
        <is>
          <t>下</t>
        </is>
      </c>
      <c r="E314" s="4" t="inlineStr">
        <is>
          <t>數學</t>
        </is>
      </c>
      <c r="F314" s="4" t="inlineStr">
        <is>
          <t>第1章（章名未查到）</t>
        </is>
      </c>
      <c r="G314" s="4" t="inlineStr">
        <is>
          <t>1-1 二次函數的最大值與最小值</t>
        </is>
      </c>
      <c r="H314" s="4" t="n"/>
      <c r="I314" s="4" t="inlineStr">
        <is>
          <t>出版商頁面</t>
        </is>
      </c>
      <c r="J314" s="5" t="inlineStr">
        <is>
          <t>https://digitalmaster.knsh.com.tw/all/video/j/math_page.html?l1=%E7%BF%92%E4%BD%9C%E8%A7%A3%E9%A1%8C&amp;l2=9%E4%B8%8B</t>
        </is>
      </c>
      <c r="K314" s="4" t="inlineStr">
        <is>
          <t>取自康軒國中影音高手「習作解題 9下」目錄，僅見1-1，章名與其餘小節未查到；學年度未標示</t>
        </is>
      </c>
    </row>
    <row r="315">
      <c r="A315" s="4" t="inlineStr">
        <is>
          <t>康軒</t>
        </is>
      </c>
      <c r="B315" s="4" t="inlineStr">
        <is>
          <t>國中</t>
        </is>
      </c>
      <c r="C315" s="4" t="inlineStr">
        <is>
          <t>9</t>
        </is>
      </c>
      <c r="D315" s="4" t="inlineStr">
        <is>
          <t>下</t>
        </is>
      </c>
      <c r="E315" s="4" t="inlineStr">
        <is>
          <t>數學</t>
        </is>
      </c>
      <c r="F315" s="4" t="inlineStr">
        <is>
          <t>第2章 統計與機率</t>
        </is>
      </c>
      <c r="G315" s="4" t="inlineStr">
        <is>
          <t>2-1 資料的分析；2-2 機率</t>
        </is>
      </c>
      <c r="H315" s="4" t="n"/>
      <c r="I315" s="4" t="inlineStr">
        <is>
          <t>出版商頁面</t>
        </is>
      </c>
      <c r="J315" s="5" t="inlineStr">
        <is>
          <t>https://digitalmaster.knsh.com.tw/all/video/j/math_page.html?l1=%E7%BF%92%E4%BD%9C%E8%A7%A3%E9%A1%8C&amp;l2=9%E4%B8%8B</t>
        </is>
      </c>
      <c r="K315" s="4" t="inlineStr">
        <is>
          <t>取自康軒國中影音高手「習作解題 9下」目錄（含「第2章統計與機率綜合練習」）；學年度未標示</t>
        </is>
      </c>
    </row>
    <row r="316">
      <c r="A316" s="4" t="inlineStr">
        <is>
          <t>康軒</t>
        </is>
      </c>
      <c r="B316" s="4" t="inlineStr">
        <is>
          <t>國中</t>
        </is>
      </c>
      <c r="C316" s="4" t="inlineStr">
        <is>
          <t>9</t>
        </is>
      </c>
      <c r="D316" s="4" t="inlineStr">
        <is>
          <t>下</t>
        </is>
      </c>
      <c r="E316" s="4" t="inlineStr">
        <is>
          <t>數學</t>
        </is>
      </c>
      <c r="F316" s="4" t="inlineStr">
        <is>
          <t>第3章（章名未查到）</t>
        </is>
      </c>
      <c r="G316" s="4" t="inlineStr">
        <is>
          <t>3-1 空間中的線、平面與形體</t>
        </is>
      </c>
      <c r="H316" s="4" t="n"/>
      <c r="I316" s="4" t="inlineStr">
        <is>
          <t>出版商頁面</t>
        </is>
      </c>
      <c r="J316" s="5" t="inlineStr">
        <is>
          <t>https://digitalmaster.knsh.com.tw/ju/math/webgames/B6.html</t>
        </is>
      </c>
      <c r="K316" s="4" t="inlineStr">
        <is>
          <t>取自康軒互動遊戲區 B6 頁面（推定為九下，頁面未明示冊次）；章名與其餘小節未查到</t>
        </is>
      </c>
    </row>
    <row r="317">
      <c r="A317" s="6" t="inlineStr">
        <is>
          <t>康軒</t>
        </is>
      </c>
      <c r="B317" s="6" t="inlineStr">
        <is>
          <t>國中</t>
        </is>
      </c>
      <c r="C317" s="6" t="inlineStr">
        <is>
          <t>7</t>
        </is>
      </c>
      <c r="D317" s="6" t="inlineStr">
        <is>
          <t>上</t>
        </is>
      </c>
      <c r="E317" s="6" t="inlineStr">
        <is>
          <t>生物</t>
        </is>
      </c>
      <c r="F317" s="6" t="n"/>
      <c r="G317" s="6" t="n"/>
      <c r="H317" s="6" t="n"/>
      <c r="I317" s="6" t="inlineStr">
        <is>
          <t>其他</t>
        </is>
      </c>
      <c r="J317" s="6" t="n"/>
      <c r="K317" s="6" t="inlineStr">
        <is>
          <t>未查到（共用的網路搜尋次數額度已用完，未能完成此冊此科的搜尋）</t>
        </is>
      </c>
    </row>
    <row r="318">
      <c r="A318" s="6" t="inlineStr">
        <is>
          <t>康軒</t>
        </is>
      </c>
      <c r="B318" s="6" t="inlineStr">
        <is>
          <t>國中</t>
        </is>
      </c>
      <c r="C318" s="6" t="inlineStr">
        <is>
          <t>7</t>
        </is>
      </c>
      <c r="D318" s="6" t="inlineStr">
        <is>
          <t>下</t>
        </is>
      </c>
      <c r="E318" s="6" t="inlineStr">
        <is>
          <t>生物</t>
        </is>
      </c>
      <c r="F318" s="6" t="n"/>
      <c r="G318" s="6" t="n"/>
      <c r="H318" s="6" t="n"/>
      <c r="I318" s="6" t="inlineStr">
        <is>
          <t>其他</t>
        </is>
      </c>
      <c r="J318" s="6" t="n"/>
      <c r="K318" s="6" t="inlineStr">
        <is>
          <t>未查到（共用的網路搜尋次數額度已用完，未能完成此冊此科的搜尋）</t>
        </is>
      </c>
    </row>
    <row r="319">
      <c r="A319" s="6" t="inlineStr">
        <is>
          <t>康軒</t>
        </is>
      </c>
      <c r="B319" s="6" t="inlineStr">
        <is>
          <t>國中</t>
        </is>
      </c>
      <c r="C319" s="6" t="inlineStr">
        <is>
          <t>8</t>
        </is>
      </c>
      <c r="D319" s="6" t="inlineStr">
        <is>
          <t>上</t>
        </is>
      </c>
      <c r="E319" s="6" t="inlineStr">
        <is>
          <t>理化</t>
        </is>
      </c>
      <c r="F319" s="6" t="n"/>
      <c r="G319" s="6" t="n"/>
      <c r="H319" s="6" t="n"/>
      <c r="I319" s="6" t="inlineStr">
        <is>
          <t>其他</t>
        </is>
      </c>
      <c r="J319" s="6" t="n"/>
      <c r="K319" s="6" t="inlineStr">
        <is>
          <t>未查到（共用的網路搜尋次數額度已用完，未能完成此冊此科的搜尋）</t>
        </is>
      </c>
    </row>
    <row r="320">
      <c r="A320" s="6" t="inlineStr">
        <is>
          <t>康軒</t>
        </is>
      </c>
      <c r="B320" s="6" t="inlineStr">
        <is>
          <t>國中</t>
        </is>
      </c>
      <c r="C320" s="6" t="inlineStr">
        <is>
          <t>8</t>
        </is>
      </c>
      <c r="D320" s="6" t="inlineStr">
        <is>
          <t>下</t>
        </is>
      </c>
      <c r="E320" s="6" t="inlineStr">
        <is>
          <t>理化</t>
        </is>
      </c>
      <c r="F320" s="6" t="n"/>
      <c r="G320" s="6" t="n"/>
      <c r="H320" s="6" t="n"/>
      <c r="I320" s="6" t="inlineStr">
        <is>
          <t>其他</t>
        </is>
      </c>
      <c r="J320" s="6" t="n"/>
      <c r="K320" s="6" t="inlineStr">
        <is>
          <t>未查到（共用的網路搜尋次數額度已用完，未能完成此冊此科的搜尋）</t>
        </is>
      </c>
    </row>
    <row r="321">
      <c r="A321" s="6" t="inlineStr">
        <is>
          <t>康軒</t>
        </is>
      </c>
      <c r="B321" s="6" t="inlineStr">
        <is>
          <t>國中</t>
        </is>
      </c>
      <c r="C321" s="6" t="inlineStr">
        <is>
          <t>9</t>
        </is>
      </c>
      <c r="D321" s="6" t="inlineStr">
        <is>
          <t>上</t>
        </is>
      </c>
      <c r="E321" s="6" t="inlineStr">
        <is>
          <t>理化</t>
        </is>
      </c>
      <c r="F321" s="6" t="n"/>
      <c r="G321" s="6" t="n"/>
      <c r="H321" s="6" t="n"/>
      <c r="I321" s="6" t="inlineStr">
        <is>
          <t>其他</t>
        </is>
      </c>
      <c r="J321" s="6" t="n"/>
      <c r="K321" s="6" t="inlineStr">
        <is>
          <t>未查到（共用的網路搜尋次數額度已用完，未能完成此冊此科的搜尋）</t>
        </is>
      </c>
    </row>
    <row r="322">
      <c r="A322" s="6" t="inlineStr">
        <is>
          <t>康軒</t>
        </is>
      </c>
      <c r="B322" s="6" t="inlineStr">
        <is>
          <t>國中</t>
        </is>
      </c>
      <c r="C322" s="6" t="inlineStr">
        <is>
          <t>9</t>
        </is>
      </c>
      <c r="D322" s="6" t="inlineStr">
        <is>
          <t>下</t>
        </is>
      </c>
      <c r="E322" s="6" t="inlineStr">
        <is>
          <t>理化</t>
        </is>
      </c>
      <c r="F322" s="6" t="n"/>
      <c r="G322" s="6" t="n"/>
      <c r="H322" s="6" t="n"/>
      <c r="I322" s="6" t="inlineStr">
        <is>
          <t>其他</t>
        </is>
      </c>
      <c r="J322" s="6" t="n"/>
      <c r="K322" s="6" t="inlineStr">
        <is>
          <t>未查到（共用的網路搜尋次數額度已用完，未能完成此冊此科的搜尋）</t>
        </is>
      </c>
    </row>
    <row r="323">
      <c r="A323" s="6" t="inlineStr">
        <is>
          <t>康軒</t>
        </is>
      </c>
      <c r="B323" s="6" t="inlineStr">
        <is>
          <t>國中</t>
        </is>
      </c>
      <c r="C323" s="6" t="inlineStr">
        <is>
          <t>9</t>
        </is>
      </c>
      <c r="D323" s="6" t="inlineStr">
        <is>
          <t>上</t>
        </is>
      </c>
      <c r="E323" s="6" t="inlineStr">
        <is>
          <t>地球科學</t>
        </is>
      </c>
      <c r="F323" s="6" t="n"/>
      <c r="G323" s="6" t="n"/>
      <c r="H323" s="6" t="n"/>
      <c r="I323" s="6" t="inlineStr">
        <is>
          <t>其他</t>
        </is>
      </c>
      <c r="J323" s="6" t="n"/>
      <c r="K323" s="6" t="inlineStr">
        <is>
          <t>未查到（共用的網路搜尋次數額度已用完，未能完成此冊此科的搜尋）</t>
        </is>
      </c>
    </row>
    <row r="324">
      <c r="A324" s="6" t="inlineStr">
        <is>
          <t>康軒</t>
        </is>
      </c>
      <c r="B324" s="6" t="inlineStr">
        <is>
          <t>國中</t>
        </is>
      </c>
      <c r="C324" s="6" t="inlineStr">
        <is>
          <t>9</t>
        </is>
      </c>
      <c r="D324" s="6" t="inlineStr">
        <is>
          <t>下</t>
        </is>
      </c>
      <c r="E324" s="6" t="inlineStr">
        <is>
          <t>地球科學</t>
        </is>
      </c>
      <c r="F324" s="6" t="n"/>
      <c r="G324" s="6" t="n"/>
      <c r="H324" s="6" t="n"/>
      <c r="I324" s="6" t="inlineStr">
        <is>
          <t>其他</t>
        </is>
      </c>
      <c r="J324" s="6" t="n"/>
      <c r="K324" s="6" t="inlineStr">
        <is>
          <t>未查到（共用的網路搜尋次數額度已用完，未能完成此冊此科的搜尋）</t>
        </is>
      </c>
    </row>
    <row r="325">
      <c r="A325" s="6" t="inlineStr">
        <is>
          <t>康軒</t>
        </is>
      </c>
      <c r="B325" s="6" t="inlineStr">
        <is>
          <t>國中</t>
        </is>
      </c>
      <c r="C325" s="6" t="inlineStr">
        <is>
          <t>7</t>
        </is>
      </c>
      <c r="D325" s="6" t="inlineStr">
        <is>
          <t>上</t>
        </is>
      </c>
      <c r="E325" s="6" t="inlineStr">
        <is>
          <t>歷史</t>
        </is>
      </c>
      <c r="F325" s="6" t="n"/>
      <c r="G325" s="6" t="n"/>
      <c r="H325" s="6" t="n"/>
      <c r="I325" s="6" t="inlineStr">
        <is>
          <t>其他</t>
        </is>
      </c>
      <c r="J325" s="6" t="n"/>
      <c r="K325" s="6" t="inlineStr">
        <is>
          <t>未查到（共用的網路搜尋次數額度已用完，未能完成此冊此科的搜尋）</t>
        </is>
      </c>
    </row>
    <row r="326">
      <c r="A326" s="6" t="inlineStr">
        <is>
          <t>康軒</t>
        </is>
      </c>
      <c r="B326" s="6" t="inlineStr">
        <is>
          <t>國中</t>
        </is>
      </c>
      <c r="C326" s="6" t="inlineStr">
        <is>
          <t>7</t>
        </is>
      </c>
      <c r="D326" s="6" t="inlineStr">
        <is>
          <t>下</t>
        </is>
      </c>
      <c r="E326" s="6" t="inlineStr">
        <is>
          <t>歷史</t>
        </is>
      </c>
      <c r="F326" s="6" t="n"/>
      <c r="G326" s="6" t="n"/>
      <c r="H326" s="6" t="n"/>
      <c r="I326" s="6" t="inlineStr">
        <is>
          <t>其他</t>
        </is>
      </c>
      <c r="J326" s="6" t="n"/>
      <c r="K326" s="6" t="inlineStr">
        <is>
          <t>未查到（共用的網路搜尋次數額度已用完，未能完成此冊此科的搜尋）</t>
        </is>
      </c>
    </row>
    <row r="327">
      <c r="A327" s="6" t="inlineStr">
        <is>
          <t>康軒</t>
        </is>
      </c>
      <c r="B327" s="6" t="inlineStr">
        <is>
          <t>國中</t>
        </is>
      </c>
      <c r="C327" s="6" t="inlineStr">
        <is>
          <t>8</t>
        </is>
      </c>
      <c r="D327" s="6" t="inlineStr">
        <is>
          <t>上</t>
        </is>
      </c>
      <c r="E327" s="6" t="inlineStr">
        <is>
          <t>歷史</t>
        </is>
      </c>
      <c r="F327" s="6" t="n"/>
      <c r="G327" s="6" t="n"/>
      <c r="H327" s="6" t="n"/>
      <c r="I327" s="6" t="inlineStr">
        <is>
          <t>其他</t>
        </is>
      </c>
      <c r="J327" s="6" t="n"/>
      <c r="K327" s="6" t="inlineStr">
        <is>
          <t>未查到（共用的網路搜尋次數額度已用完，未能完成此冊此科的搜尋）</t>
        </is>
      </c>
    </row>
    <row r="328">
      <c r="A328" s="6" t="inlineStr">
        <is>
          <t>康軒</t>
        </is>
      </c>
      <c r="B328" s="6" t="inlineStr">
        <is>
          <t>國中</t>
        </is>
      </c>
      <c r="C328" s="6" t="inlineStr">
        <is>
          <t>8</t>
        </is>
      </c>
      <c r="D328" s="6" t="inlineStr">
        <is>
          <t>下</t>
        </is>
      </c>
      <c r="E328" s="6" t="inlineStr">
        <is>
          <t>歷史</t>
        </is>
      </c>
      <c r="F328" s="6" t="n"/>
      <c r="G328" s="6" t="n"/>
      <c r="H328" s="6" t="n"/>
      <c r="I328" s="6" t="inlineStr">
        <is>
          <t>其他</t>
        </is>
      </c>
      <c r="J328" s="6" t="n"/>
      <c r="K328" s="6" t="inlineStr">
        <is>
          <t>未查到（共用的網路搜尋次數額度已用完，未能完成此冊此科的搜尋）</t>
        </is>
      </c>
    </row>
    <row r="329">
      <c r="A329" s="6" t="inlineStr">
        <is>
          <t>康軒</t>
        </is>
      </c>
      <c r="B329" s="6" t="inlineStr">
        <is>
          <t>國中</t>
        </is>
      </c>
      <c r="C329" s="6" t="inlineStr">
        <is>
          <t>9</t>
        </is>
      </c>
      <c r="D329" s="6" t="inlineStr">
        <is>
          <t>上</t>
        </is>
      </c>
      <c r="E329" s="6" t="inlineStr">
        <is>
          <t>歷史</t>
        </is>
      </c>
      <c r="F329" s="6" t="n"/>
      <c r="G329" s="6" t="n"/>
      <c r="H329" s="6" t="n"/>
      <c r="I329" s="6" t="inlineStr">
        <is>
          <t>其他</t>
        </is>
      </c>
      <c r="J329" s="6" t="n"/>
      <c r="K329" s="6" t="inlineStr">
        <is>
          <t>未查到（共用的網路搜尋次數額度已用完，未能完成此冊此科的搜尋）</t>
        </is>
      </c>
    </row>
    <row r="330">
      <c r="A330" s="6" t="inlineStr">
        <is>
          <t>康軒</t>
        </is>
      </c>
      <c r="B330" s="6" t="inlineStr">
        <is>
          <t>國中</t>
        </is>
      </c>
      <c r="C330" s="6" t="inlineStr">
        <is>
          <t>9</t>
        </is>
      </c>
      <c r="D330" s="6" t="inlineStr">
        <is>
          <t>下</t>
        </is>
      </c>
      <c r="E330" s="6" t="inlineStr">
        <is>
          <t>歷史</t>
        </is>
      </c>
      <c r="F330" s="6" t="n"/>
      <c r="G330" s="6" t="n"/>
      <c r="H330" s="6" t="n"/>
      <c r="I330" s="6" t="inlineStr">
        <is>
          <t>其他</t>
        </is>
      </c>
      <c r="J330" s="6" t="n"/>
      <c r="K330" s="6" t="inlineStr">
        <is>
          <t>未查到（共用的網路搜尋次數額度已用完，未能完成此冊此科的搜尋）</t>
        </is>
      </c>
    </row>
    <row r="331">
      <c r="A331" s="6" t="inlineStr">
        <is>
          <t>康軒</t>
        </is>
      </c>
      <c r="B331" s="6" t="inlineStr">
        <is>
          <t>國中</t>
        </is>
      </c>
      <c r="C331" s="6" t="inlineStr">
        <is>
          <t>7</t>
        </is>
      </c>
      <c r="D331" s="6" t="inlineStr">
        <is>
          <t>上</t>
        </is>
      </c>
      <c r="E331" s="6" t="inlineStr">
        <is>
          <t>地理</t>
        </is>
      </c>
      <c r="F331" s="6" t="n"/>
      <c r="G331" s="6" t="n"/>
      <c r="H331" s="6" t="n"/>
      <c r="I331" s="6" t="inlineStr">
        <is>
          <t>其他</t>
        </is>
      </c>
      <c r="J331" s="6" t="n"/>
      <c r="K331" s="6" t="inlineStr">
        <is>
          <t>未查到（共用的網路搜尋次數額度已用完，未能完成此冊此科的搜尋）</t>
        </is>
      </c>
    </row>
    <row r="332">
      <c r="A332" s="6" t="inlineStr">
        <is>
          <t>康軒</t>
        </is>
      </c>
      <c r="B332" s="6" t="inlineStr">
        <is>
          <t>國中</t>
        </is>
      </c>
      <c r="C332" s="6" t="inlineStr">
        <is>
          <t>7</t>
        </is>
      </c>
      <c r="D332" s="6" t="inlineStr">
        <is>
          <t>下</t>
        </is>
      </c>
      <c r="E332" s="6" t="inlineStr">
        <is>
          <t>地理</t>
        </is>
      </c>
      <c r="F332" s="6" t="n"/>
      <c r="G332" s="6" t="n"/>
      <c r="H332" s="6" t="n"/>
      <c r="I332" s="6" t="inlineStr">
        <is>
          <t>其他</t>
        </is>
      </c>
      <c r="J332" s="6" t="n"/>
      <c r="K332" s="6" t="inlineStr">
        <is>
          <t>未查到（共用的網路搜尋次數額度已用完，未能完成此冊此科的搜尋）</t>
        </is>
      </c>
    </row>
    <row r="333">
      <c r="A333" s="6" t="inlineStr">
        <is>
          <t>康軒</t>
        </is>
      </c>
      <c r="B333" s="6" t="inlineStr">
        <is>
          <t>國中</t>
        </is>
      </c>
      <c r="C333" s="6" t="inlineStr">
        <is>
          <t>8</t>
        </is>
      </c>
      <c r="D333" s="6" t="inlineStr">
        <is>
          <t>上</t>
        </is>
      </c>
      <c r="E333" s="6" t="inlineStr">
        <is>
          <t>地理</t>
        </is>
      </c>
      <c r="F333" s="6" t="n"/>
      <c r="G333" s="6" t="n"/>
      <c r="H333" s="6" t="n"/>
      <c r="I333" s="6" t="inlineStr">
        <is>
          <t>其他</t>
        </is>
      </c>
      <c r="J333" s="6" t="n"/>
      <c r="K333" s="6" t="inlineStr">
        <is>
          <t>未查到（共用的網路搜尋次數額度已用完，未能完成此冊此科的搜尋）</t>
        </is>
      </c>
    </row>
    <row r="334">
      <c r="A334" s="6" t="inlineStr">
        <is>
          <t>康軒</t>
        </is>
      </c>
      <c r="B334" s="6" t="inlineStr">
        <is>
          <t>國中</t>
        </is>
      </c>
      <c r="C334" s="6" t="inlineStr">
        <is>
          <t>8</t>
        </is>
      </c>
      <c r="D334" s="6" t="inlineStr">
        <is>
          <t>下</t>
        </is>
      </c>
      <c r="E334" s="6" t="inlineStr">
        <is>
          <t>地理</t>
        </is>
      </c>
      <c r="F334" s="6" t="n"/>
      <c r="G334" s="6" t="n"/>
      <c r="H334" s="6" t="n"/>
      <c r="I334" s="6" t="inlineStr">
        <is>
          <t>其他</t>
        </is>
      </c>
      <c r="J334" s="6" t="n"/>
      <c r="K334" s="6" t="inlineStr">
        <is>
          <t>未查到（共用的網路搜尋次數額度已用完，未能完成此冊此科的搜尋）</t>
        </is>
      </c>
    </row>
    <row r="335">
      <c r="A335" s="6" t="inlineStr">
        <is>
          <t>康軒</t>
        </is>
      </c>
      <c r="B335" s="6" t="inlineStr">
        <is>
          <t>國中</t>
        </is>
      </c>
      <c r="C335" s="6" t="inlineStr">
        <is>
          <t>9</t>
        </is>
      </c>
      <c r="D335" s="6" t="inlineStr">
        <is>
          <t>上</t>
        </is>
      </c>
      <c r="E335" s="6" t="inlineStr">
        <is>
          <t>地理</t>
        </is>
      </c>
      <c r="F335" s="6" t="n"/>
      <c r="G335" s="6" t="n"/>
      <c r="H335" s="6" t="n"/>
      <c r="I335" s="6" t="inlineStr">
        <is>
          <t>其他</t>
        </is>
      </c>
      <c r="J335" s="6" t="n"/>
      <c r="K335" s="6" t="inlineStr">
        <is>
          <t>未查到（共用的網路搜尋次數額度已用完，未能完成此冊此科的搜尋）</t>
        </is>
      </c>
    </row>
    <row r="336">
      <c r="A336" s="6" t="inlineStr">
        <is>
          <t>康軒</t>
        </is>
      </c>
      <c r="B336" s="6" t="inlineStr">
        <is>
          <t>國中</t>
        </is>
      </c>
      <c r="C336" s="6" t="inlineStr">
        <is>
          <t>9</t>
        </is>
      </c>
      <c r="D336" s="6" t="inlineStr">
        <is>
          <t>下</t>
        </is>
      </c>
      <c r="E336" s="6" t="inlineStr">
        <is>
          <t>地理</t>
        </is>
      </c>
      <c r="F336" s="6" t="n"/>
      <c r="G336" s="6" t="n"/>
      <c r="H336" s="6" t="n"/>
      <c r="I336" s="6" t="inlineStr">
        <is>
          <t>其他</t>
        </is>
      </c>
      <c r="J336" s="6" t="n"/>
      <c r="K336" s="6" t="inlineStr">
        <is>
          <t>未查到（共用的網路搜尋次數額度已用完，未能完成此冊此科的搜尋）</t>
        </is>
      </c>
    </row>
    <row r="337">
      <c r="A337" s="6" t="inlineStr">
        <is>
          <t>康軒</t>
        </is>
      </c>
      <c r="B337" s="6" t="inlineStr">
        <is>
          <t>國中</t>
        </is>
      </c>
      <c r="C337" s="6" t="inlineStr">
        <is>
          <t>7</t>
        </is>
      </c>
      <c r="D337" s="6" t="inlineStr">
        <is>
          <t>上</t>
        </is>
      </c>
      <c r="E337" s="6" t="inlineStr">
        <is>
          <t>公民</t>
        </is>
      </c>
      <c r="F337" s="6" t="n"/>
      <c r="G337" s="6" t="n"/>
      <c r="H337" s="6" t="n"/>
      <c r="I337" s="6" t="inlineStr">
        <is>
          <t>其他</t>
        </is>
      </c>
      <c r="J337" s="6" t="n"/>
      <c r="K337" s="6" t="inlineStr">
        <is>
          <t>未查到（共用的網路搜尋次數額度已用完，未能完成此冊此科的搜尋）</t>
        </is>
      </c>
    </row>
    <row r="338">
      <c r="A338" s="6" t="inlineStr">
        <is>
          <t>康軒</t>
        </is>
      </c>
      <c r="B338" s="6" t="inlineStr">
        <is>
          <t>國中</t>
        </is>
      </c>
      <c r="C338" s="6" t="inlineStr">
        <is>
          <t>7</t>
        </is>
      </c>
      <c r="D338" s="6" t="inlineStr">
        <is>
          <t>下</t>
        </is>
      </c>
      <c r="E338" s="6" t="inlineStr">
        <is>
          <t>公民</t>
        </is>
      </c>
      <c r="F338" s="6" t="n"/>
      <c r="G338" s="6" t="n"/>
      <c r="H338" s="6" t="n"/>
      <c r="I338" s="6" t="inlineStr">
        <is>
          <t>其他</t>
        </is>
      </c>
      <c r="J338" s="6" t="n"/>
      <c r="K338" s="6" t="inlineStr">
        <is>
          <t>未查到（共用的網路搜尋次數額度已用完，未能完成此冊此科的搜尋）</t>
        </is>
      </c>
    </row>
    <row r="339">
      <c r="A339" s="6" t="inlineStr">
        <is>
          <t>康軒</t>
        </is>
      </c>
      <c r="B339" s="6" t="inlineStr">
        <is>
          <t>國中</t>
        </is>
      </c>
      <c r="C339" s="6" t="inlineStr">
        <is>
          <t>8</t>
        </is>
      </c>
      <c r="D339" s="6" t="inlineStr">
        <is>
          <t>上</t>
        </is>
      </c>
      <c r="E339" s="6" t="inlineStr">
        <is>
          <t>公民</t>
        </is>
      </c>
      <c r="F339" s="6" t="n"/>
      <c r="G339" s="6" t="n"/>
      <c r="H339" s="6" t="n"/>
      <c r="I339" s="6" t="inlineStr">
        <is>
          <t>其他</t>
        </is>
      </c>
      <c r="J339" s="6" t="n"/>
      <c r="K339" s="6" t="inlineStr">
        <is>
          <t>未查到（共用的網路搜尋次數額度已用完，未能完成此冊此科的搜尋）</t>
        </is>
      </c>
    </row>
    <row r="340">
      <c r="A340" s="4" t="inlineStr">
        <is>
          <t>康軒</t>
        </is>
      </c>
      <c r="B340" s="4" t="inlineStr">
        <is>
          <t>國中</t>
        </is>
      </c>
      <c r="C340" s="4" t="inlineStr">
        <is>
          <t>8</t>
        </is>
      </c>
      <c r="D340" s="4" t="inlineStr">
        <is>
          <t>下</t>
        </is>
      </c>
      <c r="E340" s="4" t="inlineStr">
        <is>
          <t>公民</t>
        </is>
      </c>
      <c r="F340" s="4" t="inlineStr">
        <is>
          <t>第3課 犯罪與刑罰</t>
        </is>
      </c>
      <c r="G340" s="4" t="n"/>
      <c r="H340" s="4" t="n"/>
      <c r="I340" s="4" t="inlineStr">
        <is>
          <t>出版商頁面</t>
        </is>
      </c>
      <c r="J340" s="5" t="inlineStr">
        <is>
          <t>https://digitalmaster.knsh.com.tw/all/video/j/cs_page.html?l1=8%E4%B8%8B&amp;l2=%E7%AC%AC3%E8%AA%B2%E3%80%80%E7%8A%AF%E7%BD%AA%E8%88%87%E5%88%91%E7%BD%B0</t>
        </is>
      </c>
      <c r="K340" s="4" t="inlineStr">
        <is>
          <t>僅從康軒國中影音高手公民頁面網址看到「8下 第3課 犯罪與刑罰」；其餘課次未查到；學年度未標示</t>
        </is>
      </c>
    </row>
    <row r="341">
      <c r="A341" s="6" t="inlineStr">
        <is>
          <t>康軒</t>
        </is>
      </c>
      <c r="B341" s="6" t="inlineStr">
        <is>
          <t>國中</t>
        </is>
      </c>
      <c r="C341" s="6" t="inlineStr">
        <is>
          <t>9</t>
        </is>
      </c>
      <c r="D341" s="6" t="inlineStr">
        <is>
          <t>上</t>
        </is>
      </c>
      <c r="E341" s="6" t="inlineStr">
        <is>
          <t>公民</t>
        </is>
      </c>
      <c r="F341" s="6" t="n"/>
      <c r="G341" s="6" t="n"/>
      <c r="H341" s="6" t="n"/>
      <c r="I341" s="6" t="inlineStr">
        <is>
          <t>其他</t>
        </is>
      </c>
      <c r="J341" s="6" t="n"/>
      <c r="K341" s="6" t="inlineStr">
        <is>
          <t>未查到（共用的網路搜尋次數額度已用完，未能完成此冊此科的搜尋）</t>
        </is>
      </c>
    </row>
    <row r="342">
      <c r="A342" s="6" t="inlineStr">
        <is>
          <t>康軒</t>
        </is>
      </c>
      <c r="B342" s="6" t="inlineStr">
        <is>
          <t>國中</t>
        </is>
      </c>
      <c r="C342" s="6" t="inlineStr">
        <is>
          <t>9</t>
        </is>
      </c>
      <c r="D342" s="6" t="inlineStr">
        <is>
          <t>下</t>
        </is>
      </c>
      <c r="E342" s="6" t="inlineStr">
        <is>
          <t>公民</t>
        </is>
      </c>
      <c r="F342" s="6" t="n"/>
      <c r="G342" s="6" t="n"/>
      <c r="H342" s="6" t="n"/>
      <c r="I342" s="6" t="inlineStr">
        <is>
          <t>其他</t>
        </is>
      </c>
      <c r="J342" s="6" t="n"/>
      <c r="K342" s="6" t="inlineStr">
        <is>
          <t>未查到（共用的網路搜尋次數額度已用完，未能完成此冊此科的搜尋）</t>
        </is>
      </c>
    </row>
    <row r="343">
      <c r="A343" s="4" t="inlineStr">
        <is>
          <t>南一</t>
        </is>
      </c>
      <c r="B343" s="4" t="inlineStr">
        <is>
          <t>國中</t>
        </is>
      </c>
      <c r="C343" s="4" t="inlineStr">
        <is>
          <t>7</t>
        </is>
      </c>
      <c r="D343" s="4" t="inlineStr">
        <is>
          <t>上</t>
        </is>
      </c>
      <c r="E343" s="4" t="inlineStr">
        <is>
          <t>國文</t>
        </is>
      </c>
      <c r="F343" s="4" t="inlineStr">
        <is>
          <t>第一課 夏夜</t>
        </is>
      </c>
      <c r="G343" s="4" t="n"/>
      <c r="H343" s="4" t="inlineStr">
        <is>
          <t>110</t>
        </is>
      </c>
      <c r="I343" s="4" t="inlineStr">
        <is>
          <t>學校課程計畫</t>
        </is>
      </c>
      <c r="J343" s="5" t="inlineStr">
        <is>
          <t>https://course.cyc.edu.tw/upfile/course110/sub1/14793292177358929.pdf</t>
        </is>
      </c>
      <c r="K343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344">
      <c r="A344" s="4" t="inlineStr">
        <is>
          <t>南一</t>
        </is>
      </c>
      <c r="B344" s="4" t="inlineStr">
        <is>
          <t>國中</t>
        </is>
      </c>
      <c r="C344" s="4" t="inlineStr">
        <is>
          <t>7</t>
        </is>
      </c>
      <c r="D344" s="4" t="inlineStr">
        <is>
          <t>上</t>
        </is>
      </c>
      <c r="E344" s="4" t="inlineStr">
        <is>
          <t>國文</t>
        </is>
      </c>
      <c r="F344" s="4" t="inlineStr">
        <is>
          <t>第二課 絕句選</t>
        </is>
      </c>
      <c r="G344" s="4" t="n"/>
      <c r="H344" s="4" t="inlineStr">
        <is>
          <t>110</t>
        </is>
      </c>
      <c r="I344" s="4" t="inlineStr">
        <is>
          <t>學校課程計畫</t>
        </is>
      </c>
      <c r="J344" s="5" t="inlineStr">
        <is>
          <t>https://course.cyc.edu.tw/upfile/course110/sub1/14793292177358929.pdf</t>
        </is>
      </c>
      <c r="K344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345">
      <c r="A345" s="4" t="inlineStr">
        <is>
          <t>南一</t>
        </is>
      </c>
      <c r="B345" s="4" t="inlineStr">
        <is>
          <t>國中</t>
        </is>
      </c>
      <c r="C345" s="4" t="inlineStr">
        <is>
          <t>7</t>
        </is>
      </c>
      <c r="D345" s="4" t="inlineStr">
        <is>
          <t>上</t>
        </is>
      </c>
      <c r="E345" s="4" t="inlineStr">
        <is>
          <t>國文</t>
        </is>
      </c>
      <c r="F345" s="4" t="inlineStr">
        <is>
          <t>第三課 紙船印象</t>
        </is>
      </c>
      <c r="G345" s="4" t="n"/>
      <c r="H345" s="4" t="inlineStr">
        <is>
          <t>110</t>
        </is>
      </c>
      <c r="I345" s="4" t="inlineStr">
        <is>
          <t>學校課程計畫</t>
        </is>
      </c>
      <c r="J345" s="5" t="inlineStr">
        <is>
          <t>https://course.cyc.edu.tw/upfile/course110/sub1/14793292177358929.pdf</t>
        </is>
      </c>
      <c r="K345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346">
      <c r="A346" s="4" t="inlineStr">
        <is>
          <t>南一</t>
        </is>
      </c>
      <c r="B346" s="4" t="inlineStr">
        <is>
          <t>國中</t>
        </is>
      </c>
      <c r="C346" s="4" t="inlineStr">
        <is>
          <t>7</t>
        </is>
      </c>
      <c r="D346" s="4" t="inlineStr">
        <is>
          <t>上</t>
        </is>
      </c>
      <c r="E346" s="4" t="inlineStr">
        <is>
          <t>國文</t>
        </is>
      </c>
      <c r="F346" s="4" t="inlineStr">
        <is>
          <t>自學一 故鄉的桂花雨</t>
        </is>
      </c>
      <c r="G346" s="4" t="n"/>
      <c r="H346" s="4" t="inlineStr">
        <is>
          <t>110</t>
        </is>
      </c>
      <c r="I346" s="4" t="inlineStr">
        <is>
          <t>學校課程計畫</t>
        </is>
      </c>
      <c r="J346" s="5" t="inlineStr">
        <is>
          <t>https://course.cyc.edu.tw/upfile/course110/sub1/14793292177358929.pdf</t>
        </is>
      </c>
      <c r="K346" s="4" t="inlineStr">
        <is>
          <t>未找到115/114學年度南一版資料，此為110學年度嘉義縣豐山實驗教育學校南一版第一冊進度（搜尋摘要所見，僅列出部分課次，第四至六課未見）；課次可能與115學年度不同；苗栗卓蘭高中附設國中111、112學年度計畫亦載「南一版教科書 自學一『故鄉的桂花雨』」</t>
        </is>
      </c>
    </row>
    <row r="347">
      <c r="A347" s="4" t="inlineStr">
        <is>
          <t>南一</t>
        </is>
      </c>
      <c r="B347" s="4" t="inlineStr">
        <is>
          <t>國中</t>
        </is>
      </c>
      <c r="C347" s="4" t="inlineStr">
        <is>
          <t>7</t>
        </is>
      </c>
      <c r="D347" s="4" t="inlineStr">
        <is>
          <t>上</t>
        </is>
      </c>
      <c r="E347" s="4" t="inlineStr">
        <is>
          <t>國文</t>
        </is>
      </c>
      <c r="F347" s="4" t="inlineStr">
        <is>
          <t>語文常識一 標點符號使用法</t>
        </is>
      </c>
      <c r="G347" s="4" t="n"/>
      <c r="H347" s="4" t="inlineStr">
        <is>
          <t>110</t>
        </is>
      </c>
      <c r="I347" s="4" t="inlineStr">
        <is>
          <t>學校課程計畫</t>
        </is>
      </c>
      <c r="J347" s="5" t="inlineStr">
        <is>
          <t>https://course.cyc.edu.tw/upfile/course110/sub1/14793292177358929.pdf</t>
        </is>
      </c>
      <c r="K347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348">
      <c r="A348" s="4" t="inlineStr">
        <is>
          <t>南一</t>
        </is>
      </c>
      <c r="B348" s="4" t="inlineStr">
        <is>
          <t>國中</t>
        </is>
      </c>
      <c r="C348" s="4" t="inlineStr">
        <is>
          <t>7</t>
        </is>
      </c>
      <c r="D348" s="4" t="inlineStr">
        <is>
          <t>上</t>
        </is>
      </c>
      <c r="E348" s="4" t="inlineStr">
        <is>
          <t>國文</t>
        </is>
      </c>
      <c r="F348" s="4" t="inlineStr">
        <is>
          <t>第七課 鮭魚產卵，力爭上游</t>
        </is>
      </c>
      <c r="G348" s="4" t="n"/>
      <c r="H348" s="4" t="inlineStr">
        <is>
          <t>110</t>
        </is>
      </c>
      <c r="I348" s="4" t="inlineStr">
        <is>
          <t>學校課程計畫</t>
        </is>
      </c>
      <c r="J348" s="5" t="inlineStr">
        <is>
          <t>https://course.cyc.edu.tw/upfile/course110/sub1/14793292177358929.pdf</t>
        </is>
      </c>
      <c r="K348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349">
      <c r="A349" s="4" t="inlineStr">
        <is>
          <t>南一</t>
        </is>
      </c>
      <c r="B349" s="4" t="inlineStr">
        <is>
          <t>國中</t>
        </is>
      </c>
      <c r="C349" s="4" t="inlineStr">
        <is>
          <t>7</t>
        </is>
      </c>
      <c r="D349" s="4" t="inlineStr">
        <is>
          <t>上</t>
        </is>
      </c>
      <c r="E349" s="4" t="inlineStr">
        <is>
          <t>國文</t>
        </is>
      </c>
      <c r="F349" s="4" t="inlineStr">
        <is>
          <t>第八課 論語選</t>
        </is>
      </c>
      <c r="G349" s="4" t="n"/>
      <c r="H349" s="4" t="inlineStr">
        <is>
          <t>110</t>
        </is>
      </c>
      <c r="I349" s="4" t="inlineStr">
        <is>
          <t>學校課程計畫</t>
        </is>
      </c>
      <c r="J349" s="5" t="inlineStr">
        <is>
          <t>https://course.cyc.edu.tw/upfile/course110/sub1/14793292177358929.pdf</t>
        </is>
      </c>
      <c r="K349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350">
      <c r="A350" s="4" t="inlineStr">
        <is>
          <t>南一</t>
        </is>
      </c>
      <c r="B350" s="4" t="inlineStr">
        <is>
          <t>國中</t>
        </is>
      </c>
      <c r="C350" s="4" t="inlineStr">
        <is>
          <t>7</t>
        </is>
      </c>
      <c r="D350" s="4" t="inlineStr">
        <is>
          <t>上</t>
        </is>
      </c>
      <c r="E350" s="4" t="inlineStr">
        <is>
          <t>國文</t>
        </is>
      </c>
      <c r="F350" s="4" t="inlineStr">
        <is>
          <t>第九課 飛翔的舞者</t>
        </is>
      </c>
      <c r="G350" s="4" t="n"/>
      <c r="H350" s="4" t="inlineStr">
        <is>
          <t>110</t>
        </is>
      </c>
      <c r="I350" s="4" t="inlineStr">
        <is>
          <t>學校課程計畫</t>
        </is>
      </c>
      <c r="J350" s="5" t="inlineStr">
        <is>
          <t>https://course.cyc.edu.tw/upfile/course110/sub1/14793292177358929.pdf</t>
        </is>
      </c>
      <c r="K350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351">
      <c r="A351" s="4" t="inlineStr">
        <is>
          <t>南一</t>
        </is>
      </c>
      <c r="B351" s="4" t="inlineStr">
        <is>
          <t>國中</t>
        </is>
      </c>
      <c r="C351" s="4" t="inlineStr">
        <is>
          <t>7</t>
        </is>
      </c>
      <c r="D351" s="4" t="inlineStr">
        <is>
          <t>上</t>
        </is>
      </c>
      <c r="E351" s="4" t="inlineStr">
        <is>
          <t>國文</t>
        </is>
      </c>
      <c r="F351" s="4" t="inlineStr">
        <is>
          <t>第十課 值得記憶的小事：日記</t>
        </is>
      </c>
      <c r="G351" s="4" t="n"/>
      <c r="H351" s="4" t="inlineStr">
        <is>
          <t>110</t>
        </is>
      </c>
      <c r="I351" s="4" t="inlineStr">
        <is>
          <t>學校課程計畫</t>
        </is>
      </c>
      <c r="J351" s="5" t="inlineStr">
        <is>
          <t>https://course.cyc.edu.tw/upfile/course110/sub1/14793292177358929.pdf</t>
        </is>
      </c>
      <c r="K351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352">
      <c r="A352" s="6" t="inlineStr">
        <is>
          <t>南一</t>
        </is>
      </c>
      <c r="B352" s="6" t="inlineStr">
        <is>
          <t>國中</t>
        </is>
      </c>
      <c r="C352" s="6" t="inlineStr">
        <is>
          <t>7</t>
        </is>
      </c>
      <c r="D352" s="6" t="inlineStr">
        <is>
          <t>下</t>
        </is>
      </c>
      <c r="E352" s="6" t="inlineStr">
        <is>
          <t>國文</t>
        </is>
      </c>
      <c r="F352" s="6" t="n"/>
      <c r="G352" s="6" t="n"/>
      <c r="H352" s="6" t="n"/>
      <c r="I352" s="6" t="n"/>
      <c r="J352" s="6" t="n"/>
      <c r="K352" s="6" t="inlineStr">
        <is>
          <t>未查到</t>
        </is>
      </c>
    </row>
    <row r="353">
      <c r="A353" s="6" t="inlineStr">
        <is>
          <t>南一</t>
        </is>
      </c>
      <c r="B353" s="6" t="inlineStr">
        <is>
          <t>國中</t>
        </is>
      </c>
      <c r="C353" s="6" t="inlineStr">
        <is>
          <t>8</t>
        </is>
      </c>
      <c r="D353" s="6" t="inlineStr">
        <is>
          <t>上</t>
        </is>
      </c>
      <c r="E353" s="6" t="inlineStr">
        <is>
          <t>國文</t>
        </is>
      </c>
      <c r="F353" s="6" t="n"/>
      <c r="G353" s="6" t="n"/>
      <c r="H353" s="6" t="n"/>
      <c r="I353" s="6" t="n"/>
      <c r="J353" s="6" t="n"/>
      <c r="K353" s="6" t="inlineStr">
        <is>
          <t>未查到</t>
        </is>
      </c>
    </row>
    <row r="354">
      <c r="A354" s="6" t="inlineStr">
        <is>
          <t>南一</t>
        </is>
      </c>
      <c r="B354" s="6" t="inlineStr">
        <is>
          <t>國中</t>
        </is>
      </c>
      <c r="C354" s="6" t="inlineStr">
        <is>
          <t>8</t>
        </is>
      </c>
      <c r="D354" s="6" t="inlineStr">
        <is>
          <t>下</t>
        </is>
      </c>
      <c r="E354" s="6" t="inlineStr">
        <is>
          <t>國文</t>
        </is>
      </c>
      <c r="F354" s="6" t="n"/>
      <c r="G354" s="6" t="n"/>
      <c r="H354" s="6" t="n"/>
      <c r="I354" s="6" t="n"/>
      <c r="J354" s="6" t="n"/>
      <c r="K354" s="6" t="inlineStr">
        <is>
          <t>未查到</t>
        </is>
      </c>
    </row>
    <row r="355">
      <c r="A355" s="6" t="inlineStr">
        <is>
          <t>南一</t>
        </is>
      </c>
      <c r="B355" s="6" t="inlineStr">
        <is>
          <t>國中</t>
        </is>
      </c>
      <c r="C355" s="6" t="inlineStr">
        <is>
          <t>9</t>
        </is>
      </c>
      <c r="D355" s="6" t="inlineStr">
        <is>
          <t>上</t>
        </is>
      </c>
      <c r="E355" s="6" t="inlineStr">
        <is>
          <t>國文</t>
        </is>
      </c>
      <c r="F355" s="6" t="n"/>
      <c r="G355" s="6" t="n"/>
      <c r="H355" s="6" t="n"/>
      <c r="I355" s="6" t="n"/>
      <c r="J355" s="6" t="n"/>
      <c r="K355" s="6" t="inlineStr">
        <is>
          <t>未查到</t>
        </is>
      </c>
    </row>
    <row r="356">
      <c r="A356" s="6" t="inlineStr">
        <is>
          <t>南一</t>
        </is>
      </c>
      <c r="B356" s="6" t="inlineStr">
        <is>
          <t>國中</t>
        </is>
      </c>
      <c r="C356" s="6" t="inlineStr">
        <is>
          <t>9</t>
        </is>
      </c>
      <c r="D356" s="6" t="inlineStr">
        <is>
          <t>下</t>
        </is>
      </c>
      <c r="E356" s="6" t="inlineStr">
        <is>
          <t>國文</t>
        </is>
      </c>
      <c r="F356" s="6" t="n"/>
      <c r="G356" s="6" t="n"/>
      <c r="H356" s="6" t="n"/>
      <c r="I356" s="6" t="n"/>
      <c r="J356" s="6" t="n"/>
      <c r="K356" s="6" t="inlineStr">
        <is>
          <t>未查到</t>
        </is>
      </c>
    </row>
    <row r="357">
      <c r="A357" s="6" t="inlineStr">
        <is>
          <t>南一</t>
        </is>
      </c>
      <c r="B357" s="6" t="inlineStr">
        <is>
          <t>國中</t>
        </is>
      </c>
      <c r="C357" s="6" t="inlineStr">
        <is>
          <t>7</t>
        </is>
      </c>
      <c r="D357" s="6" t="inlineStr">
        <is>
          <t>上</t>
        </is>
      </c>
      <c r="E357" s="6" t="inlineStr">
        <is>
          <t>英文</t>
        </is>
      </c>
      <c r="F357" s="6" t="n"/>
      <c r="G357" s="6" t="n"/>
      <c r="H357" s="6" t="n"/>
      <c r="I357" s="6" t="n"/>
      <c r="J357" s="6" t="n"/>
      <c r="K357" s="6" t="inlineStr">
        <is>
          <t>未查到</t>
        </is>
      </c>
    </row>
    <row r="358">
      <c r="A358" s="6" t="inlineStr">
        <is>
          <t>南一</t>
        </is>
      </c>
      <c r="B358" s="6" t="inlineStr">
        <is>
          <t>國中</t>
        </is>
      </c>
      <c r="C358" s="6" t="inlineStr">
        <is>
          <t>7</t>
        </is>
      </c>
      <c r="D358" s="6" t="inlineStr">
        <is>
          <t>下</t>
        </is>
      </c>
      <c r="E358" s="6" t="inlineStr">
        <is>
          <t>英文</t>
        </is>
      </c>
      <c r="F358" s="6" t="n"/>
      <c r="G358" s="6" t="n"/>
      <c r="H358" s="6" t="n"/>
      <c r="I358" s="6" t="n"/>
      <c r="J358" s="6" t="n"/>
      <c r="K358" s="6" t="inlineStr">
        <is>
          <t>未查到</t>
        </is>
      </c>
    </row>
    <row r="359">
      <c r="A359" s="6" t="inlineStr">
        <is>
          <t>南一</t>
        </is>
      </c>
      <c r="B359" s="6" t="inlineStr">
        <is>
          <t>國中</t>
        </is>
      </c>
      <c r="C359" s="6" t="inlineStr">
        <is>
          <t>8</t>
        </is>
      </c>
      <c r="D359" s="6" t="inlineStr">
        <is>
          <t>上</t>
        </is>
      </c>
      <c r="E359" s="6" t="inlineStr">
        <is>
          <t>英文</t>
        </is>
      </c>
      <c r="F359" s="6" t="n"/>
      <c r="G359" s="6" t="n"/>
      <c r="H359" s="6" t="n"/>
      <c r="I359" s="6" t="n"/>
      <c r="J359" s="6" t="n"/>
      <c r="K359" s="6" t="inlineStr">
        <is>
          <t>未查到</t>
        </is>
      </c>
    </row>
    <row r="360">
      <c r="A360" s="6" t="inlineStr">
        <is>
          <t>南一</t>
        </is>
      </c>
      <c r="B360" s="6" t="inlineStr">
        <is>
          <t>國中</t>
        </is>
      </c>
      <c r="C360" s="6" t="inlineStr">
        <is>
          <t>8</t>
        </is>
      </c>
      <c r="D360" s="6" t="inlineStr">
        <is>
          <t>下</t>
        </is>
      </c>
      <c r="E360" s="6" t="inlineStr">
        <is>
          <t>英文</t>
        </is>
      </c>
      <c r="F360" s="6" t="n"/>
      <c r="G360" s="6" t="n"/>
      <c r="H360" s="6" t="n"/>
      <c r="I360" s="6" t="n"/>
      <c r="J360" s="6" t="n"/>
      <c r="K360" s="6" t="inlineStr">
        <is>
          <t>未查到</t>
        </is>
      </c>
    </row>
    <row r="361">
      <c r="A361" s="6" t="inlineStr">
        <is>
          <t>南一</t>
        </is>
      </c>
      <c r="B361" s="6" t="inlineStr">
        <is>
          <t>國中</t>
        </is>
      </c>
      <c r="C361" s="6" t="inlineStr">
        <is>
          <t>9</t>
        </is>
      </c>
      <c r="D361" s="6" t="inlineStr">
        <is>
          <t>上</t>
        </is>
      </c>
      <c r="E361" s="6" t="inlineStr">
        <is>
          <t>英文</t>
        </is>
      </c>
      <c r="F361" s="6" t="n"/>
      <c r="G361" s="6" t="n"/>
      <c r="H361" s="6" t="n"/>
      <c r="I361" s="6" t="n"/>
      <c r="J361" s="6" t="n"/>
      <c r="K361" s="6" t="inlineStr">
        <is>
          <t>未查到</t>
        </is>
      </c>
    </row>
    <row r="362">
      <c r="A362" s="6" t="inlineStr">
        <is>
          <t>南一</t>
        </is>
      </c>
      <c r="B362" s="6" t="inlineStr">
        <is>
          <t>國中</t>
        </is>
      </c>
      <c r="C362" s="6" t="inlineStr">
        <is>
          <t>9</t>
        </is>
      </c>
      <c r="D362" s="6" t="inlineStr">
        <is>
          <t>下</t>
        </is>
      </c>
      <c r="E362" s="6" t="inlineStr">
        <is>
          <t>英文</t>
        </is>
      </c>
      <c r="F362" s="6" t="n"/>
      <c r="G362" s="6" t="n"/>
      <c r="H362" s="6" t="n"/>
      <c r="I362" s="6" t="n"/>
      <c r="J362" s="6" t="n"/>
      <c r="K362" s="6" t="inlineStr">
        <is>
          <t>未查到</t>
        </is>
      </c>
    </row>
    <row r="363">
      <c r="A363" s="4" t="inlineStr">
        <is>
          <t>南一</t>
        </is>
      </c>
      <c r="B363" s="4" t="inlineStr">
        <is>
          <t>國中</t>
        </is>
      </c>
      <c r="C363" s="4" t="inlineStr">
        <is>
          <t>7</t>
        </is>
      </c>
      <c r="D363" s="4" t="inlineStr">
        <is>
          <t>上</t>
        </is>
      </c>
      <c r="E363" s="4" t="inlineStr">
        <is>
          <t>數學</t>
        </is>
      </c>
      <c r="F363" s="4" t="inlineStr">
        <is>
          <t>第1章 整數運算與科學記號</t>
        </is>
      </c>
      <c r="G363" s="4" t="inlineStr">
        <is>
          <t>1-1 數與數線；1-2 整數的加減運算；1-3 整數的乘除運算；1-4 指數記法與科學記號</t>
        </is>
      </c>
      <c r="H363" s="4" t="inlineStr">
        <is>
          <t>未標示</t>
        </is>
      </c>
      <c r="I363" s="4" t="inlineStr">
        <is>
          <t>其他</t>
        </is>
      </c>
      <c r="J363" s="5" t="inlineStr">
        <is>
          <t>https://www.junyiacademy.org/topics/n-m7a</t>
        </is>
      </c>
      <c r="K363" s="4" t="inlineStr">
        <is>
          <t>均一教育平台「類南一版」（頁面註明依南一版教科書章節架構編排），非出版商原始目錄；頁面未標示學年度；臺南市太子國中114學年度南一版計畫亦載「第一章 整數運算與科學記號 1-1 數與數線」</t>
        </is>
      </c>
    </row>
    <row r="364">
      <c r="A364" s="4" t="inlineStr">
        <is>
          <t>南一</t>
        </is>
      </c>
      <c r="B364" s="4" t="inlineStr">
        <is>
          <t>國中</t>
        </is>
      </c>
      <c r="C364" s="4" t="inlineStr">
        <is>
          <t>7</t>
        </is>
      </c>
      <c r="D364" s="4" t="inlineStr">
        <is>
          <t>上</t>
        </is>
      </c>
      <c r="E364" s="4" t="inlineStr">
        <is>
          <t>數學</t>
        </is>
      </c>
      <c r="F364" s="4" t="inlineStr">
        <is>
          <t>第2章 因數分解與分數運算</t>
        </is>
      </c>
      <c r="G364" s="4" t="inlineStr">
        <is>
          <t>2-1 質因數分解；2-2 公因數與公倍數；2-3 分數的四則運算</t>
        </is>
      </c>
      <c r="H364" s="4" t="inlineStr">
        <is>
          <t>未標示</t>
        </is>
      </c>
      <c r="I364" s="4" t="inlineStr">
        <is>
          <t>其他</t>
        </is>
      </c>
      <c r="J364" s="5" t="inlineStr">
        <is>
          <t>https://www.junyiacademy.org/topics/n-m7a</t>
        </is>
      </c>
      <c r="K364" s="4" t="inlineStr">
        <is>
          <t>均一教育平台「類南一版」（頁面註明依南一版教科書章節架構編排），非出版商原始目錄；頁面未標示學年度；注意：臺南市太子國中114學年度南一版計畫（http://course.tn.edu.tw/course/114J太子國中C5-1領域學習課程(調整)計畫普通班七年級數學0712114735.pdf）第二章作「因數分解與分數」，含「2-3 分數的四則運算」「2-4 指數律」，與均一不同，現行版可能以學校計畫為準</t>
        </is>
      </c>
    </row>
    <row r="365">
      <c r="A365" s="4" t="inlineStr">
        <is>
          <t>南一</t>
        </is>
      </c>
      <c r="B365" s="4" t="inlineStr">
        <is>
          <t>國中</t>
        </is>
      </c>
      <c r="C365" s="4" t="inlineStr">
        <is>
          <t>7</t>
        </is>
      </c>
      <c r="D365" s="4" t="inlineStr">
        <is>
          <t>上</t>
        </is>
      </c>
      <c r="E365" s="4" t="inlineStr">
        <is>
          <t>數學</t>
        </is>
      </c>
      <c r="F365" s="4" t="inlineStr">
        <is>
          <t>第3章 一元一次方程式</t>
        </is>
      </c>
      <c r="G365" s="4" t="inlineStr">
        <is>
          <t>3-1 以符號列式與運算；3-2 一元一次方程式的列式與求解；3-3 一元一次方程式的應用</t>
        </is>
      </c>
      <c r="H365" s="4" t="inlineStr">
        <is>
          <t>未標示</t>
        </is>
      </c>
      <c r="I365" s="4" t="inlineStr">
        <is>
          <t>其他</t>
        </is>
      </c>
      <c r="J365" s="5" t="inlineStr">
        <is>
          <t>https://www.junyiacademy.org/topics/n-m7a</t>
        </is>
      </c>
      <c r="K365" s="4" t="inlineStr">
        <is>
          <t>均一教育平台「類南一版」（頁面註明依南一版教科書章節架構編排），非出版商原始目錄；頁面未標示學年度</t>
        </is>
      </c>
    </row>
    <row r="366">
      <c r="A366" s="4" t="inlineStr">
        <is>
          <t>南一</t>
        </is>
      </c>
      <c r="B366" s="4" t="inlineStr">
        <is>
          <t>國中</t>
        </is>
      </c>
      <c r="C366" s="4" t="inlineStr">
        <is>
          <t>7</t>
        </is>
      </c>
      <c r="D366" s="4" t="inlineStr">
        <is>
          <t>下</t>
        </is>
      </c>
      <c r="E366" s="4" t="inlineStr">
        <is>
          <t>數學</t>
        </is>
      </c>
      <c r="F366" s="4" t="inlineStr">
        <is>
          <t>第1章 二元一次聯立方程式</t>
        </is>
      </c>
      <c r="G366" s="4" t="inlineStr">
        <is>
          <t>1-1 二元一次方程式；1-2 解二元一次聯立方程式；1-3 二元一次聯立方程式的應用</t>
        </is>
      </c>
      <c r="H366" s="4" t="inlineStr">
        <is>
          <t>未標示</t>
        </is>
      </c>
      <c r="I366" s="4" t="inlineStr">
        <is>
          <t>其他</t>
        </is>
      </c>
      <c r="J366" s="5" t="inlineStr">
        <is>
          <t>https://junyiacademy.org/n-m7b-c01</t>
        </is>
      </c>
      <c r="K366" s="4" t="inlineStr">
        <is>
          <t>均一教育平台「類南一版」（頁面註明依南一版教科書章節架構編排），非出版商原始目錄；頁面未標示學年度</t>
        </is>
      </c>
    </row>
    <row r="367">
      <c r="A367" s="4" t="inlineStr">
        <is>
          <t>南一</t>
        </is>
      </c>
      <c r="B367" s="4" t="inlineStr">
        <is>
          <t>國中</t>
        </is>
      </c>
      <c r="C367" s="4" t="inlineStr">
        <is>
          <t>7</t>
        </is>
      </c>
      <c r="D367" s="4" t="inlineStr">
        <is>
          <t>下</t>
        </is>
      </c>
      <c r="E367" s="4" t="inlineStr">
        <is>
          <t>數學</t>
        </is>
      </c>
      <c r="F367" s="4" t="inlineStr">
        <is>
          <t>第2章 平面直角坐標系</t>
        </is>
      </c>
      <c r="G367" s="4" t="inlineStr">
        <is>
          <t>2-1 直角坐標平面</t>
        </is>
      </c>
      <c r="H367" s="4" t="inlineStr">
        <is>
          <t>未標示</t>
        </is>
      </c>
      <c r="I367" s="4" t="inlineStr">
        <is>
          <t>其他</t>
        </is>
      </c>
      <c r="J367" s="5" t="inlineStr">
        <is>
          <t>https://www.junyiacademy.org/topics/n-m7a</t>
        </is>
      </c>
      <c r="K367" s="4" t="inlineStr">
        <is>
          <t>均一教育平台「類南一版」（頁面註明依南一版教科書章節架構編排），非出版商原始目錄；頁面未標示學年度；僅見2-1；此章下掛有標題為「南一七下3-1」的影片，實際課本章次可能與均一不同</t>
        </is>
      </c>
    </row>
    <row r="368">
      <c r="A368" s="4" t="inlineStr">
        <is>
          <t>南一</t>
        </is>
      </c>
      <c r="B368" s="4" t="inlineStr">
        <is>
          <t>國中</t>
        </is>
      </c>
      <c r="C368" s="4" t="inlineStr">
        <is>
          <t>7</t>
        </is>
      </c>
      <c r="D368" s="4" t="inlineStr">
        <is>
          <t>下</t>
        </is>
      </c>
      <c r="E368" s="4" t="inlineStr">
        <is>
          <t>數學</t>
        </is>
      </c>
      <c r="F368" s="4" t="inlineStr">
        <is>
          <t>第3章 比例</t>
        </is>
      </c>
      <c r="G368" s="4" t="n"/>
      <c r="H368" s="4" t="inlineStr">
        <is>
          <t>未標示</t>
        </is>
      </c>
      <c r="I368" s="4" t="inlineStr">
        <is>
          <t>其他</t>
        </is>
      </c>
      <c r="J368" s="5" t="inlineStr">
        <is>
          <t>https://www.junyiacademy.org/topics/n-m7a</t>
        </is>
      </c>
      <c r="K368" s="4" t="inlineStr">
        <is>
          <t>均一教育平台「類南一版」（頁面註明依南一版教科書章節架構編排），非出版商原始目錄；頁面未標示學年度；節名未查到</t>
        </is>
      </c>
    </row>
    <row r="369">
      <c r="A369" s="4" t="inlineStr">
        <is>
          <t>南一</t>
        </is>
      </c>
      <c r="B369" s="4" t="inlineStr">
        <is>
          <t>國中</t>
        </is>
      </c>
      <c r="C369" s="4" t="inlineStr">
        <is>
          <t>7</t>
        </is>
      </c>
      <c r="D369" s="4" t="inlineStr">
        <is>
          <t>下</t>
        </is>
      </c>
      <c r="E369" s="4" t="inlineStr">
        <is>
          <t>數學</t>
        </is>
      </c>
      <c r="F369" s="4" t="inlineStr">
        <is>
          <t>第4章 一元一次不等式</t>
        </is>
      </c>
      <c r="G369" s="4" t="n"/>
      <c r="H369" s="4" t="inlineStr">
        <is>
          <t>未標示</t>
        </is>
      </c>
      <c r="I369" s="4" t="inlineStr">
        <is>
          <t>其他</t>
        </is>
      </c>
      <c r="J369" s="5" t="inlineStr">
        <is>
          <t>https://www.junyiacademy.org/topics/n-m7a</t>
        </is>
      </c>
      <c r="K369" s="4" t="inlineStr">
        <is>
          <t>均一教育平台「類南一版」（頁面註明依南一版教科書章節架構編排），非出版商原始目錄；頁面未標示學年度；節名未查到</t>
        </is>
      </c>
    </row>
    <row r="370">
      <c r="A370" s="4" t="inlineStr">
        <is>
          <t>南一</t>
        </is>
      </c>
      <c r="B370" s="4" t="inlineStr">
        <is>
          <t>國中</t>
        </is>
      </c>
      <c r="C370" s="4" t="inlineStr">
        <is>
          <t>7</t>
        </is>
      </c>
      <c r="D370" s="4" t="inlineStr">
        <is>
          <t>下</t>
        </is>
      </c>
      <c r="E370" s="4" t="inlineStr">
        <is>
          <t>數學</t>
        </is>
      </c>
      <c r="F370" s="4" t="inlineStr">
        <is>
          <t>第5章 統計圖表與資料分析</t>
        </is>
      </c>
      <c r="G370" s="4" t="n"/>
      <c r="H370" s="4" t="inlineStr">
        <is>
          <t>未標示</t>
        </is>
      </c>
      <c r="I370" s="4" t="inlineStr">
        <is>
          <t>其他</t>
        </is>
      </c>
      <c r="J370" s="5" t="inlineStr">
        <is>
          <t>https://www.junyiacademy.org/topics/n-m7a</t>
        </is>
      </c>
      <c r="K370" s="4" t="inlineStr">
        <is>
          <t>均一教育平台「類南一版」（頁面註明依南一版教科書章節架構編排），非出版商原始目錄；頁面未標示學年度；節名未查到</t>
        </is>
      </c>
    </row>
    <row r="371">
      <c r="A371" s="4" t="inlineStr">
        <is>
          <t>南一</t>
        </is>
      </c>
      <c r="B371" s="4" t="inlineStr">
        <is>
          <t>國中</t>
        </is>
      </c>
      <c r="C371" s="4" t="inlineStr">
        <is>
          <t>7</t>
        </is>
      </c>
      <c r="D371" s="4" t="inlineStr">
        <is>
          <t>下</t>
        </is>
      </c>
      <c r="E371" s="4" t="inlineStr">
        <is>
          <t>數學</t>
        </is>
      </c>
      <c r="F371" s="4" t="inlineStr">
        <is>
          <t>第6章 生活中的幾何圖形</t>
        </is>
      </c>
      <c r="G371" s="4" t="n"/>
      <c r="H371" s="4" t="inlineStr">
        <is>
          <t>未標示</t>
        </is>
      </c>
      <c r="I371" s="4" t="inlineStr">
        <is>
          <t>其他</t>
        </is>
      </c>
      <c r="J371" s="5" t="inlineStr">
        <is>
          <t>https://www.junyiacademy.org/topics/n-m7a</t>
        </is>
      </c>
      <c r="K371" s="4" t="inlineStr">
        <is>
          <t>均一教育平台「類南一版」（頁面註明依南一版教科書章節架構編排），非出版商原始目錄；頁面未標示學年度；節名未查到</t>
        </is>
      </c>
    </row>
    <row r="372">
      <c r="A372" s="4" t="inlineStr">
        <is>
          <t>南一</t>
        </is>
      </c>
      <c r="B372" s="4" t="inlineStr">
        <is>
          <t>國中</t>
        </is>
      </c>
      <c r="C372" s="4" t="inlineStr">
        <is>
          <t>8</t>
        </is>
      </c>
      <c r="D372" s="4" t="inlineStr">
        <is>
          <t>上</t>
        </is>
      </c>
      <c r="E372" s="4" t="inlineStr">
        <is>
          <t>數學</t>
        </is>
      </c>
      <c r="F372" s="4" t="inlineStr">
        <is>
          <t>第1章 乘法公式與多項式</t>
        </is>
      </c>
      <c r="G372" s="4" t="inlineStr">
        <is>
          <t>1-1 乘法公式；1-2 多項式的加減；1-3 多項式的乘除</t>
        </is>
      </c>
      <c r="H372" s="4" t="inlineStr">
        <is>
          <t>113</t>
        </is>
      </c>
      <c r="I372" s="4" t="inlineStr">
        <is>
          <t>其他</t>
        </is>
      </c>
      <c r="J372" s="5" t="inlineStr">
        <is>
          <t>https://www.junyiacademy.org/topics/n-m8a</t>
        </is>
      </c>
      <c r="K372" s="4" t="inlineStr">
        <is>
          <t>均一教育平台「類南一版」（頁面註明依南一版教科書章節架構編排），非出版商原始目錄；頁面註明依「南一版113學年度」教科書；未找到115/114學年度資料；均一不同頁面節名略異：1-2 亦作「多項式與其加減運算」、1-3 亦作「多項式的乘法與除法」</t>
        </is>
      </c>
    </row>
    <row r="373">
      <c r="A373" s="4" t="inlineStr">
        <is>
          <t>南一</t>
        </is>
      </c>
      <c r="B373" s="4" t="inlineStr">
        <is>
          <t>國中</t>
        </is>
      </c>
      <c r="C373" s="4" t="inlineStr">
        <is>
          <t>8</t>
        </is>
      </c>
      <c r="D373" s="4" t="inlineStr">
        <is>
          <t>上</t>
        </is>
      </c>
      <c r="E373" s="4" t="inlineStr">
        <is>
          <t>數學</t>
        </is>
      </c>
      <c r="F373" s="4" t="inlineStr">
        <is>
          <t>第2章 平方根與畢氏定理</t>
        </is>
      </c>
      <c r="G373" s="4" t="inlineStr">
        <is>
          <t>2-1 平方根與近似值；2-2 根式的運算；2-3 畢氏定理</t>
        </is>
      </c>
      <c r="H373" s="4" t="inlineStr">
        <is>
          <t>113</t>
        </is>
      </c>
      <c r="I373" s="4" t="inlineStr">
        <is>
          <t>其他</t>
        </is>
      </c>
      <c r="J373" s="5" t="inlineStr">
        <is>
          <t>https://www.junyiacademy.org/topics/n-m8a</t>
        </is>
      </c>
      <c r="K373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374">
      <c r="A374" s="4" t="inlineStr">
        <is>
          <t>南一</t>
        </is>
      </c>
      <c r="B374" s="4" t="inlineStr">
        <is>
          <t>國中</t>
        </is>
      </c>
      <c r="C374" s="4" t="inlineStr">
        <is>
          <t>8</t>
        </is>
      </c>
      <c r="D374" s="4" t="inlineStr">
        <is>
          <t>上</t>
        </is>
      </c>
      <c r="E374" s="4" t="inlineStr">
        <is>
          <t>數學</t>
        </is>
      </c>
      <c r="F374" s="4" t="inlineStr">
        <is>
          <t>第3章 因式分解</t>
        </is>
      </c>
      <c r="G374" s="4" t="inlineStr">
        <is>
          <t>3-1 提公因式法與乘法公式因式分解；3-2 利用十字交乘法因式分解</t>
        </is>
      </c>
      <c r="H374" s="4" t="inlineStr">
        <is>
          <t>113</t>
        </is>
      </c>
      <c r="I374" s="4" t="inlineStr">
        <is>
          <t>其他</t>
        </is>
      </c>
      <c r="J374" s="5" t="inlineStr">
        <is>
          <t>https://www.junyiacademy.org/topics/n-m8a</t>
        </is>
      </c>
      <c r="K374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375">
      <c r="A375" s="4" t="inlineStr">
        <is>
          <t>南一</t>
        </is>
      </c>
      <c r="B375" s="4" t="inlineStr">
        <is>
          <t>國中</t>
        </is>
      </c>
      <c r="C375" s="4" t="inlineStr">
        <is>
          <t>8</t>
        </is>
      </c>
      <c r="D375" s="4" t="inlineStr">
        <is>
          <t>上</t>
        </is>
      </c>
      <c r="E375" s="4" t="inlineStr">
        <is>
          <t>數學</t>
        </is>
      </c>
      <c r="F375" s="4" t="inlineStr">
        <is>
          <t>第4章 一元二次方程式</t>
        </is>
      </c>
      <c r="G375" s="4" t="inlineStr">
        <is>
          <t>4-1 因式分解法解一元二次方程式；4-2 配方法與一元二次方程式的公式解；4-3 一元二次方程式的應用</t>
        </is>
      </c>
      <c r="H375" s="4" t="inlineStr">
        <is>
          <t>113</t>
        </is>
      </c>
      <c r="I375" s="4" t="inlineStr">
        <is>
          <t>其他</t>
        </is>
      </c>
      <c r="J375" s="5" t="inlineStr">
        <is>
          <t>https://www.junyiacademy.org/topics/n-m8a</t>
        </is>
      </c>
      <c r="K375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376">
      <c r="A376" s="4" t="inlineStr">
        <is>
          <t>南一</t>
        </is>
      </c>
      <c r="B376" s="4" t="inlineStr">
        <is>
          <t>國中</t>
        </is>
      </c>
      <c r="C376" s="4" t="inlineStr">
        <is>
          <t>8</t>
        </is>
      </c>
      <c r="D376" s="4" t="inlineStr">
        <is>
          <t>下</t>
        </is>
      </c>
      <c r="E376" s="4" t="inlineStr">
        <is>
          <t>數學</t>
        </is>
      </c>
      <c r="F376" s="4" t="inlineStr">
        <is>
          <t>第1章 數列與等差級數</t>
        </is>
      </c>
      <c r="G376" s="4" t="inlineStr">
        <is>
          <t>1-1 等差數列；1-2 等差級數；1-3 等比數列</t>
        </is>
      </c>
      <c r="H376" s="4" t="inlineStr">
        <is>
          <t>113</t>
        </is>
      </c>
      <c r="I376" s="4" t="inlineStr">
        <is>
          <t>其他</t>
        </is>
      </c>
      <c r="J376" s="5" t="inlineStr">
        <is>
          <t>https://www.junyiacademy.org/topics/n-m8b-c01</t>
        </is>
      </c>
      <c r="K376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377">
      <c r="A377" s="4" t="inlineStr">
        <is>
          <t>南一</t>
        </is>
      </c>
      <c r="B377" s="4" t="inlineStr">
        <is>
          <t>國中</t>
        </is>
      </c>
      <c r="C377" s="4" t="inlineStr">
        <is>
          <t>8</t>
        </is>
      </c>
      <c r="D377" s="4" t="inlineStr">
        <is>
          <t>下</t>
        </is>
      </c>
      <c r="E377" s="4" t="inlineStr">
        <is>
          <t>數學</t>
        </is>
      </c>
      <c r="F377" s="4" t="inlineStr">
        <is>
          <t>第2章 函數及其圖形</t>
        </is>
      </c>
      <c r="G377" s="4" t="inlineStr">
        <is>
          <t>2-1 一次函數</t>
        </is>
      </c>
      <c r="H377" s="4" t="inlineStr">
        <is>
          <t>113</t>
        </is>
      </c>
      <c r="I377" s="4" t="inlineStr">
        <is>
          <t>其他</t>
        </is>
      </c>
      <c r="J377" s="5" t="inlineStr">
        <is>
          <t>https://www.junyiacademy.org/topics/n-m8a</t>
        </is>
      </c>
      <c r="K377" s="4" t="inlineStr">
        <is>
          <t>均一教育平台「類南一版」（頁面註明依南一版教科書章節架構編排），非出版商原始目錄；頁面註明依「南一版113學年度」教科書；未找到115/114學年度資料；僅見2-1，其餘節名未查到</t>
        </is>
      </c>
    </row>
    <row r="378">
      <c r="A378" s="4" t="inlineStr">
        <is>
          <t>南一</t>
        </is>
      </c>
      <c r="B378" s="4" t="inlineStr">
        <is>
          <t>國中</t>
        </is>
      </c>
      <c r="C378" s="4" t="inlineStr">
        <is>
          <t>8</t>
        </is>
      </c>
      <c r="D378" s="4" t="inlineStr">
        <is>
          <t>下</t>
        </is>
      </c>
      <c r="E378" s="4" t="inlineStr">
        <is>
          <t>數學</t>
        </is>
      </c>
      <c r="F378" s="4" t="inlineStr">
        <is>
          <t>第3章 三角形的性質與尺規作圖</t>
        </is>
      </c>
      <c r="G378" s="4" t="inlineStr">
        <is>
          <t>3-1 內角與外角；3-2 基本尺規作圖；3-3 三角形全等；3-4 全等三角形的應用；3-5 三角形的邊角關係</t>
        </is>
      </c>
      <c r="H378" s="4" t="inlineStr">
        <is>
          <t>113</t>
        </is>
      </c>
      <c r="I378" s="4" t="inlineStr">
        <is>
          <t>其他</t>
        </is>
      </c>
      <c r="J378" s="5" t="inlineStr">
        <is>
          <t>https://www.junyiacademy.org/topics/n-m8b-c03</t>
        </is>
      </c>
      <c r="K378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379">
      <c r="A379" s="4" t="inlineStr">
        <is>
          <t>南一</t>
        </is>
      </c>
      <c r="B379" s="4" t="inlineStr">
        <is>
          <t>國中</t>
        </is>
      </c>
      <c r="C379" s="4" t="inlineStr">
        <is>
          <t>8</t>
        </is>
      </c>
      <c r="D379" s="4" t="inlineStr">
        <is>
          <t>下</t>
        </is>
      </c>
      <c r="E379" s="4" t="inlineStr">
        <is>
          <t>數學</t>
        </is>
      </c>
      <c r="F379" s="4" t="inlineStr">
        <is>
          <t>第4章 平行與四邊形</t>
        </is>
      </c>
      <c r="G379" s="4" t="inlineStr">
        <is>
          <t>4-1 平行線；4-2 平行四邊形；4-3 特殊的四邊形</t>
        </is>
      </c>
      <c r="H379" s="4" t="inlineStr">
        <is>
          <t>113</t>
        </is>
      </c>
      <c r="I379" s="4" t="inlineStr">
        <is>
          <t>其他</t>
        </is>
      </c>
      <c r="J379" s="5" t="inlineStr">
        <is>
          <t>https://www.junyiacademy.org/topics/n-m8a</t>
        </is>
      </c>
      <c r="K379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380">
      <c r="A380" s="4" t="inlineStr">
        <is>
          <t>南一</t>
        </is>
      </c>
      <c r="B380" s="4" t="inlineStr">
        <is>
          <t>國中</t>
        </is>
      </c>
      <c r="C380" s="4" t="inlineStr">
        <is>
          <t>9</t>
        </is>
      </c>
      <c r="D380" s="4" t="inlineStr">
        <is>
          <t>上</t>
        </is>
      </c>
      <c r="E380" s="4" t="inlineStr">
        <is>
          <t>數學</t>
        </is>
      </c>
      <c r="F380" s="4" t="inlineStr">
        <is>
          <t>第1章 比例線段與相似形</t>
        </is>
      </c>
      <c r="G380" s="4" t="inlineStr">
        <is>
          <t>1-3 相似形</t>
        </is>
      </c>
      <c r="H380" s="4" t="inlineStr">
        <is>
          <t>未標示</t>
        </is>
      </c>
      <c r="I380" s="4" t="inlineStr">
        <is>
          <t>其他</t>
        </is>
      </c>
      <c r="J380" s="5" t="inlineStr">
        <is>
          <t>https://www.junyiacademy.org/n-m9a-c01</t>
        </is>
      </c>
      <c r="K380" s="4" t="inlineStr">
        <is>
          <t>均一教育平台「類南一版」（頁面註明依南一版教科書章節架構編排），非出版商原始目錄；頁面未標示學年度；僅見1-3，1-1、1-2節名未查到</t>
        </is>
      </c>
    </row>
    <row r="381">
      <c r="A381" s="4" t="inlineStr">
        <is>
          <t>南一</t>
        </is>
      </c>
      <c r="B381" s="4" t="inlineStr">
        <is>
          <t>國中</t>
        </is>
      </c>
      <c r="C381" s="4" t="inlineStr">
        <is>
          <t>9</t>
        </is>
      </c>
      <c r="D381" s="4" t="inlineStr">
        <is>
          <t>上</t>
        </is>
      </c>
      <c r="E381" s="4" t="inlineStr">
        <is>
          <t>數學</t>
        </is>
      </c>
      <c r="F381" s="4" t="inlineStr">
        <is>
          <t>第2章 圓的性質</t>
        </is>
      </c>
      <c r="G381" s="4" t="n"/>
      <c r="H381" s="4" t="inlineStr">
        <is>
          <t>未標示</t>
        </is>
      </c>
      <c r="I381" s="4" t="inlineStr">
        <is>
          <t>其他</t>
        </is>
      </c>
      <c r="J381" s="5" t="inlineStr">
        <is>
          <t>https://www.junyiacademy.org/topics/math-9</t>
        </is>
      </c>
      <c r="K381" s="4" t="inlineStr">
        <is>
          <t>均一教育平台「類南一版」（頁面註明依南一版教科書章節架構編排），非出版商原始目錄；頁面未標示學年度；節名未查到</t>
        </is>
      </c>
    </row>
    <row r="382">
      <c r="A382" s="4" t="inlineStr">
        <is>
          <t>南一</t>
        </is>
      </c>
      <c r="B382" s="4" t="inlineStr">
        <is>
          <t>國中</t>
        </is>
      </c>
      <c r="C382" s="4" t="inlineStr">
        <is>
          <t>9</t>
        </is>
      </c>
      <c r="D382" s="4" t="inlineStr">
        <is>
          <t>上</t>
        </is>
      </c>
      <c r="E382" s="4" t="inlineStr">
        <is>
          <t>數學</t>
        </is>
      </c>
      <c r="F382" s="4" t="inlineStr">
        <is>
          <t>第3章 推理證明與三角形的心</t>
        </is>
      </c>
      <c r="G382" s="4" t="inlineStr">
        <is>
          <t>3-1 推理與證明</t>
        </is>
      </c>
      <c r="H382" s="4" t="inlineStr">
        <is>
          <t>未標示</t>
        </is>
      </c>
      <c r="I382" s="4" t="inlineStr">
        <is>
          <t>其他</t>
        </is>
      </c>
      <c r="J382" s="5" t="inlineStr">
        <is>
          <t>https://www.junyiacademy.org/videos/GRSPmQ04hB0?topic=course-compare%2Fmath-juni%2Fmath-9%2Fn-m9a%2Fn-m9a-c03%2Fn-m9a-c03-1</t>
        </is>
      </c>
      <c r="K382" s="4" t="inlineStr">
        <is>
          <t>均一教育平台「類南一版」（頁面註明依南一版教科書章節架構編排），非出版商原始目錄；頁面未標示學年度；3-2 內容為三角形的外心、內心、重心（有「南一九上3-2」影片），但正式節名未確認</t>
        </is>
      </c>
    </row>
    <row r="383">
      <c r="A383" s="4" t="inlineStr">
        <is>
          <t>南一</t>
        </is>
      </c>
      <c r="B383" s="4" t="inlineStr">
        <is>
          <t>國中</t>
        </is>
      </c>
      <c r="C383" s="4" t="inlineStr">
        <is>
          <t>9</t>
        </is>
      </c>
      <c r="D383" s="4" t="inlineStr">
        <is>
          <t>下</t>
        </is>
      </c>
      <c r="E383" s="4" t="inlineStr">
        <is>
          <t>數學</t>
        </is>
      </c>
      <c r="F383" s="4" t="inlineStr">
        <is>
          <t>第2章 統計與機率</t>
        </is>
      </c>
      <c r="G383" s="4" t="inlineStr">
        <is>
          <t>2-1 統計數據的分布</t>
        </is>
      </c>
      <c r="H383" s="4" t="inlineStr">
        <is>
          <t>未標示</t>
        </is>
      </c>
      <c r="I383" s="4" t="inlineStr">
        <is>
          <t>其他</t>
        </is>
      </c>
      <c r="J383" s="5" t="inlineStr">
        <is>
          <t>https://www.junyiacademy.org/exercise/n-m9bch3-2-4a?parent-topic-id=n-m9b-c02-1</t>
        </is>
      </c>
      <c r="K383" s="4" t="inlineStr">
        <is>
          <t>均一教育平台「類南一版」（頁面註明依南一版教科書章節架構編排），非出版商原始目錄；頁面未標示學年度；2-2 節名未查到</t>
        </is>
      </c>
    </row>
    <row r="384">
      <c r="A384" s="4" t="inlineStr">
        <is>
          <t>南一</t>
        </is>
      </c>
      <c r="B384" s="4" t="inlineStr">
        <is>
          <t>國中</t>
        </is>
      </c>
      <c r="C384" s="4" t="inlineStr">
        <is>
          <t>9</t>
        </is>
      </c>
      <c r="D384" s="4" t="inlineStr">
        <is>
          <t>下</t>
        </is>
      </c>
      <c r="E384" s="4" t="inlineStr">
        <is>
          <t>數學</t>
        </is>
      </c>
      <c r="F384" s="4" t="inlineStr">
        <is>
          <t>第3章 立體幾何圖形</t>
        </is>
      </c>
      <c r="G384" s="4" t="n"/>
      <c r="H384" s="4" t="inlineStr">
        <is>
          <t>未標示</t>
        </is>
      </c>
      <c r="I384" s="4" t="inlineStr">
        <is>
          <t>其他</t>
        </is>
      </c>
      <c r="J384" s="5" t="inlineStr">
        <is>
          <t>https://www.junyiacademy.org/n-m9b-c03</t>
        </is>
      </c>
      <c r="K384" s="4" t="inlineStr">
        <is>
          <t>均一教育平台「類南一版」（頁面註明依南一版教科書章節架構編排），非出版商原始目錄；頁面未標示學年度；3-1 內容含柱體、錐體、空間中的線與平面，但正式節名未確認</t>
        </is>
      </c>
    </row>
    <row r="385">
      <c r="A385" s="4" t="inlineStr">
        <is>
          <t>南一</t>
        </is>
      </c>
      <c r="B385" s="4" t="inlineStr">
        <is>
          <t>國中</t>
        </is>
      </c>
      <c r="C385" s="4" t="inlineStr">
        <is>
          <t>7</t>
        </is>
      </c>
      <c r="D385" s="4" t="inlineStr">
        <is>
          <t>上</t>
        </is>
      </c>
      <c r="E385" s="4" t="inlineStr">
        <is>
          <t>生物</t>
        </is>
      </c>
      <c r="F385" s="4" t="inlineStr">
        <is>
          <t>第1章 生命的發現</t>
        </is>
      </c>
      <c r="G385" s="4" t="n"/>
      <c r="H385" s="4" t="inlineStr">
        <is>
          <t>未標示</t>
        </is>
      </c>
      <c r="I385" s="4" t="inlineStr">
        <is>
          <t>其他</t>
        </is>
      </c>
      <c r="J385" s="5" t="inlineStr">
        <is>
          <t>https://www.junyiacademy.org/exercises/njbsb7cb?topic=junyi-science%2Fscience-juni%2Ftmp_js%2Fn-s7a%2Fn-s7a-ch1</t>
        </is>
      </c>
      <c r="K385" s="4" t="inlineStr">
        <is>
          <t>均一教育平台自然科 n-s7a（南一七上）路徑所見章名，非出版商原始目錄、未標示學年度；其餘章節未查到（搜尋次數用盡）</t>
        </is>
      </c>
    </row>
    <row r="386">
      <c r="A386" s="6" t="inlineStr">
        <is>
          <t>南一</t>
        </is>
      </c>
      <c r="B386" s="6" t="inlineStr">
        <is>
          <t>國中</t>
        </is>
      </c>
      <c r="C386" s="6" t="inlineStr">
        <is>
          <t>7</t>
        </is>
      </c>
      <c r="D386" s="6" t="inlineStr">
        <is>
          <t>下</t>
        </is>
      </c>
      <c r="E386" s="6" t="inlineStr">
        <is>
          <t>生物</t>
        </is>
      </c>
      <c r="F386" s="6" t="n"/>
      <c r="G386" s="6" t="n"/>
      <c r="H386" s="6" t="n"/>
      <c r="I386" s="6" t="n"/>
      <c r="J386" s="6" t="n"/>
      <c r="K386" s="6" t="inlineStr">
        <is>
          <t>未查到</t>
        </is>
      </c>
    </row>
    <row r="387">
      <c r="A387" s="6" t="inlineStr">
        <is>
          <t>南一</t>
        </is>
      </c>
      <c r="B387" s="6" t="inlineStr">
        <is>
          <t>國中</t>
        </is>
      </c>
      <c r="C387" s="6" t="inlineStr">
        <is>
          <t>8</t>
        </is>
      </c>
      <c r="D387" s="6" t="inlineStr">
        <is>
          <t>上</t>
        </is>
      </c>
      <c r="E387" s="6" t="inlineStr">
        <is>
          <t>理化</t>
        </is>
      </c>
      <c r="F387" s="6" t="n"/>
      <c r="G387" s="6" t="n"/>
      <c r="H387" s="6" t="n"/>
      <c r="I387" s="6" t="n"/>
      <c r="J387" s="6" t="n"/>
      <c r="K387" s="6" t="inlineStr">
        <is>
          <t>未查到</t>
        </is>
      </c>
    </row>
    <row r="388">
      <c r="A388" s="6" t="inlineStr">
        <is>
          <t>南一</t>
        </is>
      </c>
      <c r="B388" s="6" t="inlineStr">
        <is>
          <t>國中</t>
        </is>
      </c>
      <c r="C388" s="6" t="inlineStr">
        <is>
          <t>8</t>
        </is>
      </c>
      <c r="D388" s="6" t="inlineStr">
        <is>
          <t>下</t>
        </is>
      </c>
      <c r="E388" s="6" t="inlineStr">
        <is>
          <t>理化</t>
        </is>
      </c>
      <c r="F388" s="6" t="n"/>
      <c r="G388" s="6" t="n"/>
      <c r="H388" s="6" t="n"/>
      <c r="I388" s="6" t="n"/>
      <c r="J388" s="6" t="n"/>
      <c r="K388" s="6" t="inlineStr">
        <is>
          <t>未查到</t>
        </is>
      </c>
    </row>
    <row r="389">
      <c r="A389" s="6" t="inlineStr">
        <is>
          <t>南一</t>
        </is>
      </c>
      <c r="B389" s="6" t="inlineStr">
        <is>
          <t>國中</t>
        </is>
      </c>
      <c r="C389" s="6" t="inlineStr">
        <is>
          <t>9</t>
        </is>
      </c>
      <c r="D389" s="6" t="inlineStr">
        <is>
          <t>上</t>
        </is>
      </c>
      <c r="E389" s="6" t="inlineStr">
        <is>
          <t>理化</t>
        </is>
      </c>
      <c r="F389" s="6" t="n"/>
      <c r="G389" s="6" t="n"/>
      <c r="H389" s="6" t="n"/>
      <c r="I389" s="6" t="n"/>
      <c r="J389" s="6" t="n"/>
      <c r="K389" s="6" t="inlineStr">
        <is>
          <t>未查到</t>
        </is>
      </c>
    </row>
    <row r="390">
      <c r="A390" s="6" t="inlineStr">
        <is>
          <t>南一</t>
        </is>
      </c>
      <c r="B390" s="6" t="inlineStr">
        <is>
          <t>國中</t>
        </is>
      </c>
      <c r="C390" s="6" t="inlineStr">
        <is>
          <t>9</t>
        </is>
      </c>
      <c r="D390" s="6" t="inlineStr">
        <is>
          <t>下</t>
        </is>
      </c>
      <c r="E390" s="6" t="inlineStr">
        <is>
          <t>理化</t>
        </is>
      </c>
      <c r="F390" s="6" t="n"/>
      <c r="G390" s="6" t="n"/>
      <c r="H390" s="6" t="n"/>
      <c r="I390" s="6" t="n"/>
      <c r="J390" s="6" t="n"/>
      <c r="K390" s="6" t="inlineStr">
        <is>
          <t>未查到</t>
        </is>
      </c>
    </row>
    <row r="391">
      <c r="A391" s="6" t="inlineStr">
        <is>
          <t>南一</t>
        </is>
      </c>
      <c r="B391" s="6" t="inlineStr">
        <is>
          <t>國中</t>
        </is>
      </c>
      <c r="C391" s="6" t="inlineStr">
        <is>
          <t>9</t>
        </is>
      </c>
      <c r="D391" s="6" t="inlineStr">
        <is>
          <t>上</t>
        </is>
      </c>
      <c r="E391" s="6" t="inlineStr">
        <is>
          <t>地球科學</t>
        </is>
      </c>
      <c r="F391" s="6" t="n"/>
      <c r="G391" s="6" t="n"/>
      <c r="H391" s="6" t="n"/>
      <c r="I391" s="6" t="n"/>
      <c r="J391" s="6" t="n"/>
      <c r="K391" s="6" t="inlineStr">
        <is>
          <t>未查到</t>
        </is>
      </c>
    </row>
    <row r="392">
      <c r="A392" s="6" t="inlineStr">
        <is>
          <t>南一</t>
        </is>
      </c>
      <c r="B392" s="6" t="inlineStr">
        <is>
          <t>國中</t>
        </is>
      </c>
      <c r="C392" s="6" t="inlineStr">
        <is>
          <t>9</t>
        </is>
      </c>
      <c r="D392" s="6" t="inlineStr">
        <is>
          <t>下</t>
        </is>
      </c>
      <c r="E392" s="6" t="inlineStr">
        <is>
          <t>地球科學</t>
        </is>
      </c>
      <c r="F392" s="6" t="n"/>
      <c r="G392" s="6" t="n"/>
      <c r="H392" s="6" t="n"/>
      <c r="I392" s="6" t="n"/>
      <c r="J392" s="6" t="n"/>
      <c r="K392" s="6" t="inlineStr">
        <is>
          <t>未查到</t>
        </is>
      </c>
    </row>
    <row r="393">
      <c r="A393" s="6" t="inlineStr">
        <is>
          <t>南一</t>
        </is>
      </c>
      <c r="B393" s="6" t="inlineStr">
        <is>
          <t>國中</t>
        </is>
      </c>
      <c r="C393" s="6" t="inlineStr">
        <is>
          <t>7</t>
        </is>
      </c>
      <c r="D393" s="6" t="inlineStr">
        <is>
          <t>上</t>
        </is>
      </c>
      <c r="E393" s="6" t="inlineStr">
        <is>
          <t>歷史</t>
        </is>
      </c>
      <c r="F393" s="6" t="n"/>
      <c r="G393" s="6" t="n"/>
      <c r="H393" s="6" t="n"/>
      <c r="I393" s="6" t="n"/>
      <c r="J393" s="6" t="n"/>
      <c r="K393" s="6" t="inlineStr">
        <is>
          <t>未查到</t>
        </is>
      </c>
    </row>
    <row r="394">
      <c r="A394" s="6" t="inlineStr">
        <is>
          <t>南一</t>
        </is>
      </c>
      <c r="B394" s="6" t="inlineStr">
        <is>
          <t>國中</t>
        </is>
      </c>
      <c r="C394" s="6" t="inlineStr">
        <is>
          <t>7</t>
        </is>
      </c>
      <c r="D394" s="6" t="inlineStr">
        <is>
          <t>下</t>
        </is>
      </c>
      <c r="E394" s="6" t="inlineStr">
        <is>
          <t>歷史</t>
        </is>
      </c>
      <c r="F394" s="6" t="n"/>
      <c r="G394" s="6" t="n"/>
      <c r="H394" s="6" t="n"/>
      <c r="I394" s="6" t="n"/>
      <c r="J394" s="6" t="n"/>
      <c r="K394" s="6" t="inlineStr">
        <is>
          <t>未查到</t>
        </is>
      </c>
    </row>
    <row r="395">
      <c r="A395" s="6" t="inlineStr">
        <is>
          <t>南一</t>
        </is>
      </c>
      <c r="B395" s="6" t="inlineStr">
        <is>
          <t>國中</t>
        </is>
      </c>
      <c r="C395" s="6" t="inlineStr">
        <is>
          <t>8</t>
        </is>
      </c>
      <c r="D395" s="6" t="inlineStr">
        <is>
          <t>上</t>
        </is>
      </c>
      <c r="E395" s="6" t="inlineStr">
        <is>
          <t>歷史</t>
        </is>
      </c>
      <c r="F395" s="6" t="n"/>
      <c r="G395" s="6" t="n"/>
      <c r="H395" s="6" t="n"/>
      <c r="I395" s="6" t="n"/>
      <c r="J395" s="6" t="n"/>
      <c r="K395" s="6" t="inlineStr">
        <is>
          <t>未查到</t>
        </is>
      </c>
    </row>
    <row r="396">
      <c r="A396" s="6" t="inlineStr">
        <is>
          <t>南一</t>
        </is>
      </c>
      <c r="B396" s="6" t="inlineStr">
        <is>
          <t>國中</t>
        </is>
      </c>
      <c r="C396" s="6" t="inlineStr">
        <is>
          <t>8</t>
        </is>
      </c>
      <c r="D396" s="6" t="inlineStr">
        <is>
          <t>下</t>
        </is>
      </c>
      <c r="E396" s="6" t="inlineStr">
        <is>
          <t>歷史</t>
        </is>
      </c>
      <c r="F396" s="6" t="n"/>
      <c r="G396" s="6" t="n"/>
      <c r="H396" s="6" t="n"/>
      <c r="I396" s="6" t="n"/>
      <c r="J396" s="6" t="n"/>
      <c r="K396" s="6" t="inlineStr">
        <is>
          <t>未查到</t>
        </is>
      </c>
    </row>
    <row r="397">
      <c r="A397" s="6" t="inlineStr">
        <is>
          <t>南一</t>
        </is>
      </c>
      <c r="B397" s="6" t="inlineStr">
        <is>
          <t>國中</t>
        </is>
      </c>
      <c r="C397" s="6" t="inlineStr">
        <is>
          <t>9</t>
        </is>
      </c>
      <c r="D397" s="6" t="inlineStr">
        <is>
          <t>上</t>
        </is>
      </c>
      <c r="E397" s="6" t="inlineStr">
        <is>
          <t>歷史</t>
        </is>
      </c>
      <c r="F397" s="6" t="n"/>
      <c r="G397" s="6" t="n"/>
      <c r="H397" s="6" t="n"/>
      <c r="I397" s="6" t="n"/>
      <c r="J397" s="6" t="n"/>
      <c r="K397" s="6" t="inlineStr">
        <is>
          <t>未查到</t>
        </is>
      </c>
    </row>
    <row r="398">
      <c r="A398" s="6" t="inlineStr">
        <is>
          <t>南一</t>
        </is>
      </c>
      <c r="B398" s="6" t="inlineStr">
        <is>
          <t>國中</t>
        </is>
      </c>
      <c r="C398" s="6" t="inlineStr">
        <is>
          <t>9</t>
        </is>
      </c>
      <c r="D398" s="6" t="inlineStr">
        <is>
          <t>下</t>
        </is>
      </c>
      <c r="E398" s="6" t="inlineStr">
        <is>
          <t>歷史</t>
        </is>
      </c>
      <c r="F398" s="6" t="n"/>
      <c r="G398" s="6" t="n"/>
      <c r="H398" s="6" t="n"/>
      <c r="I398" s="6" t="n"/>
      <c r="J398" s="6" t="n"/>
      <c r="K398" s="6" t="inlineStr">
        <is>
          <t>未查到</t>
        </is>
      </c>
    </row>
    <row r="399">
      <c r="A399" s="6" t="inlineStr">
        <is>
          <t>南一</t>
        </is>
      </c>
      <c r="B399" s="6" t="inlineStr">
        <is>
          <t>國中</t>
        </is>
      </c>
      <c r="C399" s="6" t="inlineStr">
        <is>
          <t>7</t>
        </is>
      </c>
      <c r="D399" s="6" t="inlineStr">
        <is>
          <t>上</t>
        </is>
      </c>
      <c r="E399" s="6" t="inlineStr">
        <is>
          <t>地理</t>
        </is>
      </c>
      <c r="F399" s="6" t="n"/>
      <c r="G399" s="6" t="n"/>
      <c r="H399" s="6" t="n"/>
      <c r="I399" s="6" t="n"/>
      <c r="J399" s="6" t="n"/>
      <c r="K399" s="6" t="inlineStr">
        <is>
          <t>未查到</t>
        </is>
      </c>
    </row>
    <row r="400">
      <c r="A400" s="6" t="inlineStr">
        <is>
          <t>南一</t>
        </is>
      </c>
      <c r="B400" s="6" t="inlineStr">
        <is>
          <t>國中</t>
        </is>
      </c>
      <c r="C400" s="6" t="inlineStr">
        <is>
          <t>7</t>
        </is>
      </c>
      <c r="D400" s="6" t="inlineStr">
        <is>
          <t>下</t>
        </is>
      </c>
      <c r="E400" s="6" t="inlineStr">
        <is>
          <t>地理</t>
        </is>
      </c>
      <c r="F400" s="6" t="n"/>
      <c r="G400" s="6" t="n"/>
      <c r="H400" s="6" t="n"/>
      <c r="I400" s="6" t="n"/>
      <c r="J400" s="6" t="n"/>
      <c r="K400" s="6" t="inlineStr">
        <is>
          <t>未查到</t>
        </is>
      </c>
    </row>
    <row r="401">
      <c r="A401" s="6" t="inlineStr">
        <is>
          <t>南一</t>
        </is>
      </c>
      <c r="B401" s="6" t="inlineStr">
        <is>
          <t>國中</t>
        </is>
      </c>
      <c r="C401" s="6" t="inlineStr">
        <is>
          <t>8</t>
        </is>
      </c>
      <c r="D401" s="6" t="inlineStr">
        <is>
          <t>上</t>
        </is>
      </c>
      <c r="E401" s="6" t="inlineStr">
        <is>
          <t>地理</t>
        </is>
      </c>
      <c r="F401" s="6" t="n"/>
      <c r="G401" s="6" t="n"/>
      <c r="H401" s="6" t="n"/>
      <c r="I401" s="6" t="n"/>
      <c r="J401" s="6" t="n"/>
      <c r="K401" s="6" t="inlineStr">
        <is>
          <t>未查到</t>
        </is>
      </c>
    </row>
    <row r="402">
      <c r="A402" s="6" t="inlineStr">
        <is>
          <t>南一</t>
        </is>
      </c>
      <c r="B402" s="6" t="inlineStr">
        <is>
          <t>國中</t>
        </is>
      </c>
      <c r="C402" s="6" t="inlineStr">
        <is>
          <t>8</t>
        </is>
      </c>
      <c r="D402" s="6" t="inlineStr">
        <is>
          <t>下</t>
        </is>
      </c>
      <c r="E402" s="6" t="inlineStr">
        <is>
          <t>地理</t>
        </is>
      </c>
      <c r="F402" s="6" t="n"/>
      <c r="G402" s="6" t="n"/>
      <c r="H402" s="6" t="n"/>
      <c r="I402" s="6" t="n"/>
      <c r="J402" s="6" t="n"/>
      <c r="K402" s="6" t="inlineStr">
        <is>
          <t>未查到</t>
        </is>
      </c>
    </row>
    <row r="403">
      <c r="A403" s="6" t="inlineStr">
        <is>
          <t>南一</t>
        </is>
      </c>
      <c r="B403" s="6" t="inlineStr">
        <is>
          <t>國中</t>
        </is>
      </c>
      <c r="C403" s="6" t="inlineStr">
        <is>
          <t>9</t>
        </is>
      </c>
      <c r="D403" s="6" t="inlineStr">
        <is>
          <t>上</t>
        </is>
      </c>
      <c r="E403" s="6" t="inlineStr">
        <is>
          <t>地理</t>
        </is>
      </c>
      <c r="F403" s="6" t="n"/>
      <c r="G403" s="6" t="n"/>
      <c r="H403" s="6" t="n"/>
      <c r="I403" s="6" t="n"/>
      <c r="J403" s="6" t="n"/>
      <c r="K403" s="6" t="inlineStr">
        <is>
          <t>未查到</t>
        </is>
      </c>
    </row>
    <row r="404">
      <c r="A404" s="6" t="inlineStr">
        <is>
          <t>南一</t>
        </is>
      </c>
      <c r="B404" s="6" t="inlineStr">
        <is>
          <t>國中</t>
        </is>
      </c>
      <c r="C404" s="6" t="inlineStr">
        <is>
          <t>9</t>
        </is>
      </c>
      <c r="D404" s="6" t="inlineStr">
        <is>
          <t>下</t>
        </is>
      </c>
      <c r="E404" s="6" t="inlineStr">
        <is>
          <t>地理</t>
        </is>
      </c>
      <c r="F404" s="6" t="n"/>
      <c r="G404" s="6" t="n"/>
      <c r="H404" s="6" t="n"/>
      <c r="I404" s="6" t="n"/>
      <c r="J404" s="6" t="n"/>
      <c r="K404" s="6" t="inlineStr">
        <is>
          <t>未查到</t>
        </is>
      </c>
    </row>
    <row r="405">
      <c r="A405" s="6" t="inlineStr">
        <is>
          <t>南一</t>
        </is>
      </c>
      <c r="B405" s="6" t="inlineStr">
        <is>
          <t>國中</t>
        </is>
      </c>
      <c r="C405" s="6" t="inlineStr">
        <is>
          <t>7</t>
        </is>
      </c>
      <c r="D405" s="6" t="inlineStr">
        <is>
          <t>上</t>
        </is>
      </c>
      <c r="E405" s="6" t="inlineStr">
        <is>
          <t>公民</t>
        </is>
      </c>
      <c r="F405" s="6" t="n"/>
      <c r="G405" s="6" t="n"/>
      <c r="H405" s="6" t="n"/>
      <c r="I405" s="6" t="n"/>
      <c r="J405" s="6" t="n"/>
      <c r="K405" s="6" t="inlineStr">
        <is>
          <t>未查到</t>
        </is>
      </c>
    </row>
    <row r="406">
      <c r="A406" s="6" t="inlineStr">
        <is>
          <t>南一</t>
        </is>
      </c>
      <c r="B406" s="6" t="inlineStr">
        <is>
          <t>國中</t>
        </is>
      </c>
      <c r="C406" s="6" t="inlineStr">
        <is>
          <t>7</t>
        </is>
      </c>
      <c r="D406" s="6" t="inlineStr">
        <is>
          <t>下</t>
        </is>
      </c>
      <c r="E406" s="6" t="inlineStr">
        <is>
          <t>公民</t>
        </is>
      </c>
      <c r="F406" s="6" t="n"/>
      <c r="G406" s="6" t="n"/>
      <c r="H406" s="6" t="n"/>
      <c r="I406" s="6" t="n"/>
      <c r="J406" s="6" t="n"/>
      <c r="K406" s="6" t="inlineStr">
        <is>
          <t>未查到</t>
        </is>
      </c>
    </row>
    <row r="407">
      <c r="A407" s="6" t="inlineStr">
        <is>
          <t>南一</t>
        </is>
      </c>
      <c r="B407" s="6" t="inlineStr">
        <is>
          <t>國中</t>
        </is>
      </c>
      <c r="C407" s="6" t="inlineStr">
        <is>
          <t>8</t>
        </is>
      </c>
      <c r="D407" s="6" t="inlineStr">
        <is>
          <t>上</t>
        </is>
      </c>
      <c r="E407" s="6" t="inlineStr">
        <is>
          <t>公民</t>
        </is>
      </c>
      <c r="F407" s="6" t="n"/>
      <c r="G407" s="6" t="n"/>
      <c r="H407" s="6" t="n"/>
      <c r="I407" s="6" t="n"/>
      <c r="J407" s="6" t="n"/>
      <c r="K407" s="6" t="inlineStr">
        <is>
          <t>未查到</t>
        </is>
      </c>
    </row>
    <row r="408">
      <c r="A408" s="6" t="inlineStr">
        <is>
          <t>南一</t>
        </is>
      </c>
      <c r="B408" s="6" t="inlineStr">
        <is>
          <t>國中</t>
        </is>
      </c>
      <c r="C408" s="6" t="inlineStr">
        <is>
          <t>8</t>
        </is>
      </c>
      <c r="D408" s="6" t="inlineStr">
        <is>
          <t>下</t>
        </is>
      </c>
      <c r="E408" s="6" t="inlineStr">
        <is>
          <t>公民</t>
        </is>
      </c>
      <c r="F408" s="6" t="n"/>
      <c r="G408" s="6" t="n"/>
      <c r="H408" s="6" t="n"/>
      <c r="I408" s="6" t="n"/>
      <c r="J408" s="6" t="n"/>
      <c r="K408" s="6" t="inlineStr">
        <is>
          <t>未查到</t>
        </is>
      </c>
    </row>
    <row r="409">
      <c r="A409" s="6" t="inlineStr">
        <is>
          <t>南一</t>
        </is>
      </c>
      <c r="B409" s="6" t="inlineStr">
        <is>
          <t>國中</t>
        </is>
      </c>
      <c r="C409" s="6" t="inlineStr">
        <is>
          <t>9</t>
        </is>
      </c>
      <c r="D409" s="6" t="inlineStr">
        <is>
          <t>上</t>
        </is>
      </c>
      <c r="E409" s="6" t="inlineStr">
        <is>
          <t>公民</t>
        </is>
      </c>
      <c r="F409" s="6" t="n"/>
      <c r="G409" s="6" t="n"/>
      <c r="H409" s="6" t="n"/>
      <c r="I409" s="6" t="n"/>
      <c r="J409" s="6" t="n"/>
      <c r="K409" s="6" t="inlineStr">
        <is>
          <t>未查到</t>
        </is>
      </c>
    </row>
    <row r="410">
      <c r="A410" s="6" t="inlineStr">
        <is>
          <t>南一</t>
        </is>
      </c>
      <c r="B410" s="6" t="inlineStr">
        <is>
          <t>國中</t>
        </is>
      </c>
      <c r="C410" s="6" t="inlineStr">
        <is>
          <t>9</t>
        </is>
      </c>
      <c r="D410" s="6" t="inlineStr">
        <is>
          <t>下</t>
        </is>
      </c>
      <c r="E410" s="6" t="inlineStr">
        <is>
          <t>公民</t>
        </is>
      </c>
      <c r="F410" s="6" t="n"/>
      <c r="G410" s="6" t="n"/>
      <c r="H410" s="6" t="n"/>
      <c r="I410" s="6" t="n"/>
      <c r="J410" s="6" t="n"/>
      <c r="K410" s="6" t="inlineStr">
        <is>
          <t>未查到</t>
        </is>
      </c>
    </row>
  </sheetData>
  <autoFilter ref="A1:K41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4" r:id="rId281"/>
    <hyperlink xmlns:r="http://schemas.openxmlformats.org/officeDocument/2006/relationships" ref="J293" r:id="rId282"/>
    <hyperlink xmlns:r="http://schemas.openxmlformats.org/officeDocument/2006/relationships" ref="J294" r:id="rId283"/>
    <hyperlink xmlns:r="http://schemas.openxmlformats.org/officeDocument/2006/relationships" ref="J295" r:id="rId284"/>
    <hyperlink xmlns:r="http://schemas.openxmlformats.org/officeDocument/2006/relationships" ref="J296" r:id="rId285"/>
    <hyperlink xmlns:r="http://schemas.openxmlformats.org/officeDocument/2006/relationships" ref="J297" r:id="rId286"/>
    <hyperlink xmlns:r="http://schemas.openxmlformats.org/officeDocument/2006/relationships" ref="J298" r:id="rId287"/>
    <hyperlink xmlns:r="http://schemas.openxmlformats.org/officeDocument/2006/relationships" ref="J299" r:id="rId288"/>
    <hyperlink xmlns:r="http://schemas.openxmlformats.org/officeDocument/2006/relationships" ref="J300" r:id="rId289"/>
    <hyperlink xmlns:r="http://schemas.openxmlformats.org/officeDocument/2006/relationships" ref="J301" r:id="rId290"/>
    <hyperlink xmlns:r="http://schemas.openxmlformats.org/officeDocument/2006/relationships" ref="J302" r:id="rId291"/>
    <hyperlink xmlns:r="http://schemas.openxmlformats.org/officeDocument/2006/relationships" ref="J303" r:id="rId292"/>
    <hyperlink xmlns:r="http://schemas.openxmlformats.org/officeDocument/2006/relationships" ref="J304" r:id="rId293"/>
    <hyperlink xmlns:r="http://schemas.openxmlformats.org/officeDocument/2006/relationships" ref="J305" r:id="rId294"/>
    <hyperlink xmlns:r="http://schemas.openxmlformats.org/officeDocument/2006/relationships" ref="J306" r:id="rId295"/>
    <hyperlink xmlns:r="http://schemas.openxmlformats.org/officeDocument/2006/relationships" ref="J307" r:id="rId296"/>
    <hyperlink xmlns:r="http://schemas.openxmlformats.org/officeDocument/2006/relationships" ref="J308" r:id="rId297"/>
    <hyperlink xmlns:r="http://schemas.openxmlformats.org/officeDocument/2006/relationships" ref="J309" r:id="rId298"/>
    <hyperlink xmlns:r="http://schemas.openxmlformats.org/officeDocument/2006/relationships" ref="J310" r:id="rId299"/>
    <hyperlink xmlns:r="http://schemas.openxmlformats.org/officeDocument/2006/relationships" ref="J311" r:id="rId300"/>
    <hyperlink xmlns:r="http://schemas.openxmlformats.org/officeDocument/2006/relationships" ref="J312" r:id="rId301"/>
    <hyperlink xmlns:r="http://schemas.openxmlformats.org/officeDocument/2006/relationships" ref="J313" r:id="rId302"/>
    <hyperlink xmlns:r="http://schemas.openxmlformats.org/officeDocument/2006/relationships" ref="J314" r:id="rId303"/>
    <hyperlink xmlns:r="http://schemas.openxmlformats.org/officeDocument/2006/relationships" ref="J315" r:id="rId304"/>
    <hyperlink xmlns:r="http://schemas.openxmlformats.org/officeDocument/2006/relationships" ref="J316" r:id="rId305"/>
    <hyperlink xmlns:r="http://schemas.openxmlformats.org/officeDocument/2006/relationships" ref="J340" r:id="rId306"/>
    <hyperlink xmlns:r="http://schemas.openxmlformats.org/officeDocument/2006/relationships" ref="J343" r:id="rId307"/>
    <hyperlink xmlns:r="http://schemas.openxmlformats.org/officeDocument/2006/relationships" ref="J344" r:id="rId308"/>
    <hyperlink xmlns:r="http://schemas.openxmlformats.org/officeDocument/2006/relationships" ref="J345" r:id="rId309"/>
    <hyperlink xmlns:r="http://schemas.openxmlformats.org/officeDocument/2006/relationships" ref="J346" r:id="rId310"/>
    <hyperlink xmlns:r="http://schemas.openxmlformats.org/officeDocument/2006/relationships" ref="J347" r:id="rId311"/>
    <hyperlink xmlns:r="http://schemas.openxmlformats.org/officeDocument/2006/relationships" ref="J348" r:id="rId312"/>
    <hyperlink xmlns:r="http://schemas.openxmlformats.org/officeDocument/2006/relationships" ref="J349" r:id="rId313"/>
    <hyperlink xmlns:r="http://schemas.openxmlformats.org/officeDocument/2006/relationships" ref="J350" r:id="rId314"/>
    <hyperlink xmlns:r="http://schemas.openxmlformats.org/officeDocument/2006/relationships" ref="J351" r:id="rId315"/>
    <hyperlink xmlns:r="http://schemas.openxmlformats.org/officeDocument/2006/relationships" ref="J363" r:id="rId316"/>
    <hyperlink xmlns:r="http://schemas.openxmlformats.org/officeDocument/2006/relationships" ref="J364" r:id="rId317"/>
    <hyperlink xmlns:r="http://schemas.openxmlformats.org/officeDocument/2006/relationships" ref="J365" r:id="rId318"/>
    <hyperlink xmlns:r="http://schemas.openxmlformats.org/officeDocument/2006/relationships" ref="J366" r:id="rId319"/>
    <hyperlink xmlns:r="http://schemas.openxmlformats.org/officeDocument/2006/relationships" ref="J367" r:id="rId320"/>
    <hyperlink xmlns:r="http://schemas.openxmlformats.org/officeDocument/2006/relationships" ref="J368" r:id="rId321"/>
    <hyperlink xmlns:r="http://schemas.openxmlformats.org/officeDocument/2006/relationships" ref="J369" r:id="rId322"/>
    <hyperlink xmlns:r="http://schemas.openxmlformats.org/officeDocument/2006/relationships" ref="J370" r:id="rId323"/>
    <hyperlink xmlns:r="http://schemas.openxmlformats.org/officeDocument/2006/relationships" ref="J371" r:id="rId324"/>
    <hyperlink xmlns:r="http://schemas.openxmlformats.org/officeDocument/2006/relationships" ref="J372" r:id="rId325"/>
    <hyperlink xmlns:r="http://schemas.openxmlformats.org/officeDocument/2006/relationships" ref="J373" r:id="rId326"/>
    <hyperlink xmlns:r="http://schemas.openxmlformats.org/officeDocument/2006/relationships" ref="J374" r:id="rId327"/>
    <hyperlink xmlns:r="http://schemas.openxmlformats.org/officeDocument/2006/relationships" ref="J375" r:id="rId328"/>
    <hyperlink xmlns:r="http://schemas.openxmlformats.org/officeDocument/2006/relationships" ref="J376" r:id="rId329"/>
    <hyperlink xmlns:r="http://schemas.openxmlformats.org/officeDocument/2006/relationships" ref="J377" r:id="rId330"/>
    <hyperlink xmlns:r="http://schemas.openxmlformats.org/officeDocument/2006/relationships" ref="J378" r:id="rId331"/>
    <hyperlink xmlns:r="http://schemas.openxmlformats.org/officeDocument/2006/relationships" ref="J379" r:id="rId332"/>
    <hyperlink xmlns:r="http://schemas.openxmlformats.org/officeDocument/2006/relationships" ref="J380" r:id="rId333"/>
    <hyperlink xmlns:r="http://schemas.openxmlformats.org/officeDocument/2006/relationships" ref="J381" r:id="rId334"/>
    <hyperlink xmlns:r="http://schemas.openxmlformats.org/officeDocument/2006/relationships" ref="J382" r:id="rId335"/>
    <hyperlink xmlns:r="http://schemas.openxmlformats.org/officeDocument/2006/relationships" ref="J383" r:id="rId336"/>
    <hyperlink xmlns:r="http://schemas.openxmlformats.org/officeDocument/2006/relationships" ref="J384" r:id="rId337"/>
    <hyperlink xmlns:r="http://schemas.openxmlformats.org/officeDocument/2006/relationships" ref="J385" r:id="rId3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6" t="inlineStr">
        <is>
          <t>南一</t>
        </is>
      </c>
      <c r="B2" s="6" t="inlineStr">
        <is>
          <t>高中</t>
        </is>
      </c>
      <c r="C2" s="6" t="inlineStr">
        <is>
          <t>10</t>
        </is>
      </c>
      <c r="D2" s="6" t="inlineStr">
        <is>
          <t>第一冊</t>
        </is>
      </c>
      <c r="E2" s="6" t="inlineStr">
        <is>
          <t>國文</t>
        </is>
      </c>
      <c r="F2" s="6" t="n"/>
      <c r="G2" s="6" t="n"/>
      <c r="H2" s="6" t="n"/>
      <c r="I2" s="6" t="n"/>
      <c r="J2" s="6" t="n"/>
      <c r="K2" s="6" t="inlineStr">
        <is>
          <t>未查到</t>
        </is>
      </c>
    </row>
    <row r="3">
      <c r="A3" s="6" t="inlineStr">
        <is>
          <t>南一</t>
        </is>
      </c>
      <c r="B3" s="6" t="inlineStr">
        <is>
          <t>高中</t>
        </is>
      </c>
      <c r="C3" s="6" t="inlineStr">
        <is>
          <t>10</t>
        </is>
      </c>
      <c r="D3" s="6" t="inlineStr">
        <is>
          <t>第二冊</t>
        </is>
      </c>
      <c r="E3" s="6" t="inlineStr">
        <is>
          <t>國文</t>
        </is>
      </c>
      <c r="F3" s="6" t="n"/>
      <c r="G3" s="6" t="n"/>
      <c r="H3" s="6" t="n"/>
      <c r="I3" s="6" t="n"/>
      <c r="J3" s="6" t="n"/>
      <c r="K3" s="6" t="inlineStr">
        <is>
          <t>未查到</t>
        </is>
      </c>
    </row>
    <row r="4">
      <c r="A4" s="6" t="inlineStr">
        <is>
          <t>南一</t>
        </is>
      </c>
      <c r="B4" s="6" t="inlineStr">
        <is>
          <t>高中</t>
        </is>
      </c>
      <c r="C4" s="6" t="inlineStr">
        <is>
          <t>11</t>
        </is>
      </c>
      <c r="D4" s="6" t="inlineStr">
        <is>
          <t>第三冊</t>
        </is>
      </c>
      <c r="E4" s="6" t="inlineStr">
        <is>
          <t>國文</t>
        </is>
      </c>
      <c r="F4" s="6" t="n"/>
      <c r="G4" s="6" t="n"/>
      <c r="H4" s="6" t="n"/>
      <c r="I4" s="6" t="n"/>
      <c r="J4" s="6" t="n"/>
      <c r="K4" s="6" t="inlineStr">
        <is>
          <t>未查到</t>
        </is>
      </c>
    </row>
    <row r="5">
      <c r="A5" s="6" t="inlineStr">
        <is>
          <t>南一</t>
        </is>
      </c>
      <c r="B5" s="6" t="inlineStr">
        <is>
          <t>高中</t>
        </is>
      </c>
      <c r="C5" s="6" t="inlineStr">
        <is>
          <t>11</t>
        </is>
      </c>
      <c r="D5" s="6" t="inlineStr">
        <is>
          <t>第四冊</t>
        </is>
      </c>
      <c r="E5" s="6" t="inlineStr">
        <is>
          <t>國文</t>
        </is>
      </c>
      <c r="F5" s="6" t="n"/>
      <c r="G5" s="6" t="n"/>
      <c r="H5" s="6" t="n"/>
      <c r="I5" s="6" t="n"/>
      <c r="J5" s="6" t="n"/>
      <c r="K5" s="6" t="inlineStr">
        <is>
          <t>未查到</t>
        </is>
      </c>
    </row>
    <row r="6">
      <c r="A6" s="6" t="inlineStr">
        <is>
          <t>南一</t>
        </is>
      </c>
      <c r="B6" s="6" t="inlineStr">
        <is>
          <t>高中</t>
        </is>
      </c>
      <c r="C6" s="6" t="inlineStr">
        <is>
          <t>12</t>
        </is>
      </c>
      <c r="D6" s="6" t="inlineStr">
        <is>
          <t>第五冊</t>
        </is>
      </c>
      <c r="E6" s="6" t="inlineStr">
        <is>
          <t>國文</t>
        </is>
      </c>
      <c r="F6" s="6" t="n"/>
      <c r="G6" s="6" t="n"/>
      <c r="H6" s="6" t="n"/>
      <c r="I6" s="6" t="n"/>
      <c r="J6" s="6" t="n"/>
      <c r="K6" s="6" t="inlineStr">
        <is>
          <t>未查到</t>
        </is>
      </c>
    </row>
    <row r="7">
      <c r="A7" s="6" t="inlineStr">
        <is>
          <t>南一</t>
        </is>
      </c>
      <c r="B7" s="6" t="inlineStr">
        <is>
          <t>高中</t>
        </is>
      </c>
      <c r="C7" s="6" t="inlineStr">
        <is>
          <t>12</t>
        </is>
      </c>
      <c r="D7" s="6" t="inlineStr">
        <is>
          <t>第六冊</t>
        </is>
      </c>
      <c r="E7" s="6" t="inlineStr">
        <is>
          <t>國文</t>
        </is>
      </c>
      <c r="F7" s="6" t="n"/>
      <c r="G7" s="6" t="n"/>
      <c r="H7" s="6" t="n"/>
      <c r="I7" s="6" t="n"/>
      <c r="J7" s="6" t="n"/>
      <c r="K7" s="6" t="inlineStr">
        <is>
          <t>未查到</t>
        </is>
      </c>
    </row>
    <row r="8">
      <c r="A8" s="6" t="inlineStr">
        <is>
          <t>南一</t>
        </is>
      </c>
      <c r="B8" s="6" t="inlineStr">
        <is>
          <t>高中</t>
        </is>
      </c>
      <c r="C8" s="6" t="n"/>
      <c r="D8" s="6" t="inlineStr">
        <is>
          <t>加深加廣選修：各類文學選讀</t>
        </is>
      </c>
      <c r="E8" s="6" t="inlineStr">
        <is>
          <t>國文</t>
        </is>
      </c>
      <c r="F8" s="6" t="n"/>
      <c r="G8" s="6" t="n"/>
      <c r="H8" s="6" t="n"/>
      <c r="I8" s="6" t="n"/>
      <c r="J8" s="6" t="n"/>
      <c r="K8" s="6" t="inlineStr">
        <is>
          <t>未查到</t>
        </is>
      </c>
    </row>
    <row r="9">
      <c r="A9" s="6" t="inlineStr">
        <is>
          <t>南一</t>
        </is>
      </c>
      <c r="B9" s="6" t="inlineStr">
        <is>
          <t>高中</t>
        </is>
      </c>
      <c r="C9" s="6" t="n"/>
      <c r="D9" s="6" t="inlineStr">
        <is>
          <t>加深加廣選修：國學常識</t>
        </is>
      </c>
      <c r="E9" s="6" t="inlineStr">
        <is>
          <t>國文</t>
        </is>
      </c>
      <c r="F9" s="6" t="n"/>
      <c r="G9" s="6" t="n"/>
      <c r="H9" s="6" t="n"/>
      <c r="I9" s="6" t="n"/>
      <c r="J9" s="6" t="n"/>
      <c r="K9" s="6" t="inlineStr">
        <is>
          <t>未查到</t>
        </is>
      </c>
    </row>
    <row r="10">
      <c r="A10" s="6" t="inlineStr">
        <is>
          <t>南一</t>
        </is>
      </c>
      <c r="B10" s="6" t="inlineStr">
        <is>
          <t>高中</t>
        </is>
      </c>
      <c r="C10" s="6" t="n"/>
      <c r="D10" s="6" t="inlineStr">
        <is>
          <t>加深加廣選修：專題閱讀與研究</t>
        </is>
      </c>
      <c r="E10" s="6" t="inlineStr">
        <is>
          <t>國文</t>
        </is>
      </c>
      <c r="F10" s="6" t="n"/>
      <c r="G10" s="6" t="n"/>
      <c r="H10" s="6" t="n"/>
      <c r="I10" s="6" t="n"/>
      <c r="J10" s="6" t="n"/>
      <c r="K10" s="6" t="inlineStr">
        <is>
          <t>未查到</t>
        </is>
      </c>
    </row>
    <row r="11">
      <c r="A11" s="6" t="inlineStr">
        <is>
          <t>南一</t>
        </is>
      </c>
      <c r="B11" s="6" t="inlineStr">
        <is>
          <t>高中</t>
        </is>
      </c>
      <c r="C11" s="6" t="n"/>
      <c r="D11" s="6" t="inlineStr">
        <is>
          <t>加深加廣選修：語文表達及傳播應用</t>
        </is>
      </c>
      <c r="E11" s="6" t="inlineStr">
        <is>
          <t>國文</t>
        </is>
      </c>
      <c r="F11" s="6" t="n"/>
      <c r="G11" s="6" t="n"/>
      <c r="H11" s="6" t="n"/>
      <c r="I11" s="6" t="n"/>
      <c r="J11" s="6" t="n"/>
      <c r="K11" s="6" t="inlineStr">
        <is>
          <t>未查到</t>
        </is>
      </c>
    </row>
    <row r="12">
      <c r="A12" s="6" t="inlineStr">
        <is>
          <t>南一</t>
        </is>
      </c>
      <c r="B12" s="6" t="inlineStr">
        <is>
          <t>高中</t>
        </is>
      </c>
      <c r="C12" s="6" t="inlineStr">
        <is>
          <t>10</t>
        </is>
      </c>
      <c r="D12" s="6" t="inlineStr">
        <is>
          <t>第一冊</t>
        </is>
      </c>
      <c r="E12" s="6" t="inlineStr">
        <is>
          <t>英文</t>
        </is>
      </c>
      <c r="F12" s="6" t="n"/>
      <c r="G12" s="6" t="n"/>
      <c r="H12" s="6" t="n"/>
      <c r="I12" s="6" t="n"/>
      <c r="J12" s="6" t="n"/>
      <c r="K12" s="6" t="inlineStr">
        <is>
          <t>未查到</t>
        </is>
      </c>
    </row>
    <row r="13">
      <c r="A13" s="6" t="inlineStr">
        <is>
          <t>南一</t>
        </is>
      </c>
      <c r="B13" s="6" t="inlineStr">
        <is>
          <t>高中</t>
        </is>
      </c>
      <c r="C13" s="6" t="inlineStr">
        <is>
          <t>10</t>
        </is>
      </c>
      <c r="D13" s="6" t="inlineStr">
        <is>
          <t>第二冊</t>
        </is>
      </c>
      <c r="E13" s="6" t="inlineStr">
        <is>
          <t>英文</t>
        </is>
      </c>
      <c r="F13" s="6" t="n"/>
      <c r="G13" s="6" t="n"/>
      <c r="H13" s="6" t="n"/>
      <c r="I13" s="6" t="n"/>
      <c r="J13" s="6" t="n"/>
      <c r="K13" s="6" t="inlineStr">
        <is>
          <t>未查到</t>
        </is>
      </c>
    </row>
    <row r="14">
      <c r="A14" s="6" t="inlineStr">
        <is>
          <t>南一</t>
        </is>
      </c>
      <c r="B14" s="6" t="inlineStr">
        <is>
          <t>高中</t>
        </is>
      </c>
      <c r="C14" s="6" t="inlineStr">
        <is>
          <t>11</t>
        </is>
      </c>
      <c r="D14" s="6" t="inlineStr">
        <is>
          <t>第三冊</t>
        </is>
      </c>
      <c r="E14" s="6" t="inlineStr">
        <is>
          <t>英文</t>
        </is>
      </c>
      <c r="F14" s="6" t="n"/>
      <c r="G14" s="6" t="n"/>
      <c r="H14" s="6" t="n"/>
      <c r="I14" s="6" t="n"/>
      <c r="J14" s="6" t="n"/>
      <c r="K14" s="6" t="inlineStr">
        <is>
          <t>未查到</t>
        </is>
      </c>
    </row>
    <row r="15">
      <c r="A15" s="6" t="inlineStr">
        <is>
          <t>南一</t>
        </is>
      </c>
      <c r="B15" s="6" t="inlineStr">
        <is>
          <t>高中</t>
        </is>
      </c>
      <c r="C15" s="6" t="inlineStr">
        <is>
          <t>11</t>
        </is>
      </c>
      <c r="D15" s="6" t="inlineStr">
        <is>
          <t>第四冊</t>
        </is>
      </c>
      <c r="E15" s="6" t="inlineStr">
        <is>
          <t>英文</t>
        </is>
      </c>
      <c r="F15" s="6" t="n"/>
      <c r="G15" s="6" t="n"/>
      <c r="H15" s="6" t="n"/>
      <c r="I15" s="6" t="n"/>
      <c r="J15" s="6" t="n"/>
      <c r="K15" s="6" t="inlineStr">
        <is>
          <t>未查到</t>
        </is>
      </c>
    </row>
    <row r="16">
      <c r="A16" s="6" t="inlineStr">
        <is>
          <t>南一</t>
        </is>
      </c>
      <c r="B16" s="6" t="inlineStr">
        <is>
          <t>高中</t>
        </is>
      </c>
      <c r="C16" s="6" t="inlineStr">
        <is>
          <t>12</t>
        </is>
      </c>
      <c r="D16" s="6" t="inlineStr">
        <is>
          <t>第五冊</t>
        </is>
      </c>
      <c r="E16" s="6" t="inlineStr">
        <is>
          <t>英文</t>
        </is>
      </c>
      <c r="F16" s="6" t="n"/>
      <c r="G16" s="6" t="n"/>
      <c r="H16" s="6" t="n"/>
      <c r="I16" s="6" t="n"/>
      <c r="J16" s="6" t="n"/>
      <c r="K16" s="6" t="inlineStr">
        <is>
          <t>未查到</t>
        </is>
      </c>
    </row>
    <row r="17">
      <c r="A17" s="6" t="inlineStr">
        <is>
          <t>南一</t>
        </is>
      </c>
      <c r="B17" s="6" t="inlineStr">
        <is>
          <t>高中</t>
        </is>
      </c>
      <c r="C17" s="6" t="inlineStr">
        <is>
          <t>12</t>
        </is>
      </c>
      <c r="D17" s="6" t="inlineStr">
        <is>
          <t>第六冊</t>
        </is>
      </c>
      <c r="E17" s="6" t="inlineStr">
        <is>
          <t>英文</t>
        </is>
      </c>
      <c r="F17" s="6" t="n"/>
      <c r="G17" s="6" t="n"/>
      <c r="H17" s="6" t="n"/>
      <c r="I17" s="6" t="n"/>
      <c r="J17" s="6" t="n"/>
      <c r="K17" s="6" t="inlineStr">
        <is>
          <t>未查到</t>
        </is>
      </c>
    </row>
    <row r="18">
      <c r="A18" s="6" t="inlineStr">
        <is>
          <t>南一</t>
        </is>
      </c>
      <c r="B18" s="6" t="inlineStr">
        <is>
          <t>高中</t>
        </is>
      </c>
      <c r="C18" s="6" t="n"/>
      <c r="D18" s="6" t="inlineStr">
        <is>
          <t>加深加廣選修：英文閱讀與寫作</t>
        </is>
      </c>
      <c r="E18" s="6" t="inlineStr">
        <is>
          <t>英文</t>
        </is>
      </c>
      <c r="F18" s="6" t="n"/>
      <c r="G18" s="6" t="n"/>
      <c r="H18" s="6" t="n"/>
      <c r="I18" s="6" t="n"/>
      <c r="J18" s="6" t="n"/>
      <c r="K18" s="6" t="inlineStr">
        <is>
          <t>未查到</t>
        </is>
      </c>
    </row>
    <row r="19">
      <c r="A19" s="6" t="inlineStr">
        <is>
          <t>南一</t>
        </is>
      </c>
      <c r="B19" s="6" t="inlineStr">
        <is>
          <t>高中</t>
        </is>
      </c>
      <c r="C19" s="6" t="n"/>
      <c r="D19" s="6" t="inlineStr">
        <is>
          <t>加深加廣選修：英語聽講</t>
        </is>
      </c>
      <c r="E19" s="6" t="inlineStr">
        <is>
          <t>英文</t>
        </is>
      </c>
      <c r="F19" s="6" t="n"/>
      <c r="G19" s="6" t="n"/>
      <c r="H19" s="6" t="n"/>
      <c r="I19" s="6" t="n"/>
      <c r="J19" s="6" t="n"/>
      <c r="K19" s="6" t="inlineStr">
        <is>
          <t>未查到</t>
        </is>
      </c>
    </row>
    <row r="20">
      <c r="A20" s="6" t="inlineStr">
        <is>
          <t>南一</t>
        </is>
      </c>
      <c r="B20" s="6" t="inlineStr">
        <is>
          <t>高中</t>
        </is>
      </c>
      <c r="C20" s="6" t="inlineStr">
        <is>
          <t>10</t>
        </is>
      </c>
      <c r="D20" s="6" t="inlineStr">
        <is>
          <t>第一冊</t>
        </is>
      </c>
      <c r="E20" s="6" t="inlineStr">
        <is>
          <t>數學</t>
        </is>
      </c>
      <c r="F20" s="6" t="n"/>
      <c r="G20" s="6" t="n"/>
      <c r="H20" s="6" t="n"/>
      <c r="I20" s="6" t="n"/>
      <c r="J20" s="6" t="n"/>
      <c r="K20" s="6" t="inlineStr">
        <is>
          <t>未查到（南一官方商城有「高中數學(一)課本【114上適用】」商品頁 https://shop.nani1953.com.tw/products/%E9%AB%98%E4%B8%AD%E6%95%B8%E5%AD%B8%E4%B8%80%E8%AA%B2%E6%9C%AC ，但未見目錄）</t>
        </is>
      </c>
    </row>
    <row r="21">
      <c r="A21" s="6" t="inlineStr">
        <is>
          <t>南一</t>
        </is>
      </c>
      <c r="B21" s="6" t="inlineStr">
        <is>
          <t>高中</t>
        </is>
      </c>
      <c r="C21" s="6" t="inlineStr">
        <is>
          <t>10</t>
        </is>
      </c>
      <c r="D21" s="6" t="inlineStr">
        <is>
          <t>第二冊</t>
        </is>
      </c>
      <c r="E21" s="6" t="inlineStr">
        <is>
          <t>數學</t>
        </is>
      </c>
      <c r="F21" s="6" t="n"/>
      <c r="G21" s="6" t="n"/>
      <c r="H21" s="6" t="n"/>
      <c r="I21" s="6" t="n"/>
      <c r="J21" s="6" t="n"/>
      <c r="K21" s="6" t="inlineStr">
        <is>
          <t>未查到（南一商城有「高中數學(二)課本【113下適用】」商品頁，未見目錄）</t>
        </is>
      </c>
    </row>
    <row r="22">
      <c r="A22" s="6" t="inlineStr">
        <is>
          <t>南一</t>
        </is>
      </c>
      <c r="B22" s="6" t="inlineStr">
        <is>
          <t>高中</t>
        </is>
      </c>
      <c r="C22" s="6" t="inlineStr">
        <is>
          <t>11</t>
        </is>
      </c>
      <c r="D22" s="6" t="inlineStr">
        <is>
          <t>第三冊A</t>
        </is>
      </c>
      <c r="E22" s="6" t="inlineStr">
        <is>
          <t>數學</t>
        </is>
      </c>
      <c r="F22" s="6" t="n"/>
      <c r="G22" s="6" t="n"/>
      <c r="H22" s="6" t="n"/>
      <c r="I22" s="6" t="n"/>
      <c r="J22" s="6" t="n"/>
      <c r="K22" s="6" t="inlineStr">
        <is>
          <t>未查到</t>
        </is>
      </c>
    </row>
    <row r="23">
      <c r="A23" s="6" t="inlineStr">
        <is>
          <t>南一</t>
        </is>
      </c>
      <c r="B23" s="6" t="inlineStr">
        <is>
          <t>高中</t>
        </is>
      </c>
      <c r="C23" s="6" t="inlineStr">
        <is>
          <t>11</t>
        </is>
      </c>
      <c r="D23" s="6" t="inlineStr">
        <is>
          <t>第三冊B</t>
        </is>
      </c>
      <c r="E23" s="6" t="inlineStr">
        <is>
          <t>數學</t>
        </is>
      </c>
      <c r="F23" s="6" t="n"/>
      <c r="G23" s="6" t="n"/>
      <c r="H23" s="6" t="n"/>
      <c r="I23" s="6" t="n"/>
      <c r="J23" s="6" t="n"/>
      <c r="K23" s="6" t="inlineStr">
        <is>
          <t>未查到</t>
        </is>
      </c>
    </row>
    <row r="24">
      <c r="A24" s="6" t="inlineStr">
        <is>
          <t>南一</t>
        </is>
      </c>
      <c r="B24" s="6" t="inlineStr">
        <is>
          <t>高中</t>
        </is>
      </c>
      <c r="C24" s="6" t="inlineStr">
        <is>
          <t>11</t>
        </is>
      </c>
      <c r="D24" s="6" t="inlineStr">
        <is>
          <t>第四冊A</t>
        </is>
      </c>
      <c r="E24" s="6" t="inlineStr">
        <is>
          <t>數學</t>
        </is>
      </c>
      <c r="F24" s="6" t="n"/>
      <c r="G24" s="6" t="n"/>
      <c r="H24" s="6" t="n"/>
      <c r="I24" s="6" t="n"/>
      <c r="J24" s="6" t="n"/>
      <c r="K24" s="6" t="inlineStr">
        <is>
          <t>未查到</t>
        </is>
      </c>
    </row>
    <row r="25">
      <c r="A25" s="6" t="inlineStr">
        <is>
          <t>南一</t>
        </is>
      </c>
      <c r="B25" s="6" t="inlineStr">
        <is>
          <t>高中</t>
        </is>
      </c>
      <c r="C25" s="6" t="inlineStr">
        <is>
          <t>11</t>
        </is>
      </c>
      <c r="D25" s="6" t="inlineStr">
        <is>
          <t>第四冊B</t>
        </is>
      </c>
      <c r="E25" s="6" t="inlineStr">
        <is>
          <t>數學</t>
        </is>
      </c>
      <c r="F25" s="6" t="n"/>
      <c r="G25" s="6" t="n"/>
      <c r="H25" s="6" t="n"/>
      <c r="I25" s="6" t="n"/>
      <c r="J25" s="6" t="n"/>
      <c r="K25" s="6" t="inlineStr">
        <is>
          <t>未查到</t>
        </is>
      </c>
    </row>
    <row r="26">
      <c r="A26" s="6" t="inlineStr">
        <is>
          <t>南一</t>
        </is>
      </c>
      <c r="B26" s="6" t="inlineStr">
        <is>
          <t>高中</t>
        </is>
      </c>
      <c r="C26" s="6" t="inlineStr">
        <is>
          <t>12</t>
        </is>
      </c>
      <c r="D26" s="6" t="inlineStr">
        <is>
          <t>數學乙上</t>
        </is>
      </c>
      <c r="E26" s="6" t="inlineStr">
        <is>
          <t>數學</t>
        </is>
      </c>
      <c r="F26" s="6" t="n"/>
      <c r="G26" s="6" t="n"/>
      <c r="H26" s="6" t="n"/>
      <c r="I26" s="6" t="n"/>
      <c r="J26" s="6" t="n"/>
      <c r="K26" s="6" t="inlineStr">
        <is>
          <t>未查到</t>
        </is>
      </c>
    </row>
    <row r="27">
      <c r="A27" s="6" t="inlineStr">
        <is>
          <t>南一</t>
        </is>
      </c>
      <c r="B27" s="6" t="inlineStr">
        <is>
          <t>高中</t>
        </is>
      </c>
      <c r="C27" s="6" t="inlineStr">
        <is>
          <t>12</t>
        </is>
      </c>
      <c r="D27" s="6" t="inlineStr">
        <is>
          <t>數學乙下</t>
        </is>
      </c>
      <c r="E27" s="6" t="inlineStr">
        <is>
          <t>數學</t>
        </is>
      </c>
      <c r="F27" s="6" t="n"/>
      <c r="G27" s="6" t="n"/>
      <c r="H27" s="6" t="n"/>
      <c r="I27" s="6" t="n"/>
      <c r="J27" s="6" t="n"/>
      <c r="K27" s="6" t="inlineStr">
        <is>
          <t>未查到</t>
        </is>
      </c>
    </row>
    <row r="28">
      <c r="A28" s="6" t="inlineStr">
        <is>
          <t>南一</t>
        </is>
      </c>
      <c r="B28" s="6" t="inlineStr">
        <is>
          <t>高中</t>
        </is>
      </c>
      <c r="C28" s="6" t="inlineStr">
        <is>
          <t>12</t>
        </is>
      </c>
      <c r="D28" s="6" t="inlineStr">
        <is>
          <t>數學甲上</t>
        </is>
      </c>
      <c r="E28" s="6" t="inlineStr">
        <is>
          <t>數學</t>
        </is>
      </c>
      <c r="F28" s="6" t="n"/>
      <c r="G28" s="6" t="n"/>
      <c r="H28" s="6" t="n"/>
      <c r="I28" s="6" t="n"/>
      <c r="J28" s="6" t="n"/>
      <c r="K28" s="6" t="inlineStr">
        <is>
          <t>未查到</t>
        </is>
      </c>
    </row>
    <row r="29">
      <c r="A29" s="6" t="inlineStr">
        <is>
          <t>南一</t>
        </is>
      </c>
      <c r="B29" s="6" t="inlineStr">
        <is>
          <t>高中</t>
        </is>
      </c>
      <c r="C29" s="6" t="inlineStr">
        <is>
          <t>12</t>
        </is>
      </c>
      <c r="D29" s="6" t="inlineStr">
        <is>
          <t>數學甲下</t>
        </is>
      </c>
      <c r="E29" s="6" t="inlineStr">
        <is>
          <t>數學</t>
        </is>
      </c>
      <c r="F29" s="6" t="n"/>
      <c r="G29" s="6" t="n"/>
      <c r="H29" s="6" t="n"/>
      <c r="I29" s="6" t="n"/>
      <c r="J29" s="6" t="n"/>
      <c r="K29" s="6" t="inlineStr">
        <is>
          <t>未查到（南一商城有「高中選修數學甲下(乙版)課本【114下適用】」商品頁，未見目錄）</t>
        </is>
      </c>
    </row>
    <row r="30">
      <c r="A30" s="6" t="inlineStr">
        <is>
          <t>南一</t>
        </is>
      </c>
      <c r="B30" s="6" t="inlineStr">
        <is>
          <t>高中</t>
        </is>
      </c>
      <c r="C30" s="6" t="n"/>
      <c r="D30" s="6" t="inlineStr">
        <is>
          <t>基礎生物（一）</t>
        </is>
      </c>
      <c r="E30" s="6" t="inlineStr">
        <is>
          <t>生物</t>
        </is>
      </c>
      <c r="F30" s="6" t="n"/>
      <c r="G30" s="6" t="n"/>
      <c r="H30" s="6" t="n"/>
      <c r="I30" s="6" t="inlineStr">
        <is>
          <t>其他</t>
        </is>
      </c>
      <c r="J30" s="6" t="n"/>
      <c r="K30" s="6" t="inlineStr">
        <is>
          <t>未查到章節；師大附中111學年度資料顯示曾用南一版生物(全)，但沒有單元名稱</t>
        </is>
      </c>
    </row>
    <row r="31">
      <c r="A31" s="6" t="inlineStr">
        <is>
          <t>南一</t>
        </is>
      </c>
      <c r="B31" s="6" t="inlineStr">
        <is>
          <t>高中</t>
        </is>
      </c>
      <c r="C31" s="6" t="n"/>
      <c r="D31" s="6" t="inlineStr">
        <is>
          <t>基礎生物（二）</t>
        </is>
      </c>
      <c r="E31" s="6" t="inlineStr">
        <is>
          <t>生物</t>
        </is>
      </c>
      <c r="F31" s="6" t="n"/>
      <c r="G31" s="6" t="n"/>
      <c r="H31" s="6" t="n"/>
      <c r="I31" s="6" t="inlineStr">
        <is>
          <t>其他</t>
        </is>
      </c>
      <c r="J31" s="6" t="n"/>
      <c r="K31" s="6" t="inlineStr">
        <is>
          <t>未查到</t>
        </is>
      </c>
    </row>
    <row r="32">
      <c r="A32" s="6" t="inlineStr">
        <is>
          <t>南一</t>
        </is>
      </c>
      <c r="B32" s="6" t="inlineStr">
        <is>
          <t>高中</t>
        </is>
      </c>
      <c r="C32" s="6" t="n"/>
      <c r="D32" s="6" t="inlineStr">
        <is>
          <t>選修生物I</t>
        </is>
      </c>
      <c r="E32" s="6" t="inlineStr">
        <is>
          <t>生物</t>
        </is>
      </c>
      <c r="F32" s="6" t="n"/>
      <c r="G32" s="6" t="n"/>
      <c r="H32" s="6" t="n"/>
      <c r="I32" s="6" t="inlineStr">
        <is>
          <t>其他</t>
        </is>
      </c>
      <c r="J32" s="6" t="n"/>
      <c r="K32" s="6" t="inlineStr">
        <is>
          <t>未查到章節；師大附中112-2資料顯示曾用南一版選修生物，但沒有單元名稱與冊次</t>
        </is>
      </c>
    </row>
    <row r="33">
      <c r="A33" s="6" t="inlineStr">
        <is>
          <t>南一</t>
        </is>
      </c>
      <c r="B33" s="6" t="inlineStr">
        <is>
          <t>高中</t>
        </is>
      </c>
      <c r="C33" s="6" t="n"/>
      <c r="D33" s="6" t="inlineStr">
        <is>
          <t>選修生物II</t>
        </is>
      </c>
      <c r="E33" s="6" t="inlineStr">
        <is>
          <t>生物</t>
        </is>
      </c>
      <c r="F33" s="6" t="n"/>
      <c r="G33" s="6" t="n"/>
      <c r="H33" s="6" t="n"/>
      <c r="I33" s="6" t="inlineStr">
        <is>
          <t>其他</t>
        </is>
      </c>
      <c r="J33" s="6" t="n"/>
      <c r="K33" s="6" t="inlineStr">
        <is>
          <t>未查到</t>
        </is>
      </c>
    </row>
    <row r="34">
      <c r="A34" s="6" t="inlineStr">
        <is>
          <t>南一</t>
        </is>
      </c>
      <c r="B34" s="6" t="inlineStr">
        <is>
          <t>高中</t>
        </is>
      </c>
      <c r="C34" s="6" t="n"/>
      <c r="D34" s="6" t="inlineStr">
        <is>
          <t>選修生物III</t>
        </is>
      </c>
      <c r="E34" s="6" t="inlineStr">
        <is>
          <t>生物</t>
        </is>
      </c>
      <c r="F34" s="6" t="n"/>
      <c r="G34" s="6" t="n"/>
      <c r="H34" s="6" t="n"/>
      <c r="I34" s="6" t="inlineStr">
        <is>
          <t>其他</t>
        </is>
      </c>
      <c r="J34" s="6" t="n"/>
      <c r="K34" s="6" t="inlineStr">
        <is>
          <t>未查到</t>
        </is>
      </c>
    </row>
    <row r="35">
      <c r="A35" s="6" t="inlineStr">
        <is>
          <t>南一</t>
        </is>
      </c>
      <c r="B35" s="6" t="inlineStr">
        <is>
          <t>高中</t>
        </is>
      </c>
      <c r="C35" s="6" t="n"/>
      <c r="D35" s="6" t="inlineStr">
        <is>
          <t>選修生物IV</t>
        </is>
      </c>
      <c r="E35" s="6" t="inlineStr">
        <is>
          <t>生物</t>
        </is>
      </c>
      <c r="F35" s="6" t="n"/>
      <c r="G35" s="6" t="n"/>
      <c r="H35" s="6" t="n"/>
      <c r="I35" s="6" t="inlineStr">
        <is>
          <t>其他</t>
        </is>
      </c>
      <c r="J35" s="6" t="n"/>
      <c r="K35" s="6" t="inlineStr">
        <is>
          <t>未查到</t>
        </is>
      </c>
    </row>
    <row r="36">
      <c r="A36" s="6" t="inlineStr">
        <is>
          <t>南一</t>
        </is>
      </c>
      <c r="B36" s="6" t="inlineStr">
        <is>
          <t>高中</t>
        </is>
      </c>
      <c r="C36" s="6" t="n"/>
      <c r="D36" s="6" t="inlineStr">
        <is>
          <t>基礎物理（一）</t>
        </is>
      </c>
      <c r="E36" s="6" t="inlineStr">
        <is>
          <t>物理</t>
        </is>
      </c>
      <c r="F36" s="6" t="n"/>
      <c r="G36" s="6" t="n"/>
      <c r="H36" s="6" t="n"/>
      <c r="I36" s="6" t="inlineStr">
        <is>
          <t>其他</t>
        </is>
      </c>
      <c r="J36" s="6" t="n"/>
      <c r="K36" s="6" t="inlineStr">
        <is>
          <t>未查到</t>
        </is>
      </c>
    </row>
    <row r="37">
      <c r="A37" s="6" t="inlineStr">
        <is>
          <t>南一</t>
        </is>
      </c>
      <c r="B37" s="6" t="inlineStr">
        <is>
          <t>高中</t>
        </is>
      </c>
      <c r="C37" s="6" t="n"/>
      <c r="D37" s="6" t="inlineStr">
        <is>
          <t>選修物理I</t>
        </is>
      </c>
      <c r="E37" s="6" t="inlineStr">
        <is>
          <t>物理</t>
        </is>
      </c>
      <c r="F37" s="6" t="n"/>
      <c r="G37" s="6" t="n"/>
      <c r="H37" s="6" t="n"/>
      <c r="I37" s="6" t="inlineStr">
        <is>
          <t>其他</t>
        </is>
      </c>
      <c r="J37" s="6" t="n"/>
      <c r="K37" s="6" t="inlineStr">
        <is>
          <t>未查到</t>
        </is>
      </c>
    </row>
    <row r="38">
      <c r="A38" s="6" t="inlineStr">
        <is>
          <t>南一</t>
        </is>
      </c>
      <c r="B38" s="6" t="inlineStr">
        <is>
          <t>高中</t>
        </is>
      </c>
      <c r="C38" s="6" t="n"/>
      <c r="D38" s="6" t="inlineStr">
        <is>
          <t>選修物理II</t>
        </is>
      </c>
      <c r="E38" s="6" t="inlineStr">
        <is>
          <t>物理</t>
        </is>
      </c>
      <c r="F38" s="6" t="n"/>
      <c r="G38" s="6" t="n"/>
      <c r="H38" s="6" t="n"/>
      <c r="I38" s="6" t="inlineStr">
        <is>
          <t>其他</t>
        </is>
      </c>
      <c r="J38" s="6" t="n"/>
      <c r="K38" s="6" t="inlineStr">
        <is>
          <t>未查到</t>
        </is>
      </c>
    </row>
    <row r="39">
      <c r="A39" s="6" t="inlineStr">
        <is>
          <t>南一</t>
        </is>
      </c>
      <c r="B39" s="6" t="inlineStr">
        <is>
          <t>高中</t>
        </is>
      </c>
      <c r="C39" s="6" t="n"/>
      <c r="D39" s="6" t="inlineStr">
        <is>
          <t>選修物理III</t>
        </is>
      </c>
      <c r="E39" s="6" t="inlineStr">
        <is>
          <t>物理</t>
        </is>
      </c>
      <c r="F39" s="6" t="n"/>
      <c r="G39" s="6" t="n"/>
      <c r="H39" s="6" t="n"/>
      <c r="I39" s="6" t="inlineStr">
        <is>
          <t>其他</t>
        </is>
      </c>
      <c r="J39" s="6" t="n"/>
      <c r="K39" s="6" t="inlineStr">
        <is>
          <t>未查到</t>
        </is>
      </c>
    </row>
    <row r="40">
      <c r="A40" s="6" t="inlineStr">
        <is>
          <t>南一</t>
        </is>
      </c>
      <c r="B40" s="6" t="inlineStr">
        <is>
          <t>高中</t>
        </is>
      </c>
      <c r="C40" s="6" t="n"/>
      <c r="D40" s="6" t="inlineStr">
        <is>
          <t>選修物理IV</t>
        </is>
      </c>
      <c r="E40" s="6" t="inlineStr">
        <is>
          <t>物理</t>
        </is>
      </c>
      <c r="F40" s="6" t="n"/>
      <c r="G40" s="6" t="n"/>
      <c r="H40" s="6" t="n"/>
      <c r="I40" s="6" t="inlineStr">
        <is>
          <t>其他</t>
        </is>
      </c>
      <c r="J40" s="6" t="n"/>
      <c r="K40" s="6" t="inlineStr">
        <is>
          <t>未查到</t>
        </is>
      </c>
    </row>
    <row r="41">
      <c r="A41" s="6" t="inlineStr">
        <is>
          <t>南一</t>
        </is>
      </c>
      <c r="B41" s="6" t="inlineStr">
        <is>
          <t>高中</t>
        </is>
      </c>
      <c r="C41" s="6" t="n"/>
      <c r="D41" s="6" t="inlineStr">
        <is>
          <t>選修物理V</t>
        </is>
      </c>
      <c r="E41" s="6" t="inlineStr">
        <is>
          <t>物理</t>
        </is>
      </c>
      <c r="F41" s="6" t="n"/>
      <c r="G41" s="6" t="n"/>
      <c r="H41" s="6" t="n"/>
      <c r="I41" s="6" t="inlineStr">
        <is>
          <t>其他</t>
        </is>
      </c>
      <c r="J41" s="6" t="n"/>
      <c r="K41" s="6" t="inlineStr">
        <is>
          <t>未查到</t>
        </is>
      </c>
    </row>
    <row r="42">
      <c r="A42" s="4" t="inlineStr">
        <is>
          <t>南一</t>
        </is>
      </c>
      <c r="B42" s="4" t="inlineStr">
        <is>
          <t>高中</t>
        </is>
      </c>
      <c r="C42" s="4" t="inlineStr">
        <is>
          <t>10</t>
        </is>
      </c>
      <c r="D42" s="4" t="inlineStr">
        <is>
          <t>高一化學（來源未寫冊名）</t>
        </is>
      </c>
      <c r="E42" s="4" t="inlineStr">
        <is>
          <t>化學</t>
        </is>
      </c>
      <c r="F42" s="4" t="inlineStr">
        <is>
          <t>物質的組成</t>
        </is>
      </c>
      <c r="G42" s="4" t="n"/>
      <c r="H42" s="4" t="inlineStr">
        <is>
          <t>109</t>
        </is>
      </c>
      <c r="I42" s="4" t="inlineStr">
        <is>
          <t>學校課程計畫</t>
        </is>
      </c>
      <c r="J42" s="5" t="inlineStr">
        <is>
          <t>https://www.nhush.tp.edu.tw/wp-content/uploads/doc/nhush602/109年度第2學期高一化學.pdf</t>
        </is>
      </c>
      <c r="K42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3">
      <c r="A43" s="4" t="inlineStr">
        <is>
          <t>南一</t>
        </is>
      </c>
      <c r="B43" s="4" t="inlineStr">
        <is>
          <t>高中</t>
        </is>
      </c>
      <c r="C43" s="4" t="inlineStr">
        <is>
          <t>10</t>
        </is>
      </c>
      <c r="D43" s="4" t="inlineStr">
        <is>
          <t>高一化學（來源未寫冊名）</t>
        </is>
      </c>
      <c r="E43" s="4" t="inlineStr">
        <is>
          <t>化學</t>
        </is>
      </c>
      <c r="F43" s="4" t="inlineStr">
        <is>
          <t>物質的形成</t>
        </is>
      </c>
      <c r="G43" s="4" t="n"/>
      <c r="H43" s="4" t="inlineStr">
        <is>
          <t>109</t>
        </is>
      </c>
      <c r="I43" s="4" t="inlineStr">
        <is>
          <t>學校課程計畫</t>
        </is>
      </c>
      <c r="J43" s="5" t="inlineStr">
        <is>
          <t>https://www.nhush.tp.edu.tw/wp-content/uploads/doc/nhush602/109年度第2學期高一化學.pdf</t>
        </is>
      </c>
      <c r="K43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4">
      <c r="A44" s="4" t="inlineStr">
        <is>
          <t>南一</t>
        </is>
      </c>
      <c r="B44" s="4" t="inlineStr">
        <is>
          <t>高中</t>
        </is>
      </c>
      <c r="C44" s="4" t="inlineStr">
        <is>
          <t>10</t>
        </is>
      </c>
      <c r="D44" s="4" t="inlineStr">
        <is>
          <t>高一化學（來源未寫冊名）</t>
        </is>
      </c>
      <c r="E44" s="4" t="inlineStr">
        <is>
          <t>化學</t>
        </is>
      </c>
      <c r="F44" s="4" t="inlineStr">
        <is>
          <t>物質間的反應</t>
        </is>
      </c>
      <c r="G44" s="4" t="n"/>
      <c r="H44" s="4" t="inlineStr">
        <is>
          <t>109</t>
        </is>
      </c>
      <c r="I44" s="4" t="inlineStr">
        <is>
          <t>學校課程計畫</t>
        </is>
      </c>
      <c r="J44" s="5" t="inlineStr">
        <is>
          <t>https://www.nhush.tp.edu.tw/wp-content/uploads/doc/nhush602/109年度第2學期高一化學.pdf</t>
        </is>
      </c>
      <c r="K44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5">
      <c r="A45" s="4" t="inlineStr">
        <is>
          <t>南一</t>
        </is>
      </c>
      <c r="B45" s="4" t="inlineStr">
        <is>
          <t>高中</t>
        </is>
      </c>
      <c r="C45" s="4" t="inlineStr">
        <is>
          <t>10</t>
        </is>
      </c>
      <c r="D45" s="4" t="inlineStr">
        <is>
          <t>高一化學（來源未寫冊名）</t>
        </is>
      </c>
      <c r="E45" s="4" t="inlineStr">
        <is>
          <t>化學</t>
        </is>
      </c>
      <c r="F45" s="4" t="inlineStr">
        <is>
          <t>生活中的化學</t>
        </is>
      </c>
      <c r="G45" s="4" t="n"/>
      <c r="H45" s="4" t="inlineStr">
        <is>
          <t>109</t>
        </is>
      </c>
      <c r="I45" s="4" t="inlineStr">
        <is>
          <t>學校課程計畫</t>
        </is>
      </c>
      <c r="J45" s="5" t="inlineStr">
        <is>
          <t>https://www.nhush.tp.edu.tw/wp-content/uploads/doc/nhush602/109年度第2學期高一化學.pdf</t>
        </is>
      </c>
      <c r="K45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6">
      <c r="A46" s="4" t="inlineStr">
        <is>
          <t>南一</t>
        </is>
      </c>
      <c r="B46" s="4" t="inlineStr">
        <is>
          <t>高中</t>
        </is>
      </c>
      <c r="C46" s="4" t="inlineStr">
        <is>
          <t>12</t>
        </is>
      </c>
      <c r="D46" s="4" t="inlineStr">
        <is>
          <t>選修化學V（來源只寫「選修化學」）</t>
        </is>
      </c>
      <c r="E46" s="4" t="inlineStr">
        <is>
          <t>化學</t>
        </is>
      </c>
      <c r="F46" s="4" t="inlineStr">
        <is>
          <t>第1章（章名未見）</t>
        </is>
      </c>
      <c r="G46" s="4" t="inlineStr">
        <is>
          <t>1-1 烴類；1-2 有機鹵化物；1-3 醇、酚、醚；1-4、1-5 醛、酮、酸、酯（來源合列）；1-6 胺與醯胺</t>
        </is>
      </c>
      <c r="H46" s="4" t="inlineStr">
        <is>
          <t>111</t>
        </is>
      </c>
      <c r="I46" s="4" t="inlineStr">
        <is>
          <t>學校課程計畫</t>
        </is>
      </c>
      <c r="J46" s="5" t="inlineStr">
        <is>
          <t>https://www.hs.ntnu.edu.tw/static/webroot/G162269151451663/application/NW167904652851841.pdf</t>
        </is>
      </c>
      <c r="K46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7">
      <c r="A47" s="4" t="inlineStr">
        <is>
          <t>南一</t>
        </is>
      </c>
      <c r="B47" s="4" t="inlineStr">
        <is>
          <t>高中</t>
        </is>
      </c>
      <c r="C47" s="4" t="inlineStr">
        <is>
          <t>12</t>
        </is>
      </c>
      <c r="D47" s="4" t="inlineStr">
        <is>
          <t>選修化學V（來源只寫「選修化學」）</t>
        </is>
      </c>
      <c r="E47" s="4" t="inlineStr">
        <is>
          <t>化學</t>
        </is>
      </c>
      <c r="F47" s="4" t="inlineStr">
        <is>
          <t>第2章（章名未見）</t>
        </is>
      </c>
      <c r="G47" s="4" t="inlineStr">
        <is>
          <t>2-1 聚合物分類；2-2 天然聚合物</t>
        </is>
      </c>
      <c r="H47" s="4" t="inlineStr">
        <is>
          <t>111</t>
        </is>
      </c>
      <c r="I47" s="4" t="inlineStr">
        <is>
          <t>學校課程計畫</t>
        </is>
      </c>
      <c r="J47" s="5" t="inlineStr">
        <is>
          <t>https://www.hs.ntnu.edu.tw/static/webroot/G162269151451663/application/NW167904652851841.pdf</t>
        </is>
      </c>
      <c r="K47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8">
      <c r="A48" s="6" t="inlineStr">
        <is>
          <t>南一</t>
        </is>
      </c>
      <c r="B48" s="6" t="inlineStr">
        <is>
          <t>高中</t>
        </is>
      </c>
      <c r="C48" s="6" t="n"/>
      <c r="D48" s="6" t="inlineStr">
        <is>
          <t>基礎化學（三）</t>
        </is>
      </c>
      <c r="E48" s="6" t="inlineStr">
        <is>
          <t>化學</t>
        </is>
      </c>
      <c r="F48" s="6" t="n"/>
      <c r="G48" s="6" t="n"/>
      <c r="H48" s="6" t="n"/>
      <c r="I48" s="6" t="inlineStr">
        <is>
          <t>其他</t>
        </is>
      </c>
      <c r="J48" s="6" t="n"/>
      <c r="K48" s="6" t="inlineStr">
        <is>
          <t>未查到</t>
        </is>
      </c>
    </row>
    <row r="49">
      <c r="A49" s="6" t="inlineStr">
        <is>
          <t>南一</t>
        </is>
      </c>
      <c r="B49" s="6" t="inlineStr">
        <is>
          <t>高中</t>
        </is>
      </c>
      <c r="C49" s="6" t="n"/>
      <c r="D49" s="6" t="inlineStr">
        <is>
          <t>基礎化學（二）</t>
        </is>
      </c>
      <c r="E49" s="6" t="inlineStr">
        <is>
          <t>化學</t>
        </is>
      </c>
      <c r="F49" s="6" t="n"/>
      <c r="G49" s="6" t="n"/>
      <c r="H49" s="6" t="n"/>
      <c r="I49" s="6" t="inlineStr">
        <is>
          <t>其他</t>
        </is>
      </c>
      <c r="J49" s="6" t="n"/>
      <c r="K49" s="6" t="inlineStr">
        <is>
          <t>未查到</t>
        </is>
      </c>
    </row>
    <row r="50">
      <c r="A50" s="6" t="inlineStr">
        <is>
          <t>南一</t>
        </is>
      </c>
      <c r="B50" s="6" t="inlineStr">
        <is>
          <t>高中</t>
        </is>
      </c>
      <c r="C50" s="6" t="n"/>
      <c r="D50" s="6" t="inlineStr">
        <is>
          <t>選修化學I</t>
        </is>
      </c>
      <c r="E50" s="6" t="inlineStr">
        <is>
          <t>化學</t>
        </is>
      </c>
      <c r="F50" s="6" t="n"/>
      <c r="G50" s="6" t="n"/>
      <c r="H50" s="6" t="n"/>
      <c r="I50" s="6" t="inlineStr">
        <is>
          <t>其他</t>
        </is>
      </c>
      <c r="J50" s="6" t="n"/>
      <c r="K50" s="6" t="inlineStr">
        <is>
          <t>未查到</t>
        </is>
      </c>
    </row>
    <row r="51">
      <c r="A51" s="6" t="inlineStr">
        <is>
          <t>南一</t>
        </is>
      </c>
      <c r="B51" s="6" t="inlineStr">
        <is>
          <t>高中</t>
        </is>
      </c>
      <c r="C51" s="6" t="n"/>
      <c r="D51" s="6" t="inlineStr">
        <is>
          <t>選修化學II</t>
        </is>
      </c>
      <c r="E51" s="6" t="inlineStr">
        <is>
          <t>化學</t>
        </is>
      </c>
      <c r="F51" s="6" t="n"/>
      <c r="G51" s="6" t="n"/>
      <c r="H51" s="6" t="n"/>
      <c r="I51" s="6" t="inlineStr">
        <is>
          <t>其他</t>
        </is>
      </c>
      <c r="J51" s="6" t="n"/>
      <c r="K51" s="6" t="inlineStr">
        <is>
          <t>未查到</t>
        </is>
      </c>
    </row>
    <row r="52">
      <c r="A52" s="6" t="inlineStr">
        <is>
          <t>南一</t>
        </is>
      </c>
      <c r="B52" s="6" t="inlineStr">
        <is>
          <t>高中</t>
        </is>
      </c>
      <c r="C52" s="6" t="n"/>
      <c r="D52" s="6" t="inlineStr">
        <is>
          <t>選修化學III</t>
        </is>
      </c>
      <c r="E52" s="6" t="inlineStr">
        <is>
          <t>化學</t>
        </is>
      </c>
      <c r="F52" s="6" t="n"/>
      <c r="G52" s="6" t="n"/>
      <c r="H52" s="6" t="n"/>
      <c r="I52" s="6" t="inlineStr">
        <is>
          <t>其他</t>
        </is>
      </c>
      <c r="J52" s="6" t="n"/>
      <c r="K52" s="6" t="inlineStr">
        <is>
          <t>未查到</t>
        </is>
      </c>
    </row>
    <row r="53">
      <c r="A53" s="6" t="inlineStr">
        <is>
          <t>南一</t>
        </is>
      </c>
      <c r="B53" s="6" t="inlineStr">
        <is>
          <t>高中</t>
        </is>
      </c>
      <c r="C53" s="6" t="n"/>
      <c r="D53" s="6" t="inlineStr">
        <is>
          <t>選修化學IV</t>
        </is>
      </c>
      <c r="E53" s="6" t="inlineStr">
        <is>
          <t>化學</t>
        </is>
      </c>
      <c r="F53" s="6" t="n"/>
      <c r="G53" s="6" t="n"/>
      <c r="H53" s="6" t="n"/>
      <c r="I53" s="6" t="inlineStr">
        <is>
          <t>其他</t>
        </is>
      </c>
      <c r="J53" s="6" t="n"/>
      <c r="K53" s="6" t="inlineStr">
        <is>
          <t>未查到</t>
        </is>
      </c>
    </row>
    <row r="54">
      <c r="A54" s="6" t="inlineStr">
        <is>
          <t>南一</t>
        </is>
      </c>
      <c r="B54" s="6" t="inlineStr">
        <is>
          <t>高中</t>
        </is>
      </c>
      <c r="C54" s="6" t="n"/>
      <c r="D54" s="6" t="inlineStr">
        <is>
          <t>基礎地球科學（一）</t>
        </is>
      </c>
      <c r="E54" s="6" t="inlineStr">
        <is>
          <t>地球科學</t>
        </is>
      </c>
      <c r="F54" s="6" t="n"/>
      <c r="G54" s="6" t="n"/>
      <c r="H54" s="6" t="n"/>
      <c r="I54" s="6" t="inlineStr">
        <is>
          <t>其他</t>
        </is>
      </c>
      <c r="J54" s="6" t="n"/>
      <c r="K54" s="6" t="inlineStr">
        <is>
          <t>未查到</t>
        </is>
      </c>
    </row>
    <row r="55">
      <c r="A55" s="6" t="inlineStr">
        <is>
          <t>南一</t>
        </is>
      </c>
      <c r="B55" s="6" t="inlineStr">
        <is>
          <t>高中</t>
        </is>
      </c>
      <c r="C55" s="6" t="n"/>
      <c r="D55" s="6" t="inlineStr">
        <is>
          <t>基礎地球科學（二）</t>
        </is>
      </c>
      <c r="E55" s="6" t="inlineStr">
        <is>
          <t>地球科學</t>
        </is>
      </c>
      <c r="F55" s="6" t="n"/>
      <c r="G55" s="6" t="n"/>
      <c r="H55" s="6" t="n"/>
      <c r="I55" s="6" t="inlineStr">
        <is>
          <t>其他</t>
        </is>
      </c>
      <c r="J55" s="6" t="n"/>
      <c r="K55" s="6" t="inlineStr">
        <is>
          <t>未查到</t>
        </is>
      </c>
    </row>
    <row r="56">
      <c r="A56" s="6" t="inlineStr">
        <is>
          <t>南一</t>
        </is>
      </c>
      <c r="B56" s="6" t="inlineStr">
        <is>
          <t>高中</t>
        </is>
      </c>
      <c r="C56" s="6" t="n"/>
      <c r="D56" s="6" t="inlineStr">
        <is>
          <t>選修地球科學I</t>
        </is>
      </c>
      <c r="E56" s="6" t="inlineStr">
        <is>
          <t>地球科學</t>
        </is>
      </c>
      <c r="F56" s="6" t="n"/>
      <c r="G56" s="6" t="n"/>
      <c r="H56" s="6" t="n"/>
      <c r="I56" s="6" t="inlineStr">
        <is>
          <t>其他</t>
        </is>
      </c>
      <c r="J56" s="6" t="n"/>
      <c r="K56" s="6" t="inlineStr">
        <is>
          <t>未查到</t>
        </is>
      </c>
    </row>
    <row r="57">
      <c r="A57" s="6" t="inlineStr">
        <is>
          <t>南一</t>
        </is>
      </c>
      <c r="B57" s="6" t="inlineStr">
        <is>
          <t>高中</t>
        </is>
      </c>
      <c r="C57" s="6" t="n"/>
      <c r="D57" s="6" t="inlineStr">
        <is>
          <t>選修地球科學II</t>
        </is>
      </c>
      <c r="E57" s="6" t="inlineStr">
        <is>
          <t>地球科學</t>
        </is>
      </c>
      <c r="F57" s="6" t="n"/>
      <c r="G57" s="6" t="n"/>
      <c r="H57" s="6" t="n"/>
      <c r="I57" s="6" t="inlineStr">
        <is>
          <t>其他</t>
        </is>
      </c>
      <c r="J57" s="6" t="n"/>
      <c r="K57" s="6" t="inlineStr">
        <is>
          <t>未查到</t>
        </is>
      </c>
    </row>
    <row r="58">
      <c r="A58" s="6" t="inlineStr">
        <is>
          <t>南一</t>
        </is>
      </c>
      <c r="B58" s="6" t="inlineStr">
        <is>
          <t>高中</t>
        </is>
      </c>
      <c r="C58" s="6" t="n"/>
      <c r="D58" s="6" t="inlineStr">
        <is>
          <t>選修地球科學III</t>
        </is>
      </c>
      <c r="E58" s="6" t="inlineStr">
        <is>
          <t>地球科學</t>
        </is>
      </c>
      <c r="F58" s="6" t="n"/>
      <c r="G58" s="6" t="n"/>
      <c r="H58" s="6" t="n"/>
      <c r="I58" s="6" t="inlineStr">
        <is>
          <t>其他</t>
        </is>
      </c>
      <c r="J58" s="6" t="n"/>
      <c r="K58" s="6" t="inlineStr">
        <is>
          <t>未查到</t>
        </is>
      </c>
    </row>
    <row r="59">
      <c r="A59" s="6" t="inlineStr">
        <is>
          <t>南一</t>
        </is>
      </c>
      <c r="B59" s="6" t="inlineStr">
        <is>
          <t>高中</t>
        </is>
      </c>
      <c r="C59" s="6" t="n"/>
      <c r="D59" s="6" t="inlineStr">
        <is>
          <t>選修地球科學IV</t>
        </is>
      </c>
      <c r="E59" s="6" t="inlineStr">
        <is>
          <t>地球科學</t>
        </is>
      </c>
      <c r="F59" s="6" t="n"/>
      <c r="G59" s="6" t="n"/>
      <c r="H59" s="6" t="n"/>
      <c r="I59" s="6" t="inlineStr">
        <is>
          <t>其他</t>
        </is>
      </c>
      <c r="J59" s="6" t="n"/>
      <c r="K59" s="6" t="inlineStr">
        <is>
          <t>未查到</t>
        </is>
      </c>
    </row>
    <row r="60">
      <c r="A60" s="6" t="inlineStr">
        <is>
          <t>南一</t>
        </is>
      </c>
      <c r="B60" s="6" t="inlineStr">
        <is>
          <t>高中</t>
        </is>
      </c>
      <c r="C60" s="6" t="inlineStr">
        <is>
          <t>10</t>
        </is>
      </c>
      <c r="D60" s="6" t="inlineStr">
        <is>
          <t>第一冊</t>
        </is>
      </c>
      <c r="E60" s="6" t="inlineStr">
        <is>
          <t>歷史</t>
        </is>
      </c>
      <c r="F60" s="6" t="n"/>
      <c r="G60" s="6" t="n"/>
      <c r="H60" s="6" t="n"/>
      <c r="I60" s="6" t="n"/>
      <c r="J60" s="6" t="n"/>
      <c r="K60" s="6" t="inlineStr">
        <is>
          <t>未查到（WebSearch 額度用盡，未及搜尋）</t>
        </is>
      </c>
    </row>
    <row r="61">
      <c r="A61" s="6" t="inlineStr">
        <is>
          <t>南一</t>
        </is>
      </c>
      <c r="B61" s="6" t="inlineStr">
        <is>
          <t>高中</t>
        </is>
      </c>
      <c r="C61" s="6" t="inlineStr">
        <is>
          <t>10</t>
        </is>
      </c>
      <c r="D61" s="6" t="inlineStr">
        <is>
          <t>第二冊</t>
        </is>
      </c>
      <c r="E61" s="6" t="inlineStr">
        <is>
          <t>歷史</t>
        </is>
      </c>
      <c r="F61" s="6" t="n"/>
      <c r="G61" s="6" t="n"/>
      <c r="H61" s="6" t="n"/>
      <c r="I61" s="6" t="n"/>
      <c r="J61" s="6" t="n"/>
      <c r="K61" s="6" t="inlineStr">
        <is>
          <t>未查到（WebSearch 額度用盡，未及搜尋）</t>
        </is>
      </c>
    </row>
    <row r="62">
      <c r="A62" s="6" t="inlineStr">
        <is>
          <t>南一</t>
        </is>
      </c>
      <c r="B62" s="6" t="inlineStr">
        <is>
          <t>高中</t>
        </is>
      </c>
      <c r="C62" s="6" t="inlineStr">
        <is>
          <t>11</t>
        </is>
      </c>
      <c r="D62" s="6" t="inlineStr">
        <is>
          <t>第三冊</t>
        </is>
      </c>
      <c r="E62" s="6" t="inlineStr">
        <is>
          <t>歷史</t>
        </is>
      </c>
      <c r="F62" s="6" t="n"/>
      <c r="G62" s="6" t="n"/>
      <c r="H62" s="6" t="n"/>
      <c r="I62" s="6" t="n"/>
      <c r="J62" s="6" t="n"/>
      <c r="K62" s="6" t="inlineStr">
        <is>
          <t>未查到（WebSearch 額度用盡，未及搜尋）</t>
        </is>
      </c>
    </row>
    <row r="63">
      <c r="A63" s="6" t="inlineStr">
        <is>
          <t>南一</t>
        </is>
      </c>
      <c r="B63" s="6" t="inlineStr">
        <is>
          <t>高中</t>
        </is>
      </c>
      <c r="C63" s="6" t="n"/>
      <c r="D63" s="6" t="inlineStr">
        <is>
          <t>加深加廣選修 探究與實作：歷史學探究</t>
        </is>
      </c>
      <c r="E63" s="6" t="inlineStr">
        <is>
          <t>歷史</t>
        </is>
      </c>
      <c r="F63" s="6" t="n"/>
      <c r="G63" s="6" t="n"/>
      <c r="H63" s="6" t="n"/>
      <c r="I63" s="6" t="n"/>
      <c r="J63" s="6" t="n"/>
      <c r="K63" s="6" t="inlineStr">
        <is>
          <t>未查到（WebSearch 額度用盡，未及搜尋）</t>
        </is>
      </c>
    </row>
    <row r="64">
      <c r="A64" s="6" t="inlineStr">
        <is>
          <t>南一</t>
        </is>
      </c>
      <c r="B64" s="6" t="inlineStr">
        <is>
          <t>高中</t>
        </is>
      </c>
      <c r="C64" s="6" t="n"/>
      <c r="D64" s="6" t="inlineStr">
        <is>
          <t>加深加廣選修 族群、性別與國家的歷史</t>
        </is>
      </c>
      <c r="E64" s="6" t="inlineStr">
        <is>
          <t>歷史</t>
        </is>
      </c>
      <c r="F64" s="6" t="n"/>
      <c r="G64" s="6" t="n"/>
      <c r="H64" s="6" t="n"/>
      <c r="I64" s="6" t="n"/>
      <c r="J64" s="6" t="n"/>
      <c r="K64" s="6" t="inlineStr">
        <is>
          <t>未查到（WebSearch 額度用盡，未及搜尋）</t>
        </is>
      </c>
    </row>
    <row r="65">
      <c r="A65" s="6" t="inlineStr">
        <is>
          <t>南一</t>
        </is>
      </c>
      <c r="B65" s="6" t="inlineStr">
        <is>
          <t>高中</t>
        </is>
      </c>
      <c r="C65" s="6" t="n"/>
      <c r="D65" s="6" t="inlineStr">
        <is>
          <t>加深加廣選修 科技、環境與藝術的歷史</t>
        </is>
      </c>
      <c r="E65" s="6" t="inlineStr">
        <is>
          <t>歷史</t>
        </is>
      </c>
      <c r="F65" s="6" t="n"/>
      <c r="G65" s="6" t="n"/>
      <c r="H65" s="6" t="n"/>
      <c r="I65" s="6" t="n"/>
      <c r="J65" s="6" t="n"/>
      <c r="K65" s="6" t="inlineStr">
        <is>
          <t>未查到（WebSearch 額度用盡，未及搜尋）</t>
        </is>
      </c>
    </row>
    <row r="66">
      <c r="A66" s="6" t="inlineStr">
        <is>
          <t>南一</t>
        </is>
      </c>
      <c r="B66" s="6" t="inlineStr">
        <is>
          <t>高中</t>
        </is>
      </c>
      <c r="C66" s="6" t="inlineStr">
        <is>
          <t>10</t>
        </is>
      </c>
      <c r="D66" s="6" t="inlineStr">
        <is>
          <t>第一冊</t>
        </is>
      </c>
      <c r="E66" s="6" t="inlineStr">
        <is>
          <t>地理</t>
        </is>
      </c>
      <c r="F66" s="6" t="n"/>
      <c r="G66" s="6" t="n"/>
      <c r="H66" s="6" t="n"/>
      <c r="I66" s="6" t="n"/>
      <c r="J66" s="6" t="n"/>
      <c r="K66" s="6" t="inlineStr">
        <is>
          <t>未查到（WebSearch 額度用盡，未及搜尋）</t>
        </is>
      </c>
    </row>
    <row r="67">
      <c r="A67" s="6" t="inlineStr">
        <is>
          <t>南一</t>
        </is>
      </c>
      <c r="B67" s="6" t="inlineStr">
        <is>
          <t>高中</t>
        </is>
      </c>
      <c r="C67" s="6" t="inlineStr">
        <is>
          <t>10</t>
        </is>
      </c>
      <c r="D67" s="6" t="inlineStr">
        <is>
          <t>第二冊</t>
        </is>
      </c>
      <c r="E67" s="6" t="inlineStr">
        <is>
          <t>地理</t>
        </is>
      </c>
      <c r="F67" s="6" t="n"/>
      <c r="G67" s="6" t="n"/>
      <c r="H67" s="6" t="n"/>
      <c r="I67" s="6" t="n"/>
      <c r="J67" s="6" t="n"/>
      <c r="K67" s="6" t="inlineStr">
        <is>
          <t>未查到（WebSearch 額度用盡，未及搜尋）</t>
        </is>
      </c>
    </row>
    <row r="68">
      <c r="A68" s="6" t="inlineStr">
        <is>
          <t>南一</t>
        </is>
      </c>
      <c r="B68" s="6" t="inlineStr">
        <is>
          <t>高中</t>
        </is>
      </c>
      <c r="C68" s="6" t="inlineStr">
        <is>
          <t>11</t>
        </is>
      </c>
      <c r="D68" s="6" t="inlineStr">
        <is>
          <t>第三冊</t>
        </is>
      </c>
      <c r="E68" s="6" t="inlineStr">
        <is>
          <t>地理</t>
        </is>
      </c>
      <c r="F68" s="6" t="n"/>
      <c r="G68" s="6" t="n"/>
      <c r="H68" s="6" t="n"/>
      <c r="I68" s="6" t="n"/>
      <c r="J68" s="6" t="n"/>
      <c r="K68" s="6" t="inlineStr">
        <is>
          <t>未查到（WebSearch 額度用盡，未及搜尋）</t>
        </is>
      </c>
    </row>
    <row r="69">
      <c r="A69" s="6" t="inlineStr">
        <is>
          <t>南一</t>
        </is>
      </c>
      <c r="B69" s="6" t="inlineStr">
        <is>
          <t>高中</t>
        </is>
      </c>
      <c r="C69" s="6" t="n"/>
      <c r="D69" s="6" t="inlineStr">
        <is>
          <t>加深加廣選修 探究與實作：地理與人文社會科學研究</t>
        </is>
      </c>
      <c r="E69" s="6" t="inlineStr">
        <is>
          <t>地理</t>
        </is>
      </c>
      <c r="F69" s="6" t="n"/>
      <c r="G69" s="6" t="n"/>
      <c r="H69" s="6" t="n"/>
      <c r="I69" s="6" t="n"/>
      <c r="J69" s="6" t="n"/>
      <c r="K69" s="6" t="inlineStr">
        <is>
          <t>未查到（WebSearch 額度用盡，未及搜尋）</t>
        </is>
      </c>
    </row>
    <row r="70">
      <c r="A70" s="6" t="inlineStr">
        <is>
          <t>南一</t>
        </is>
      </c>
      <c r="B70" s="6" t="inlineStr">
        <is>
          <t>高中</t>
        </is>
      </c>
      <c r="C70" s="6" t="n"/>
      <c r="D70" s="6" t="inlineStr">
        <is>
          <t>加深加廣選修 社會環境議題</t>
        </is>
      </c>
      <c r="E70" s="6" t="inlineStr">
        <is>
          <t>地理</t>
        </is>
      </c>
      <c r="F70" s="6" t="n"/>
      <c r="G70" s="6" t="n"/>
      <c r="H70" s="6" t="n"/>
      <c r="I70" s="6" t="n"/>
      <c r="J70" s="6" t="n"/>
      <c r="K70" s="6" t="inlineStr">
        <is>
          <t>未查到（WebSearch 額度用盡，未及搜尋）</t>
        </is>
      </c>
    </row>
    <row r="71">
      <c r="A71" s="6" t="inlineStr">
        <is>
          <t>南一</t>
        </is>
      </c>
      <c r="B71" s="6" t="inlineStr">
        <is>
          <t>高中</t>
        </is>
      </c>
      <c r="C71" s="6" t="n"/>
      <c r="D71" s="6" t="inlineStr">
        <is>
          <t>加深加廣選修 空間資訊科技</t>
        </is>
      </c>
      <c r="E71" s="6" t="inlineStr">
        <is>
          <t>地理</t>
        </is>
      </c>
      <c r="F71" s="6" t="n"/>
      <c r="G71" s="6" t="n"/>
      <c r="H71" s="6" t="n"/>
      <c r="I71" s="6" t="n"/>
      <c r="J71" s="6" t="n"/>
      <c r="K71" s="6" t="inlineStr">
        <is>
          <t>未查到（WebSearch 額度用盡，未及搜尋）</t>
        </is>
      </c>
    </row>
    <row r="72">
      <c r="A72" s="6" t="inlineStr">
        <is>
          <t>南一</t>
        </is>
      </c>
      <c r="B72" s="6" t="inlineStr">
        <is>
          <t>高中</t>
        </is>
      </c>
      <c r="C72" s="6" t="inlineStr">
        <is>
          <t>10</t>
        </is>
      </c>
      <c r="D72" s="6" t="inlineStr">
        <is>
          <t>第一冊</t>
        </is>
      </c>
      <c r="E72" s="6" t="inlineStr">
        <is>
          <t>公民與社會</t>
        </is>
      </c>
      <c r="F72" s="6" t="n"/>
      <c r="G72" s="6" t="n"/>
      <c r="H72" s="6" t="n"/>
      <c r="I72" s="6" t="n"/>
      <c r="J72" s="6" t="n"/>
      <c r="K72" s="6" t="inlineStr">
        <is>
          <t>未查到（WebSearch 額度用盡，未及搜尋）</t>
        </is>
      </c>
    </row>
    <row r="73">
      <c r="A73" s="6" t="inlineStr">
        <is>
          <t>南一</t>
        </is>
      </c>
      <c r="B73" s="6" t="inlineStr">
        <is>
          <t>高中</t>
        </is>
      </c>
      <c r="C73" s="6" t="inlineStr">
        <is>
          <t>10</t>
        </is>
      </c>
      <c r="D73" s="6" t="inlineStr">
        <is>
          <t>第二冊</t>
        </is>
      </c>
      <c r="E73" s="6" t="inlineStr">
        <is>
          <t>公民與社會</t>
        </is>
      </c>
      <c r="F73" s="6" t="n"/>
      <c r="G73" s="6" t="n"/>
      <c r="H73" s="6" t="n"/>
      <c r="I73" s="6" t="n"/>
      <c r="J73" s="6" t="n"/>
      <c r="K73" s="6" t="inlineStr">
        <is>
          <t>未查到（WebSearch 額度用盡，未及搜尋）</t>
        </is>
      </c>
    </row>
    <row r="74">
      <c r="A74" s="6" t="inlineStr">
        <is>
          <t>南一</t>
        </is>
      </c>
      <c r="B74" s="6" t="inlineStr">
        <is>
          <t>高中</t>
        </is>
      </c>
      <c r="C74" s="6" t="inlineStr">
        <is>
          <t>11</t>
        </is>
      </c>
      <c r="D74" s="6" t="inlineStr">
        <is>
          <t>第三冊</t>
        </is>
      </c>
      <c r="E74" s="6" t="inlineStr">
        <is>
          <t>公民與社會</t>
        </is>
      </c>
      <c r="F74" s="6" t="n"/>
      <c r="G74" s="6" t="n"/>
      <c r="H74" s="6" t="n"/>
      <c r="I74" s="6" t="n"/>
      <c r="J74" s="6" t="n"/>
      <c r="K74" s="6" t="inlineStr">
        <is>
          <t>未查到（WebSearch 額度用盡，未及搜尋）</t>
        </is>
      </c>
    </row>
    <row r="75">
      <c r="A75" s="6" t="inlineStr">
        <is>
          <t>南一</t>
        </is>
      </c>
      <c r="B75" s="6" t="inlineStr">
        <is>
          <t>高中</t>
        </is>
      </c>
      <c r="C75" s="6" t="n"/>
      <c r="D75" s="6" t="inlineStr">
        <is>
          <t>加深加廣選修 探究與實作：公共議題與社會探究</t>
        </is>
      </c>
      <c r="E75" s="6" t="inlineStr">
        <is>
          <t>公民與社會</t>
        </is>
      </c>
      <c r="F75" s="6" t="n"/>
      <c r="G75" s="6" t="n"/>
      <c r="H75" s="6" t="n"/>
      <c r="I75" s="6" t="n"/>
      <c r="J75" s="6" t="n"/>
      <c r="K75" s="6" t="inlineStr">
        <is>
          <t>未查到（WebSearch 額度用盡，未及搜尋）</t>
        </is>
      </c>
    </row>
    <row r="76">
      <c r="A76" s="6" t="inlineStr">
        <is>
          <t>南一</t>
        </is>
      </c>
      <c r="B76" s="6" t="inlineStr">
        <is>
          <t>高中</t>
        </is>
      </c>
      <c r="C76" s="6" t="n"/>
      <c r="D76" s="6" t="inlineStr">
        <is>
          <t>加深加廣選修 民主政治與法律</t>
        </is>
      </c>
      <c r="E76" s="6" t="inlineStr">
        <is>
          <t>公民與社會</t>
        </is>
      </c>
      <c r="F76" s="6" t="n"/>
      <c r="G76" s="6" t="n"/>
      <c r="H76" s="6" t="n"/>
      <c r="I76" s="6" t="n"/>
      <c r="J76" s="6" t="n"/>
      <c r="K76" s="6" t="inlineStr">
        <is>
          <t>未查到（WebSearch 額度用盡，未及搜尋）</t>
        </is>
      </c>
    </row>
    <row r="77">
      <c r="A77" s="6" t="inlineStr">
        <is>
          <t>南一</t>
        </is>
      </c>
      <c r="B77" s="6" t="inlineStr">
        <is>
          <t>高中</t>
        </is>
      </c>
      <c r="C77" s="6" t="n"/>
      <c r="D77" s="6" t="inlineStr">
        <is>
          <t>加深加廣選修 現代社會與經濟</t>
        </is>
      </c>
      <c r="E77" s="6" t="inlineStr">
        <is>
          <t>公民與社會</t>
        </is>
      </c>
      <c r="F77" s="6" t="n"/>
      <c r="G77" s="6" t="n"/>
      <c r="H77" s="6" t="n"/>
      <c r="I77" s="6" t="n"/>
      <c r="J77" s="6" t="n"/>
      <c r="K77" s="6" t="inlineStr">
        <is>
          <t>未查到（WebSearch 額度用盡，未及搜尋）</t>
        </is>
      </c>
    </row>
    <row r="78">
      <c r="A78" s="6" t="inlineStr">
        <is>
          <t>三民</t>
        </is>
      </c>
      <c r="B78" s="6" t="inlineStr">
        <is>
          <t>高中</t>
        </is>
      </c>
      <c r="C78" s="6" t="inlineStr">
        <is>
          <t>10</t>
        </is>
      </c>
      <c r="D78" s="6" t="inlineStr">
        <is>
          <t>第一冊</t>
        </is>
      </c>
      <c r="E78" s="6" t="inlineStr">
        <is>
          <t>國文</t>
        </is>
      </c>
      <c r="F78" s="6" t="n"/>
      <c r="G78" s="6" t="n"/>
      <c r="H78" s="6" t="n"/>
      <c r="I78" s="6" t="n"/>
      <c r="J78" s="6" t="n"/>
      <c r="K78" s="6" t="inlineStr">
        <is>
          <t>未查到</t>
        </is>
      </c>
    </row>
    <row r="79">
      <c r="A79" s="6" t="inlineStr">
        <is>
          <t>三民</t>
        </is>
      </c>
      <c r="B79" s="6" t="inlineStr">
        <is>
          <t>高中</t>
        </is>
      </c>
      <c r="C79" s="6" t="inlineStr">
        <is>
          <t>10</t>
        </is>
      </c>
      <c r="D79" s="6" t="inlineStr">
        <is>
          <t>第二冊</t>
        </is>
      </c>
      <c r="E79" s="6" t="inlineStr">
        <is>
          <t>國文</t>
        </is>
      </c>
      <c r="F79" s="6" t="n"/>
      <c r="G79" s="6" t="n"/>
      <c r="H79" s="6" t="n"/>
      <c r="I79" s="6" t="n"/>
      <c r="J79" s="6" t="n"/>
      <c r="K79" s="6" t="inlineStr">
        <is>
          <t>未查到</t>
        </is>
      </c>
    </row>
    <row r="80">
      <c r="A80" s="6" t="inlineStr">
        <is>
          <t>三民</t>
        </is>
      </c>
      <c r="B80" s="6" t="inlineStr">
        <is>
          <t>高中</t>
        </is>
      </c>
      <c r="C80" s="6" t="inlineStr">
        <is>
          <t>11</t>
        </is>
      </c>
      <c r="D80" s="6" t="inlineStr">
        <is>
          <t>第三冊</t>
        </is>
      </c>
      <c r="E80" s="6" t="inlineStr">
        <is>
          <t>國文</t>
        </is>
      </c>
      <c r="F80" s="6" t="n"/>
      <c r="G80" s="6" t="n"/>
      <c r="H80" s="6" t="n"/>
      <c r="I80" s="6" t="n"/>
      <c r="J80" s="6" t="n"/>
      <c r="K80" s="6" t="inlineStr">
        <is>
          <t>未查到</t>
        </is>
      </c>
    </row>
    <row r="81">
      <c r="A81" s="6" t="inlineStr">
        <is>
          <t>三民</t>
        </is>
      </c>
      <c r="B81" s="6" t="inlineStr">
        <is>
          <t>高中</t>
        </is>
      </c>
      <c r="C81" s="6" t="inlineStr">
        <is>
          <t>11</t>
        </is>
      </c>
      <c r="D81" s="6" t="inlineStr">
        <is>
          <t>第四冊</t>
        </is>
      </c>
      <c r="E81" s="6" t="inlineStr">
        <is>
          <t>國文</t>
        </is>
      </c>
      <c r="F81" s="6" t="n"/>
      <c r="G81" s="6" t="n"/>
      <c r="H81" s="6" t="n"/>
      <c r="I81" s="6" t="n"/>
      <c r="J81" s="6" t="n"/>
      <c r="K81" s="6" t="inlineStr">
        <is>
          <t>未查到</t>
        </is>
      </c>
    </row>
    <row r="82">
      <c r="A82" s="6" t="inlineStr">
        <is>
          <t>三民</t>
        </is>
      </c>
      <c r="B82" s="6" t="inlineStr">
        <is>
          <t>高中</t>
        </is>
      </c>
      <c r="C82" s="6" t="inlineStr">
        <is>
          <t>12</t>
        </is>
      </c>
      <c r="D82" s="6" t="inlineStr">
        <is>
          <t>第五冊</t>
        </is>
      </c>
      <c r="E82" s="6" t="inlineStr">
        <is>
          <t>國文</t>
        </is>
      </c>
      <c r="F82" s="6" t="n"/>
      <c r="G82" s="6" t="n"/>
      <c r="H82" s="6" t="n"/>
      <c r="I82" s="6" t="n"/>
      <c r="J82" s="6" t="n"/>
      <c r="K82" s="6" t="inlineStr">
        <is>
          <t>未查到</t>
        </is>
      </c>
    </row>
    <row r="83">
      <c r="A83" s="6" t="inlineStr">
        <is>
          <t>三民</t>
        </is>
      </c>
      <c r="B83" s="6" t="inlineStr">
        <is>
          <t>高中</t>
        </is>
      </c>
      <c r="C83" s="6" t="inlineStr">
        <is>
          <t>12</t>
        </is>
      </c>
      <c r="D83" s="6" t="inlineStr">
        <is>
          <t>第六冊</t>
        </is>
      </c>
      <c r="E83" s="6" t="inlineStr">
        <is>
          <t>國文</t>
        </is>
      </c>
      <c r="F83" s="6" t="n"/>
      <c r="G83" s="6" t="n"/>
      <c r="H83" s="6" t="n"/>
      <c r="I83" s="6" t="n"/>
      <c r="J83" s="6" t="n"/>
      <c r="K83" s="6" t="inlineStr">
        <is>
          <t>未查到</t>
        </is>
      </c>
    </row>
    <row r="84">
      <c r="A84" s="6" t="inlineStr">
        <is>
          <t>三民</t>
        </is>
      </c>
      <c r="B84" s="6" t="inlineStr">
        <is>
          <t>高中</t>
        </is>
      </c>
      <c r="C84" s="6" t="n"/>
      <c r="D84" s="6" t="inlineStr">
        <is>
          <t>加深加廣選修：各類文學選讀</t>
        </is>
      </c>
      <c r="E84" s="6" t="inlineStr">
        <is>
          <t>國文</t>
        </is>
      </c>
      <c r="F84" s="6" t="n"/>
      <c r="G84" s="6" t="n"/>
      <c r="H84" s="6" t="n"/>
      <c r="I84" s="6" t="n"/>
      <c r="J84" s="6" t="n"/>
      <c r="K84" s="6" t="inlineStr">
        <is>
          <t>未查到</t>
        </is>
      </c>
    </row>
    <row r="85">
      <c r="A85" s="6" t="inlineStr">
        <is>
          <t>三民</t>
        </is>
      </c>
      <c r="B85" s="6" t="inlineStr">
        <is>
          <t>高中</t>
        </is>
      </c>
      <c r="C85" s="6" t="n"/>
      <c r="D85" s="6" t="inlineStr">
        <is>
          <t>加深加廣選修：國學常識</t>
        </is>
      </c>
      <c r="E85" s="6" t="inlineStr">
        <is>
          <t>國文</t>
        </is>
      </c>
      <c r="F85" s="6" t="n"/>
      <c r="G85" s="6" t="n"/>
      <c r="H85" s="6" t="n"/>
      <c r="I85" s="6" t="n"/>
      <c r="J85" s="6" t="n"/>
      <c r="K85" s="6" t="inlineStr">
        <is>
          <t>未查到</t>
        </is>
      </c>
    </row>
    <row r="86">
      <c r="A86" s="6" t="inlineStr">
        <is>
          <t>三民</t>
        </is>
      </c>
      <c r="B86" s="6" t="inlineStr">
        <is>
          <t>高中</t>
        </is>
      </c>
      <c r="C86" s="6" t="n"/>
      <c r="D86" s="6" t="inlineStr">
        <is>
          <t>加深加廣選修：專題閱讀與研究</t>
        </is>
      </c>
      <c r="E86" s="6" t="inlineStr">
        <is>
          <t>國文</t>
        </is>
      </c>
      <c r="F86" s="6" t="n"/>
      <c r="G86" s="6" t="n"/>
      <c r="H86" s="6" t="n"/>
      <c r="I86" s="6" t="n"/>
      <c r="J86" s="6" t="n"/>
      <c r="K86" s="6" t="inlineStr">
        <is>
          <t>未查到</t>
        </is>
      </c>
    </row>
    <row r="87">
      <c r="A87" s="6" t="inlineStr">
        <is>
          <t>三民</t>
        </is>
      </c>
      <c r="B87" s="6" t="inlineStr">
        <is>
          <t>高中</t>
        </is>
      </c>
      <c r="C87" s="6" t="n"/>
      <c r="D87" s="6" t="inlineStr">
        <is>
          <t>加深加廣選修：語文表達及傳播應用</t>
        </is>
      </c>
      <c r="E87" s="6" t="inlineStr">
        <is>
          <t>國文</t>
        </is>
      </c>
      <c r="F87" s="6" t="n"/>
      <c r="G87" s="6" t="n"/>
      <c r="H87" s="6" t="n"/>
      <c r="I87" s="6" t="n"/>
      <c r="J87" s="6" t="n"/>
      <c r="K87" s="6" t="inlineStr">
        <is>
          <t>未查到</t>
        </is>
      </c>
    </row>
    <row r="88">
      <c r="A88" s="6" t="inlineStr">
        <is>
          <t>三民</t>
        </is>
      </c>
      <c r="B88" s="6" t="inlineStr">
        <is>
          <t>高中</t>
        </is>
      </c>
      <c r="C88" s="6" t="inlineStr">
        <is>
          <t>10</t>
        </is>
      </c>
      <c r="D88" s="6" t="inlineStr">
        <is>
          <t>第一冊</t>
        </is>
      </c>
      <c r="E88" s="6" t="inlineStr">
        <is>
          <t>英文</t>
        </is>
      </c>
      <c r="F88" s="6" t="n"/>
      <c r="G88" s="6" t="n"/>
      <c r="H88" s="6" t="n"/>
      <c r="I88" s="6" t="n"/>
      <c r="J88" s="6" t="n"/>
      <c r="K88" s="6" t="inlineStr">
        <is>
          <t>未查到</t>
        </is>
      </c>
    </row>
    <row r="89">
      <c r="A89" s="6" t="inlineStr">
        <is>
          <t>三民</t>
        </is>
      </c>
      <c r="B89" s="6" t="inlineStr">
        <is>
          <t>高中</t>
        </is>
      </c>
      <c r="C89" s="6" t="inlineStr">
        <is>
          <t>10</t>
        </is>
      </c>
      <c r="D89" s="6" t="inlineStr">
        <is>
          <t>第二冊</t>
        </is>
      </c>
      <c r="E89" s="6" t="inlineStr">
        <is>
          <t>英文</t>
        </is>
      </c>
      <c r="F89" s="6" t="n"/>
      <c r="G89" s="6" t="n"/>
      <c r="H89" s="6" t="n"/>
      <c r="I89" s="6" t="n"/>
      <c r="J89" s="6" t="n"/>
      <c r="K89" s="6" t="inlineStr">
        <is>
          <t>未查到</t>
        </is>
      </c>
    </row>
    <row r="90">
      <c r="A90" s="6" t="inlineStr">
        <is>
          <t>三民</t>
        </is>
      </c>
      <c r="B90" s="6" t="inlineStr">
        <is>
          <t>高中</t>
        </is>
      </c>
      <c r="C90" s="6" t="inlineStr">
        <is>
          <t>11</t>
        </is>
      </c>
      <c r="D90" s="6" t="inlineStr">
        <is>
          <t>第三冊</t>
        </is>
      </c>
      <c r="E90" s="6" t="inlineStr">
        <is>
          <t>英文</t>
        </is>
      </c>
      <c r="F90" s="6" t="n"/>
      <c r="G90" s="6" t="n"/>
      <c r="H90" s="6" t="n"/>
      <c r="I90" s="6" t="n"/>
      <c r="J90" s="6" t="n"/>
      <c r="K90" s="6" t="inlineStr">
        <is>
          <t>未查到</t>
        </is>
      </c>
    </row>
    <row r="91">
      <c r="A91" s="6" t="inlineStr">
        <is>
          <t>三民</t>
        </is>
      </c>
      <c r="B91" s="6" t="inlineStr">
        <is>
          <t>高中</t>
        </is>
      </c>
      <c r="C91" s="6" t="inlineStr">
        <is>
          <t>11</t>
        </is>
      </c>
      <c r="D91" s="6" t="inlineStr">
        <is>
          <t>第四冊</t>
        </is>
      </c>
      <c r="E91" s="6" t="inlineStr">
        <is>
          <t>英文</t>
        </is>
      </c>
      <c r="F91" s="6" t="n"/>
      <c r="G91" s="6" t="n"/>
      <c r="H91" s="6" t="n"/>
      <c r="I91" s="6" t="n"/>
      <c r="J91" s="6" t="n"/>
      <c r="K91" s="6" t="inlineStr">
        <is>
          <t>未查到</t>
        </is>
      </c>
    </row>
    <row r="92">
      <c r="A92" s="6" t="inlineStr">
        <is>
          <t>三民</t>
        </is>
      </c>
      <c r="B92" s="6" t="inlineStr">
        <is>
          <t>高中</t>
        </is>
      </c>
      <c r="C92" s="6" t="inlineStr">
        <is>
          <t>12</t>
        </is>
      </c>
      <c r="D92" s="6" t="inlineStr">
        <is>
          <t>第五冊</t>
        </is>
      </c>
      <c r="E92" s="6" t="inlineStr">
        <is>
          <t>英文</t>
        </is>
      </c>
      <c r="F92" s="6" t="n"/>
      <c r="G92" s="6" t="n"/>
      <c r="H92" s="6" t="n"/>
      <c r="I92" s="6" t="n"/>
      <c r="J92" s="6" t="n"/>
      <c r="K92" s="6" t="inlineStr">
        <is>
          <t>未查到</t>
        </is>
      </c>
    </row>
    <row r="93">
      <c r="A93" s="6" t="inlineStr">
        <is>
          <t>三民</t>
        </is>
      </c>
      <c r="B93" s="6" t="inlineStr">
        <is>
          <t>高中</t>
        </is>
      </c>
      <c r="C93" s="6" t="inlineStr">
        <is>
          <t>12</t>
        </is>
      </c>
      <c r="D93" s="6" t="inlineStr">
        <is>
          <t>第六冊</t>
        </is>
      </c>
      <c r="E93" s="6" t="inlineStr">
        <is>
          <t>英文</t>
        </is>
      </c>
      <c r="F93" s="6" t="n"/>
      <c r="G93" s="6" t="n"/>
      <c r="H93" s="6" t="n"/>
      <c r="I93" s="6" t="n"/>
      <c r="J93" s="6" t="n"/>
      <c r="K93" s="6" t="inlineStr">
        <is>
          <t>未查到</t>
        </is>
      </c>
    </row>
    <row r="94">
      <c r="A94" s="6" t="inlineStr">
        <is>
          <t>三民</t>
        </is>
      </c>
      <c r="B94" s="6" t="inlineStr">
        <is>
          <t>高中</t>
        </is>
      </c>
      <c r="C94" s="6" t="n"/>
      <c r="D94" s="6" t="inlineStr">
        <is>
          <t>加深加廣選修：英文閱讀與寫作</t>
        </is>
      </c>
      <c r="E94" s="6" t="inlineStr">
        <is>
          <t>英文</t>
        </is>
      </c>
      <c r="F94" s="6" t="n"/>
      <c r="G94" s="6" t="n"/>
      <c r="H94" s="6" t="n"/>
      <c r="I94" s="6" t="n"/>
      <c r="J94" s="6" t="n"/>
      <c r="K94" s="6" t="inlineStr">
        <is>
          <t>未查到</t>
        </is>
      </c>
    </row>
    <row r="95">
      <c r="A95" s="6" t="inlineStr">
        <is>
          <t>三民</t>
        </is>
      </c>
      <c r="B95" s="6" t="inlineStr">
        <is>
          <t>高中</t>
        </is>
      </c>
      <c r="C95" s="6" t="n"/>
      <c r="D95" s="6" t="inlineStr">
        <is>
          <t>加深加廣選修：英語聽講</t>
        </is>
      </c>
      <c r="E95" s="6" t="inlineStr">
        <is>
          <t>英文</t>
        </is>
      </c>
      <c r="F95" s="6" t="n"/>
      <c r="G95" s="6" t="n"/>
      <c r="H95" s="6" t="n"/>
      <c r="I95" s="6" t="n"/>
      <c r="J95" s="6" t="n"/>
      <c r="K95" s="6" t="inlineStr">
        <is>
          <t>未查到</t>
        </is>
      </c>
    </row>
    <row r="96">
      <c r="A96" s="4" t="inlineStr">
        <is>
          <t>三民</t>
        </is>
      </c>
      <c r="B96" s="4" t="inlineStr">
        <is>
          <t>高中</t>
        </is>
      </c>
      <c r="C96" s="4" t="inlineStr">
        <is>
          <t>10</t>
        </is>
      </c>
      <c r="D96" s="4" t="inlineStr">
        <is>
          <t>第一冊</t>
        </is>
      </c>
      <c r="E96" s="4" t="inlineStr">
        <is>
          <t>數學</t>
        </is>
      </c>
      <c r="F96" s="4" t="inlineStr">
        <is>
          <t>第1章 數與式</t>
        </is>
      </c>
      <c r="G96" s="4" t="inlineStr">
        <is>
          <t>實數；絕對值；式的運算；指數與對數</t>
        </is>
      </c>
      <c r="H96" s="4" t="inlineStr">
        <is>
          <t>未標示</t>
        </is>
      </c>
      <c r="I96" s="4" t="inlineStr">
        <is>
          <t>書店頁面</t>
        </is>
      </c>
      <c r="J96" s="5" t="inlineStr">
        <is>
          <t>https://www.sanmin.com.tw/product/index/013368794</t>
        </is>
      </c>
      <c r="K96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7">
      <c r="A97" s="4" t="inlineStr">
        <is>
          <t>三民</t>
        </is>
      </c>
      <c r="B97" s="4" t="inlineStr">
        <is>
          <t>高中</t>
        </is>
      </c>
      <c r="C97" s="4" t="inlineStr">
        <is>
          <t>10</t>
        </is>
      </c>
      <c r="D97" s="4" t="inlineStr">
        <is>
          <t>第一冊</t>
        </is>
      </c>
      <c r="E97" s="4" t="inlineStr">
        <is>
          <t>數學</t>
        </is>
      </c>
      <c r="F97" s="4" t="inlineStr">
        <is>
          <t>第2章 直線與圓</t>
        </is>
      </c>
      <c r="G97" s="4" t="inlineStr">
        <is>
          <t>直線方程式；直線方程式的應用；圓與直線的關係</t>
        </is>
      </c>
      <c r="H97" s="4" t="inlineStr">
        <is>
          <t>未標示</t>
        </is>
      </c>
      <c r="I97" s="4" t="inlineStr">
        <is>
          <t>書店頁面</t>
        </is>
      </c>
      <c r="J97" s="5" t="inlineStr">
        <is>
          <t>https://www.sanmin.com.tw/product/index/013368794</t>
        </is>
      </c>
      <c r="K97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8">
      <c r="A98" s="4" t="inlineStr">
        <is>
          <t>三民</t>
        </is>
      </c>
      <c r="B98" s="4" t="inlineStr">
        <is>
          <t>高中</t>
        </is>
      </c>
      <c r="C98" s="4" t="inlineStr">
        <is>
          <t>10</t>
        </is>
      </c>
      <c r="D98" s="4" t="inlineStr">
        <is>
          <t>第一冊</t>
        </is>
      </c>
      <c r="E98" s="4" t="inlineStr">
        <is>
          <t>數學</t>
        </is>
      </c>
      <c r="F98" s="4" t="inlineStr">
        <is>
          <t>第3章 多項式函數</t>
        </is>
      </c>
      <c r="G98" s="4" t="inlineStr">
        <is>
          <t>多項式及其運算；簡單多項式函數及其圖形；多項式不等式</t>
        </is>
      </c>
      <c r="H98" s="4" t="inlineStr">
        <is>
          <t>未標示</t>
        </is>
      </c>
      <c r="I98" s="4" t="inlineStr">
        <is>
          <t>書店頁面</t>
        </is>
      </c>
      <c r="J98" s="5" t="inlineStr">
        <is>
          <t>https://www.sanmin.com.tw/product/index/013368794</t>
        </is>
      </c>
      <c r="K98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9">
      <c r="A99" s="4" t="inlineStr">
        <is>
          <t>三民</t>
        </is>
      </c>
      <c r="B99" s="4" t="inlineStr">
        <is>
          <t>高中</t>
        </is>
      </c>
      <c r="C99" s="4" t="inlineStr">
        <is>
          <t>10</t>
        </is>
      </c>
      <c r="D99" s="4" t="inlineStr">
        <is>
          <t>第二冊</t>
        </is>
      </c>
      <c r="E99" s="4" t="inlineStr">
        <is>
          <t>數學</t>
        </is>
      </c>
      <c r="F99" s="4" t="inlineStr">
        <is>
          <t>第1章 三角</t>
        </is>
      </c>
      <c r="G99" s="4" t="inlineStr">
        <is>
          <t>1-1 直角三角形的三角比；1-2 廣義角與極座標；1-3 正弦定理與餘弦定理</t>
        </is>
      </c>
      <c r="H99" s="4" t="inlineStr">
        <is>
          <t>未標示</t>
        </is>
      </c>
      <c r="I99" s="4" t="inlineStr">
        <is>
          <t>書店頁面</t>
        </is>
      </c>
      <c r="J99" s="5" t="inlineStr">
        <is>
          <t>https://www.sanmin.com.tw/product/index/007588879</t>
        </is>
      </c>
      <c r="K99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0">
      <c r="A100" s="4" t="inlineStr">
        <is>
          <t>三民</t>
        </is>
      </c>
      <c r="B100" s="4" t="inlineStr">
        <is>
          <t>高中</t>
        </is>
      </c>
      <c r="C100" s="4" t="inlineStr">
        <is>
          <t>10</t>
        </is>
      </c>
      <c r="D100" s="4" t="inlineStr">
        <is>
          <t>第二冊</t>
        </is>
      </c>
      <c r="E100" s="4" t="inlineStr">
        <is>
          <t>數學</t>
        </is>
      </c>
      <c r="F100" s="4" t="inlineStr">
        <is>
          <t>第2章 數列與級數</t>
        </is>
      </c>
      <c r="G100" s="4" t="inlineStr">
        <is>
          <t>2-1 數列與遞迴關係；2-2 級數</t>
        </is>
      </c>
      <c r="H100" s="4" t="inlineStr">
        <is>
          <t>未標示</t>
        </is>
      </c>
      <c r="I100" s="4" t="inlineStr">
        <is>
          <t>書店頁面</t>
        </is>
      </c>
      <c r="J100" s="5" t="inlineStr">
        <is>
          <t>https://www.sanmin.com.tw/product/index/007588879</t>
        </is>
      </c>
      <c r="K100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1">
      <c r="A101" s="4" t="inlineStr">
        <is>
          <t>三民</t>
        </is>
      </c>
      <c r="B101" s="4" t="inlineStr">
        <is>
          <t>高中</t>
        </is>
      </c>
      <c r="C101" s="4" t="inlineStr">
        <is>
          <t>10</t>
        </is>
      </c>
      <c r="D101" s="4" t="inlineStr">
        <is>
          <t>第二冊</t>
        </is>
      </c>
      <c r="E101" s="4" t="inlineStr">
        <is>
          <t>數學</t>
        </is>
      </c>
      <c r="F101" s="4" t="inlineStr">
        <is>
          <t>第3章 數據分析</t>
        </is>
      </c>
      <c r="G101" s="4" t="inlineStr">
        <is>
          <t>3-1 一維數據分析；3-2 二維數據分析</t>
        </is>
      </c>
      <c r="H101" s="4" t="inlineStr">
        <is>
          <t>未標示</t>
        </is>
      </c>
      <c r="I101" s="4" t="inlineStr">
        <is>
          <t>書店頁面</t>
        </is>
      </c>
      <c r="J101" s="5" t="inlineStr">
        <is>
          <t>https://www.sanmin.com.tw/product/index/007588879</t>
        </is>
      </c>
      <c r="K101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2">
      <c r="A102" s="4" t="inlineStr">
        <is>
          <t>三民</t>
        </is>
      </c>
      <c r="B102" s="4" t="inlineStr">
        <is>
          <t>高中</t>
        </is>
      </c>
      <c r="C102" s="4" t="inlineStr">
        <is>
          <t>10</t>
        </is>
      </c>
      <c r="D102" s="4" t="inlineStr">
        <is>
          <t>第二冊</t>
        </is>
      </c>
      <c r="E102" s="4" t="inlineStr">
        <is>
          <t>數學</t>
        </is>
      </c>
      <c r="F102" s="4" t="inlineStr">
        <is>
          <t>第4章 排列組合</t>
        </is>
      </c>
      <c r="G102" s="4" t="inlineStr">
        <is>
          <t>4-1 集合與計數原理；4-2 排列；4-3 組合與二項式定理</t>
        </is>
      </c>
      <c r="H102" s="4" t="inlineStr">
        <is>
          <t>未標示</t>
        </is>
      </c>
      <c r="I102" s="4" t="inlineStr">
        <is>
          <t>書店頁面</t>
        </is>
      </c>
      <c r="J102" s="5" t="inlineStr">
        <is>
          <t>https://www.sanmin.com.tw/product/index/007588879</t>
        </is>
      </c>
      <c r="K102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3">
      <c r="A103" s="4" t="inlineStr">
        <is>
          <t>三民</t>
        </is>
      </c>
      <c r="B103" s="4" t="inlineStr">
        <is>
          <t>高中</t>
        </is>
      </c>
      <c r="C103" s="4" t="inlineStr">
        <is>
          <t>10</t>
        </is>
      </c>
      <c r="D103" s="4" t="inlineStr">
        <is>
          <t>第二冊</t>
        </is>
      </c>
      <c r="E103" s="4" t="inlineStr">
        <is>
          <t>數學</t>
        </is>
      </c>
      <c r="F103" s="4" t="inlineStr">
        <is>
          <t>第5章 古典機率</t>
        </is>
      </c>
      <c r="G103" s="4" t="inlineStr">
        <is>
          <t>5-1 機率的定義與性質；5-2 期望值</t>
        </is>
      </c>
      <c r="H103" s="4" t="inlineStr">
        <is>
          <t>未標示</t>
        </is>
      </c>
      <c r="I103" s="4" t="inlineStr">
        <is>
          <t>書店頁面</t>
        </is>
      </c>
      <c r="J103" s="5" t="inlineStr">
        <is>
          <t>https://www.sanmin.com.tw/product/index/007588879</t>
        </is>
      </c>
      <c r="K103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4">
      <c r="A104" s="4" t="inlineStr">
        <is>
          <t>三民</t>
        </is>
      </c>
      <c r="B104" s="4" t="inlineStr">
        <is>
          <t>高中</t>
        </is>
      </c>
      <c r="C104" s="4" t="inlineStr">
        <is>
          <t>11</t>
        </is>
      </c>
      <c r="D104" s="4" t="inlineStr">
        <is>
          <t>第三冊A</t>
        </is>
      </c>
      <c r="E104" s="4" t="inlineStr">
        <is>
          <t>數學</t>
        </is>
      </c>
      <c r="F104" s="4" t="inlineStr">
        <is>
          <t>第1章 指數函數與對數函數</t>
        </is>
      </c>
      <c r="G104" s="4" t="inlineStr">
        <is>
          <t>1-1 指數函數；1-2 對數律；1-3 對數函數</t>
        </is>
      </c>
      <c r="H104" s="4" t="inlineStr">
        <is>
          <t>未標示</t>
        </is>
      </c>
      <c r="I104" s="4" t="inlineStr">
        <is>
          <t>書店頁面</t>
        </is>
      </c>
      <c r="J104" s="5" t="inlineStr">
        <is>
          <t>https://www.sanmin.com.tw/product/index/007762030</t>
        </is>
      </c>
      <c r="K104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5">
      <c r="A105" s="4" t="inlineStr">
        <is>
          <t>三民</t>
        </is>
      </c>
      <c r="B105" s="4" t="inlineStr">
        <is>
          <t>高中</t>
        </is>
      </c>
      <c r="C105" s="4" t="inlineStr">
        <is>
          <t>11</t>
        </is>
      </c>
      <c r="D105" s="4" t="inlineStr">
        <is>
          <t>第三冊A</t>
        </is>
      </c>
      <c r="E105" s="4" t="inlineStr">
        <is>
          <t>數學</t>
        </is>
      </c>
      <c r="F105" s="4" t="inlineStr">
        <is>
          <t>第2章 三角函數</t>
        </is>
      </c>
      <c r="G105" s="4" t="inlineStr">
        <is>
          <t>2-1 弧度量；2-4 正餘弦的疊合（2-2、2-3節名未見）</t>
        </is>
      </c>
      <c r="H105" s="4" t="inlineStr">
        <is>
          <t>未標示</t>
        </is>
      </c>
      <c r="I105" s="4" t="inlineStr">
        <is>
          <t>書店頁面</t>
        </is>
      </c>
      <c r="J105" s="5" t="inlineStr">
        <is>
          <t>https://www.sanmin.com.tw/product/index/007762030</t>
        </is>
      </c>
      <c r="K105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6">
      <c r="A106" s="4" t="inlineStr">
        <is>
          <t>三民</t>
        </is>
      </c>
      <c r="B106" s="4" t="inlineStr">
        <is>
          <t>高中</t>
        </is>
      </c>
      <c r="C106" s="4" t="inlineStr">
        <is>
          <t>11</t>
        </is>
      </c>
      <c r="D106" s="4" t="inlineStr">
        <is>
          <t>第三冊A</t>
        </is>
      </c>
      <c r="E106" s="4" t="inlineStr">
        <is>
          <t>數學</t>
        </is>
      </c>
      <c r="F106" s="4" t="inlineStr">
        <is>
          <t>第3章 平面向量</t>
        </is>
      </c>
      <c r="G106" s="4" t="inlineStr">
        <is>
          <t>3-1 平面向量的表示法；3-2 平面向量的內積；3-3 面積與二階行列式</t>
        </is>
      </c>
      <c r="H106" s="4" t="inlineStr">
        <is>
          <t>未標示</t>
        </is>
      </c>
      <c r="I106" s="4" t="inlineStr">
        <is>
          <t>書店頁面</t>
        </is>
      </c>
      <c r="J106" s="5" t="inlineStr">
        <is>
          <t>https://www.sanmin.com.tw/product/index/007762030</t>
        </is>
      </c>
      <c r="K106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7">
      <c r="A107" s="4" t="inlineStr">
        <is>
          <t>三民</t>
        </is>
      </c>
      <c r="B107" s="4" t="inlineStr">
        <is>
          <t>高中</t>
        </is>
      </c>
      <c r="C107" s="4" t="inlineStr">
        <is>
          <t>11</t>
        </is>
      </c>
      <c r="D107" s="4" t="inlineStr">
        <is>
          <t>第三冊B</t>
        </is>
      </c>
      <c r="E107" s="4" t="inlineStr">
        <is>
          <t>數學</t>
        </is>
      </c>
      <c r="F107" s="4" t="inlineStr">
        <is>
          <t>第1章 按比例成長模型</t>
        </is>
      </c>
      <c r="G107" s="4" t="inlineStr">
        <is>
          <t>指數函數；對數函數</t>
        </is>
      </c>
      <c r="H107" s="4" t="inlineStr">
        <is>
          <t>未標示</t>
        </is>
      </c>
      <c r="I107" s="4" t="inlineStr">
        <is>
          <t>書店頁面</t>
        </is>
      </c>
      <c r="J107" s="5" t="inlineStr">
        <is>
          <t>https://www.sanmin.com.tw/product/index/007761890</t>
        </is>
      </c>
      <c r="K107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08">
      <c r="A108" s="4" t="inlineStr">
        <is>
          <t>三民</t>
        </is>
      </c>
      <c r="B108" s="4" t="inlineStr">
        <is>
          <t>高中</t>
        </is>
      </c>
      <c r="C108" s="4" t="inlineStr">
        <is>
          <t>11</t>
        </is>
      </c>
      <c r="D108" s="4" t="inlineStr">
        <is>
          <t>第三冊B</t>
        </is>
      </c>
      <c r="E108" s="4" t="inlineStr">
        <is>
          <t>數學</t>
        </is>
      </c>
      <c r="F108" s="4" t="inlineStr">
        <is>
          <t>第2章 三角函數</t>
        </is>
      </c>
      <c r="G108" s="4" t="inlineStr">
        <is>
          <t>弧度量；三角函數與週期現象</t>
        </is>
      </c>
      <c r="H108" s="4" t="inlineStr">
        <is>
          <t>未標示</t>
        </is>
      </c>
      <c r="I108" s="4" t="inlineStr">
        <is>
          <t>書店頁面</t>
        </is>
      </c>
      <c r="J108" s="5" t="inlineStr">
        <is>
          <t>https://www.sanmin.com.tw/product/index/007761890</t>
        </is>
      </c>
      <c r="K108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09">
      <c r="A109" s="4" t="inlineStr">
        <is>
          <t>三民</t>
        </is>
      </c>
      <c r="B109" s="4" t="inlineStr">
        <is>
          <t>高中</t>
        </is>
      </c>
      <c r="C109" s="4" t="inlineStr">
        <is>
          <t>11</t>
        </is>
      </c>
      <c r="D109" s="4" t="inlineStr">
        <is>
          <t>第三冊B</t>
        </is>
      </c>
      <c r="E109" s="4" t="inlineStr">
        <is>
          <t>數學</t>
        </is>
      </c>
      <c r="F109" s="4" t="inlineStr">
        <is>
          <t>第3章 平面向量</t>
        </is>
      </c>
      <c r="G109" s="4" t="inlineStr">
        <is>
          <t>平面向量的表示法；內積；平面上的比例</t>
        </is>
      </c>
      <c r="H109" s="4" t="inlineStr">
        <is>
          <t>未標示</t>
        </is>
      </c>
      <c r="I109" s="4" t="inlineStr">
        <is>
          <t>書店頁面</t>
        </is>
      </c>
      <c r="J109" s="5" t="inlineStr">
        <is>
          <t>https://www.sanmin.com.tw/product/index/007761890</t>
        </is>
      </c>
      <c r="K109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10">
      <c r="A110" s="4" t="inlineStr">
        <is>
          <t>三民</t>
        </is>
      </c>
      <c r="B110" s="4" t="inlineStr">
        <is>
          <t>高中</t>
        </is>
      </c>
      <c r="C110" s="4" t="inlineStr">
        <is>
          <t>11</t>
        </is>
      </c>
      <c r="D110" s="4" t="inlineStr">
        <is>
          <t>第四冊A</t>
        </is>
      </c>
      <c r="E110" s="4" t="inlineStr">
        <is>
          <t>數學</t>
        </is>
      </c>
      <c r="F110" s="4" t="inlineStr">
        <is>
          <t>第1章 空間向量</t>
        </is>
      </c>
      <c r="G110" s="4" t="inlineStr">
        <is>
          <t>空間概念；空間向量的坐標表示；內積；外積與行列式</t>
        </is>
      </c>
      <c r="H110" s="4" t="inlineStr">
        <is>
          <t>未標示</t>
        </is>
      </c>
      <c r="I110" s="4" t="inlineStr">
        <is>
          <t>書店頁面</t>
        </is>
      </c>
      <c r="J110" s="5" t="inlineStr">
        <is>
          <t>https://www.sanmin.com.tw/product/index/008521408</t>
        </is>
      </c>
      <c r="K110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1">
      <c r="A111" s="4" t="inlineStr">
        <is>
          <t>三民</t>
        </is>
      </c>
      <c r="B111" s="4" t="inlineStr">
        <is>
          <t>高中</t>
        </is>
      </c>
      <c r="C111" s="4" t="inlineStr">
        <is>
          <t>11</t>
        </is>
      </c>
      <c r="D111" s="4" t="inlineStr">
        <is>
          <t>第四冊A</t>
        </is>
      </c>
      <c r="E111" s="4" t="inlineStr">
        <is>
          <t>數學</t>
        </is>
      </c>
      <c r="F111" s="4" t="inlineStr">
        <is>
          <t>第2章 空間中的平面與直線</t>
        </is>
      </c>
      <c r="G111" s="4" t="inlineStr">
        <is>
          <t>平面方程式；直線方程式；三元一次方程組</t>
        </is>
      </c>
      <c r="H111" s="4" t="inlineStr">
        <is>
          <t>未標示</t>
        </is>
      </c>
      <c r="I111" s="4" t="inlineStr">
        <is>
          <t>書店頁面</t>
        </is>
      </c>
      <c r="J111" s="5" t="inlineStr">
        <is>
          <t>https://www.sanmin.com.tw/product/index/008521408</t>
        </is>
      </c>
      <c r="K111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2">
      <c r="A112" s="4" t="inlineStr">
        <is>
          <t>三民</t>
        </is>
      </c>
      <c r="B112" s="4" t="inlineStr">
        <is>
          <t>高中</t>
        </is>
      </c>
      <c r="C112" s="4" t="inlineStr">
        <is>
          <t>11</t>
        </is>
      </c>
      <c r="D112" s="4" t="inlineStr">
        <is>
          <t>第四冊A</t>
        </is>
      </c>
      <c r="E112" s="4" t="inlineStr">
        <is>
          <t>數學</t>
        </is>
      </c>
      <c r="F112" s="4" t="inlineStr">
        <is>
          <t>第3章 矩陣</t>
        </is>
      </c>
      <c r="G112" s="4" t="inlineStr">
        <is>
          <t>線性方程組與矩陣；矩陣運算；矩陣的應用</t>
        </is>
      </c>
      <c r="H112" s="4" t="inlineStr">
        <is>
          <t>未標示</t>
        </is>
      </c>
      <c r="I112" s="4" t="inlineStr">
        <is>
          <t>書店頁面</t>
        </is>
      </c>
      <c r="J112" s="5" t="inlineStr">
        <is>
          <t>https://www.sanmin.com.tw/product/index/008521408</t>
        </is>
      </c>
      <c r="K112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3">
      <c r="A113" s="4" t="inlineStr">
        <is>
          <t>三民</t>
        </is>
      </c>
      <c r="B113" s="4" t="inlineStr">
        <is>
          <t>高中</t>
        </is>
      </c>
      <c r="C113" s="4" t="inlineStr">
        <is>
          <t>11</t>
        </is>
      </c>
      <c r="D113" s="4" t="inlineStr">
        <is>
          <t>第四冊A</t>
        </is>
      </c>
      <c r="E113" s="4" t="inlineStr">
        <is>
          <t>數學</t>
        </is>
      </c>
      <c r="F113" s="4" t="inlineStr">
        <is>
          <t>第4章 條件機率與貝氏定理</t>
        </is>
      </c>
      <c r="G113" s="4" t="inlineStr">
        <is>
          <t>條件機率與獨立事件；貝氏定理</t>
        </is>
      </c>
      <c r="H113" s="4" t="inlineStr">
        <is>
          <t>未標示</t>
        </is>
      </c>
      <c r="I113" s="4" t="inlineStr">
        <is>
          <t>書店頁面</t>
        </is>
      </c>
      <c r="J113" s="5" t="inlineStr">
        <is>
          <t>https://www.sanmin.com.tw/product/index/008521408</t>
        </is>
      </c>
      <c r="K113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4">
      <c r="A114" s="4" t="inlineStr">
        <is>
          <t>三民</t>
        </is>
      </c>
      <c r="B114" s="4" t="inlineStr">
        <is>
          <t>高中</t>
        </is>
      </c>
      <c r="C114" s="4" t="inlineStr">
        <is>
          <t>11</t>
        </is>
      </c>
      <c r="D114" s="4" t="inlineStr">
        <is>
          <t>第四冊B</t>
        </is>
      </c>
      <c r="E114" s="4" t="inlineStr">
        <is>
          <t>數學</t>
        </is>
      </c>
      <c r="F114" s="4" t="inlineStr">
        <is>
          <t>第1章 空間的幾何概念</t>
        </is>
      </c>
      <c r="G114" s="4" t="inlineStr">
        <is>
          <t>空間概念；空間坐標；球面與圓錐截痕</t>
        </is>
      </c>
      <c r="H114" s="4" t="inlineStr">
        <is>
          <t>未標示</t>
        </is>
      </c>
      <c r="I114" s="4" t="inlineStr">
        <is>
          <t>書店頁面</t>
        </is>
      </c>
      <c r="J114" s="5" t="inlineStr">
        <is>
          <t>https://www.sanmin.com.tw/product/index/010193633</t>
        </is>
      </c>
      <c r="K114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5">
      <c r="A115" s="4" t="inlineStr">
        <is>
          <t>三民</t>
        </is>
      </c>
      <c r="B115" s="4" t="inlineStr">
        <is>
          <t>高中</t>
        </is>
      </c>
      <c r="C115" s="4" t="inlineStr">
        <is>
          <t>11</t>
        </is>
      </c>
      <c r="D115" s="4" t="inlineStr">
        <is>
          <t>第四冊B</t>
        </is>
      </c>
      <c r="E115" s="4" t="inlineStr">
        <is>
          <t>數學</t>
        </is>
      </c>
      <c r="F115" s="4" t="inlineStr">
        <is>
          <t>第2章 矩陣</t>
        </is>
      </c>
      <c r="G115" s="4" t="inlineStr">
        <is>
          <t>矩陣定義與運算；乘法與反矩陣</t>
        </is>
      </c>
      <c r="H115" s="4" t="inlineStr">
        <is>
          <t>未標示</t>
        </is>
      </c>
      <c r="I115" s="4" t="inlineStr">
        <is>
          <t>書店頁面</t>
        </is>
      </c>
      <c r="J115" s="5" t="inlineStr">
        <is>
          <t>https://www.sanmin.com.tw/product/index/010193633</t>
        </is>
      </c>
      <c r="K115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6">
      <c r="A116" s="4" t="inlineStr">
        <is>
          <t>三民</t>
        </is>
      </c>
      <c r="B116" s="4" t="inlineStr">
        <is>
          <t>高中</t>
        </is>
      </c>
      <c r="C116" s="4" t="inlineStr">
        <is>
          <t>11</t>
        </is>
      </c>
      <c r="D116" s="4" t="inlineStr">
        <is>
          <t>第四冊B</t>
        </is>
      </c>
      <c r="E116" s="4" t="inlineStr">
        <is>
          <t>數學</t>
        </is>
      </c>
      <c r="F116" s="4" t="inlineStr">
        <is>
          <t>第3章 條件機率與貝氏定理</t>
        </is>
      </c>
      <c r="G116" s="4" t="inlineStr">
        <is>
          <t>條件機率與獨立事件；貝氏定理</t>
        </is>
      </c>
      <c r="H116" s="4" t="inlineStr">
        <is>
          <t>未標示</t>
        </is>
      </c>
      <c r="I116" s="4" t="inlineStr">
        <is>
          <t>書店頁面</t>
        </is>
      </c>
      <c r="J116" s="5" t="inlineStr">
        <is>
          <t>https://www.sanmin.com.tw/product/index/010193633</t>
        </is>
      </c>
      <c r="K116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7">
      <c r="A117" s="4" t="inlineStr">
        <is>
          <t>三民</t>
        </is>
      </c>
      <c r="B117" s="4" t="inlineStr">
        <is>
          <t>高中</t>
        </is>
      </c>
      <c r="C117" s="4" t="inlineStr">
        <is>
          <t>12</t>
        </is>
      </c>
      <c r="D117" s="4" t="inlineStr">
        <is>
          <t>數學乙上</t>
        </is>
      </c>
      <c r="E117" s="4" t="inlineStr">
        <is>
          <t>數學</t>
        </is>
      </c>
      <c r="F117" s="4" t="inlineStr">
        <is>
          <t>第1章 極限與函數</t>
        </is>
      </c>
      <c r="G117" s="4" t="inlineStr">
        <is>
          <t>數列及其極限；函數與函數圖形的性質；函數的極限</t>
        </is>
      </c>
      <c r="H117" s="4" t="inlineStr">
        <is>
          <t>未標示</t>
        </is>
      </c>
      <c r="I117" s="4" t="inlineStr">
        <is>
          <t>書店頁面</t>
        </is>
      </c>
      <c r="J117" s="5" t="inlineStr">
        <is>
          <t>https://www.sanmin.com.tw/product/index/009636572</t>
        </is>
      </c>
      <c r="K117" s="4" t="inlineStr">
        <is>
          <t>取自三民網路書店配套書（普通型高中選修數學乙上冊學習講義，2023/08）商品頁目次，配合三民（鄭惟厚主編）課本編寫；</t>
        </is>
      </c>
    </row>
    <row r="118">
      <c r="A118" s="4" t="inlineStr">
        <is>
          <t>三民</t>
        </is>
      </c>
      <c r="B118" s="4" t="inlineStr">
        <is>
          <t>高中</t>
        </is>
      </c>
      <c r="C118" s="4" t="inlineStr">
        <is>
          <t>12</t>
        </is>
      </c>
      <c r="D118" s="4" t="inlineStr">
        <is>
          <t>數學乙上</t>
        </is>
      </c>
      <c r="E118" s="4" t="inlineStr">
        <is>
          <t>數學</t>
        </is>
      </c>
      <c r="F118" s="4" t="inlineStr">
        <is>
          <t>第2章 多項式函數的微分</t>
        </is>
      </c>
      <c r="G118" s="4" t="inlineStr">
        <is>
          <t>微分；導函數與函數的圖形</t>
        </is>
      </c>
      <c r="H118" s="4" t="inlineStr">
        <is>
          <t>未標示</t>
        </is>
      </c>
      <c r="I118" s="4" t="inlineStr">
        <is>
          <t>書店頁面</t>
        </is>
      </c>
      <c r="J118" s="5" t="inlineStr">
        <is>
          <t>https://www.sanmin.com.tw/product/index/009636572</t>
        </is>
      </c>
      <c r="K118" s="4" t="inlineStr">
        <is>
          <t>取自三民網路書店配套書（普通型高中選修數學乙上冊學習講義，2023/08）商品頁目次，配合三民（鄭惟厚主編）課本編寫；</t>
        </is>
      </c>
    </row>
    <row r="119">
      <c r="A119" s="4" t="inlineStr">
        <is>
          <t>三民</t>
        </is>
      </c>
      <c r="B119" s="4" t="inlineStr">
        <is>
          <t>高中</t>
        </is>
      </c>
      <c r="C119" s="4" t="inlineStr">
        <is>
          <t>12</t>
        </is>
      </c>
      <c r="D119" s="4" t="inlineStr">
        <is>
          <t>數學乙上</t>
        </is>
      </c>
      <c r="E119" s="4" t="inlineStr">
        <is>
          <t>數學</t>
        </is>
      </c>
      <c r="F119" s="4" t="inlineStr">
        <is>
          <t>第3章 多項式函數的積分</t>
        </is>
      </c>
      <c r="G119" s="4" t="inlineStr">
        <is>
          <t>積分（其餘節名未見）</t>
        </is>
      </c>
      <c r="H119" s="4" t="inlineStr">
        <is>
          <t>未標示</t>
        </is>
      </c>
      <c r="I119" s="4" t="inlineStr">
        <is>
          <t>書店頁面</t>
        </is>
      </c>
      <c r="J119" s="5" t="inlineStr">
        <is>
          <t>https://www.sanmin.com.tw/product/index/009636572</t>
        </is>
      </c>
      <c r="K119" s="4" t="inlineStr">
        <is>
          <t>取自三民網路書店配套書（普通型高中選修數學乙上冊學習講義，2023/08）商品頁目次，配合三民（鄭惟厚主編）課本編寫；</t>
        </is>
      </c>
    </row>
    <row r="120">
      <c r="A120" s="6" t="inlineStr">
        <is>
          <t>三民</t>
        </is>
      </c>
      <c r="B120" s="6" t="inlineStr">
        <is>
          <t>高中</t>
        </is>
      </c>
      <c r="C120" s="6" t="inlineStr">
        <is>
          <t>12</t>
        </is>
      </c>
      <c r="D120" s="6" t="inlineStr">
        <is>
          <t>數學乙下</t>
        </is>
      </c>
      <c r="E120" s="6" t="inlineStr">
        <is>
          <t>數學</t>
        </is>
      </c>
      <c r="F120" s="6" t="n"/>
      <c r="G120" s="6" t="n"/>
      <c r="H120" s="6" t="n"/>
      <c r="I120" s="6" t="n"/>
      <c r="J120" s="6" t="n"/>
      <c r="K120" s="6" t="inlineStr">
        <is>
          <t>未查到（三民網路書店有乙下冊學習講義、習作商品頁，但搜尋結果未見目次）</t>
        </is>
      </c>
    </row>
    <row r="121">
      <c r="A121" s="4" t="inlineStr">
        <is>
          <t>三民</t>
        </is>
      </c>
      <c r="B121" s="4" t="inlineStr">
        <is>
          <t>高中</t>
        </is>
      </c>
      <c r="C121" s="4" t="inlineStr">
        <is>
          <t>12</t>
        </is>
      </c>
      <c r="D121" s="4" t="inlineStr">
        <is>
          <t>數學甲上</t>
        </is>
      </c>
      <c r="E121" s="4" t="inlineStr">
        <is>
          <t>數學</t>
        </is>
      </c>
      <c r="F121" s="4" t="inlineStr">
        <is>
          <t>第1章 極限與函數</t>
        </is>
      </c>
      <c r="G121" s="4" t="inlineStr">
        <is>
          <t>數列及其極限；無窮等比級數；函數與函數圖形的性質；函數的極限</t>
        </is>
      </c>
      <c r="H121" s="4" t="inlineStr">
        <is>
          <t>未標示</t>
        </is>
      </c>
      <c r="I121" s="4" t="inlineStr">
        <is>
          <t>書店頁面</t>
        </is>
      </c>
      <c r="J121" s="5" t="inlineStr">
        <is>
          <t>https://www.sanmin.com.tw/product/index/010611856</t>
        </is>
      </c>
      <c r="K121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2">
      <c r="A122" s="4" t="inlineStr">
        <is>
          <t>三民</t>
        </is>
      </c>
      <c r="B122" s="4" t="inlineStr">
        <is>
          <t>高中</t>
        </is>
      </c>
      <c r="C122" s="4" t="inlineStr">
        <is>
          <t>12</t>
        </is>
      </c>
      <c r="D122" s="4" t="inlineStr">
        <is>
          <t>數學甲上</t>
        </is>
      </c>
      <c r="E122" s="4" t="inlineStr">
        <is>
          <t>數學</t>
        </is>
      </c>
      <c r="F122" s="4" t="inlineStr">
        <is>
          <t>第2章 函數的微分</t>
        </is>
      </c>
      <c r="G122" s="4" t="inlineStr">
        <is>
          <t>微分與導函數；（導）函數與函數圖形（摘要記為兩節，第二節確切名稱待核）</t>
        </is>
      </c>
      <c r="H122" s="4" t="inlineStr">
        <is>
          <t>未標示</t>
        </is>
      </c>
      <c r="I122" s="4" t="inlineStr">
        <is>
          <t>書店頁面</t>
        </is>
      </c>
      <c r="J122" s="5" t="inlineStr">
        <is>
          <t>https://www.sanmin.com.tw/product/index/010611856</t>
        </is>
      </c>
      <c r="K122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3">
      <c r="A123" s="4" t="inlineStr">
        <is>
          <t>三民</t>
        </is>
      </c>
      <c r="B123" s="4" t="inlineStr">
        <is>
          <t>高中</t>
        </is>
      </c>
      <c r="C123" s="4" t="inlineStr">
        <is>
          <t>12</t>
        </is>
      </c>
      <c r="D123" s="4" t="inlineStr">
        <is>
          <t>數學甲上</t>
        </is>
      </c>
      <c r="E123" s="4" t="inlineStr">
        <is>
          <t>數學</t>
        </is>
      </c>
      <c r="F123" s="4" t="inlineStr">
        <is>
          <t>第3章 多項式函數的積分</t>
        </is>
      </c>
      <c r="G123" s="4" t="inlineStr">
        <is>
          <t>黎曼和與積分；積分的應用</t>
        </is>
      </c>
      <c r="H123" s="4" t="inlineStr">
        <is>
          <t>未標示</t>
        </is>
      </c>
      <c r="I123" s="4" t="inlineStr">
        <is>
          <t>書店頁面</t>
        </is>
      </c>
      <c r="J123" s="5" t="inlineStr">
        <is>
          <t>https://www.sanmin.com.tw/product/index/010611856</t>
        </is>
      </c>
      <c r="K123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4">
      <c r="A124" s="4" t="inlineStr">
        <is>
          <t>三民</t>
        </is>
      </c>
      <c r="B124" s="4" t="inlineStr">
        <is>
          <t>高中</t>
        </is>
      </c>
      <c r="C124" s="4" t="inlineStr">
        <is>
          <t>12</t>
        </is>
      </c>
      <c r="D124" s="4" t="inlineStr">
        <is>
          <t>數學甲下</t>
        </is>
      </c>
      <c r="E124" s="4" t="inlineStr">
        <is>
          <t>數學</t>
        </is>
      </c>
      <c r="F124" s="4" t="inlineStr">
        <is>
          <t>第1章 二次曲線</t>
        </is>
      </c>
      <c r="G124" s="4" t="inlineStr">
        <is>
          <t>1-1 拋物線；1-2 橢圓；1-3 雙曲線</t>
        </is>
      </c>
      <c r="H124" s="4" t="inlineStr">
        <is>
          <t>未標示</t>
        </is>
      </c>
      <c r="I124" s="4" t="inlineStr">
        <is>
          <t>書店頁面</t>
        </is>
      </c>
      <c r="J124" s="5" t="inlineStr">
        <is>
          <t>https://www.sanmin.com.tw/product/index/010194614</t>
        </is>
      </c>
      <c r="K124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5">
      <c r="A125" s="4" t="inlineStr">
        <is>
          <t>三民</t>
        </is>
      </c>
      <c r="B125" s="4" t="inlineStr">
        <is>
          <t>高中</t>
        </is>
      </c>
      <c r="C125" s="4" t="inlineStr">
        <is>
          <t>12</t>
        </is>
      </c>
      <c r="D125" s="4" t="inlineStr">
        <is>
          <t>數學甲下</t>
        </is>
      </c>
      <c r="E125" s="4" t="inlineStr">
        <is>
          <t>數學</t>
        </is>
      </c>
      <c r="F125" s="4" t="inlineStr">
        <is>
          <t>第2章 複數與方程式</t>
        </is>
      </c>
      <c r="G125" s="4" t="inlineStr">
        <is>
          <t>複數與方程式；複數的幾何意涵</t>
        </is>
      </c>
      <c r="H125" s="4" t="inlineStr">
        <is>
          <t>未標示</t>
        </is>
      </c>
      <c r="I125" s="4" t="inlineStr">
        <is>
          <t>書店頁面</t>
        </is>
      </c>
      <c r="J125" s="5" t="inlineStr">
        <is>
          <t>https://www.sanmin.com.tw/product/index/010194614</t>
        </is>
      </c>
      <c r="K125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6">
      <c r="A126" s="4" t="inlineStr">
        <is>
          <t>三民</t>
        </is>
      </c>
      <c r="B126" s="4" t="inlineStr">
        <is>
          <t>高中</t>
        </is>
      </c>
      <c r="C126" s="4" t="inlineStr">
        <is>
          <t>12</t>
        </is>
      </c>
      <c r="D126" s="4" t="inlineStr">
        <is>
          <t>數學甲下</t>
        </is>
      </c>
      <c r="E126" s="4" t="inlineStr">
        <is>
          <t>數學</t>
        </is>
      </c>
      <c r="F126" s="4" t="inlineStr">
        <is>
          <t>第3章 隨機變數及其應用</t>
        </is>
      </c>
      <c r="G126" s="4" t="inlineStr">
        <is>
          <t>離散型隨機變數；二項分布及其應用</t>
        </is>
      </c>
      <c r="H126" s="4" t="inlineStr">
        <is>
          <t>未標示</t>
        </is>
      </c>
      <c r="I126" s="4" t="inlineStr">
        <is>
          <t>書店頁面</t>
        </is>
      </c>
      <c r="J126" s="5" t="inlineStr">
        <is>
          <t>https://www.sanmin.com.tw/product/index/010194614</t>
        </is>
      </c>
      <c r="K126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7">
      <c r="A127" s="6" t="inlineStr">
        <is>
          <t>三民</t>
        </is>
      </c>
      <c r="B127" s="6" t="inlineStr">
        <is>
          <t>高中</t>
        </is>
      </c>
      <c r="C127" s="6" t="n"/>
      <c r="D127" s="6" t="inlineStr">
        <is>
          <t>基礎生物（一）</t>
        </is>
      </c>
      <c r="E127" s="6" t="inlineStr">
        <is>
          <t>生物</t>
        </is>
      </c>
      <c r="F127" s="6" t="n"/>
      <c r="G127" s="6" t="n"/>
      <c r="H127" s="6" t="n"/>
      <c r="I127" s="6" t="inlineStr">
        <is>
          <t>其他</t>
        </is>
      </c>
      <c r="J127" s="6" t="n"/>
      <c r="K127" s="6" t="inlineStr">
        <is>
          <t>未查到</t>
        </is>
      </c>
    </row>
    <row r="128">
      <c r="A128" s="6" t="inlineStr">
        <is>
          <t>三民</t>
        </is>
      </c>
      <c r="B128" s="6" t="inlineStr">
        <is>
          <t>高中</t>
        </is>
      </c>
      <c r="C128" s="6" t="n"/>
      <c r="D128" s="6" t="inlineStr">
        <is>
          <t>基礎生物（二）</t>
        </is>
      </c>
      <c r="E128" s="6" t="inlineStr">
        <is>
          <t>生物</t>
        </is>
      </c>
      <c r="F128" s="6" t="n"/>
      <c r="G128" s="6" t="n"/>
      <c r="H128" s="6" t="n"/>
      <c r="I128" s="6" t="inlineStr">
        <is>
          <t>其他</t>
        </is>
      </c>
      <c r="J128" s="6" t="n"/>
      <c r="K128" s="6" t="inlineStr">
        <is>
          <t>未查到</t>
        </is>
      </c>
    </row>
    <row r="129">
      <c r="A129" s="6" t="inlineStr">
        <is>
          <t>三民</t>
        </is>
      </c>
      <c r="B129" s="6" t="inlineStr">
        <is>
          <t>高中</t>
        </is>
      </c>
      <c r="C129" s="6" t="n"/>
      <c r="D129" s="6" t="inlineStr">
        <is>
          <t>選修生物I</t>
        </is>
      </c>
      <c r="E129" s="6" t="inlineStr">
        <is>
          <t>生物</t>
        </is>
      </c>
      <c r="F129" s="6" t="n"/>
      <c r="G129" s="6" t="n"/>
      <c r="H129" s="6" t="n"/>
      <c r="I129" s="6" t="inlineStr">
        <is>
          <t>其他</t>
        </is>
      </c>
      <c r="J129" s="6" t="n"/>
      <c r="K129" s="6" t="inlineStr">
        <is>
          <t>未查到</t>
        </is>
      </c>
    </row>
    <row r="130">
      <c r="A130" s="6" t="inlineStr">
        <is>
          <t>三民</t>
        </is>
      </c>
      <c r="B130" s="6" t="inlineStr">
        <is>
          <t>高中</t>
        </is>
      </c>
      <c r="C130" s="6" t="n"/>
      <c r="D130" s="6" t="inlineStr">
        <is>
          <t>選修生物II</t>
        </is>
      </c>
      <c r="E130" s="6" t="inlineStr">
        <is>
          <t>生物</t>
        </is>
      </c>
      <c r="F130" s="6" t="n"/>
      <c r="G130" s="6" t="n"/>
      <c r="H130" s="6" t="n"/>
      <c r="I130" s="6" t="inlineStr">
        <is>
          <t>其他</t>
        </is>
      </c>
      <c r="J130" s="6" t="n"/>
      <c r="K130" s="6" t="inlineStr">
        <is>
          <t>未查到</t>
        </is>
      </c>
    </row>
    <row r="131">
      <c r="A131" s="6" t="inlineStr">
        <is>
          <t>三民</t>
        </is>
      </c>
      <c r="B131" s="6" t="inlineStr">
        <is>
          <t>高中</t>
        </is>
      </c>
      <c r="C131" s="6" t="n"/>
      <c r="D131" s="6" t="inlineStr">
        <is>
          <t>選修生物III</t>
        </is>
      </c>
      <c r="E131" s="6" t="inlineStr">
        <is>
          <t>生物</t>
        </is>
      </c>
      <c r="F131" s="6" t="n"/>
      <c r="G131" s="6" t="n"/>
      <c r="H131" s="6" t="n"/>
      <c r="I131" s="6" t="inlineStr">
        <is>
          <t>其他</t>
        </is>
      </c>
      <c r="J131" s="6" t="n"/>
      <c r="K131" s="6" t="inlineStr">
        <is>
          <t>未查到</t>
        </is>
      </c>
    </row>
    <row r="132">
      <c r="A132" s="6" t="inlineStr">
        <is>
          <t>三民</t>
        </is>
      </c>
      <c r="B132" s="6" t="inlineStr">
        <is>
          <t>高中</t>
        </is>
      </c>
      <c r="C132" s="6" t="n"/>
      <c r="D132" s="6" t="inlineStr">
        <is>
          <t>選修生物IV</t>
        </is>
      </c>
      <c r="E132" s="6" t="inlineStr">
        <is>
          <t>生物</t>
        </is>
      </c>
      <c r="F132" s="6" t="n"/>
      <c r="G132" s="6" t="n"/>
      <c r="H132" s="6" t="n"/>
      <c r="I132" s="6" t="inlineStr">
        <is>
          <t>其他</t>
        </is>
      </c>
      <c r="J132" s="6" t="n"/>
      <c r="K132" s="6" t="inlineStr">
        <is>
          <t>未查到</t>
        </is>
      </c>
    </row>
    <row r="133">
      <c r="A133" s="6" t="inlineStr">
        <is>
          <t>三民</t>
        </is>
      </c>
      <c r="B133" s="6" t="inlineStr">
        <is>
          <t>高中</t>
        </is>
      </c>
      <c r="C133" s="6" t="n"/>
      <c r="D133" s="6" t="inlineStr">
        <is>
          <t>基礎物理（一）</t>
        </is>
      </c>
      <c r="E133" s="6" t="inlineStr">
        <is>
          <t>物理</t>
        </is>
      </c>
      <c r="F133" s="6" t="n"/>
      <c r="G133" s="6" t="n"/>
      <c r="H133" s="6" t="n"/>
      <c r="I133" s="6" t="inlineStr">
        <is>
          <t>其他</t>
        </is>
      </c>
      <c r="J133" s="6" t="n"/>
      <c r="K133" s="6" t="inlineStr">
        <is>
          <t>未查到</t>
        </is>
      </c>
    </row>
    <row r="134">
      <c r="A134" s="6" t="inlineStr">
        <is>
          <t>三民</t>
        </is>
      </c>
      <c r="B134" s="6" t="inlineStr">
        <is>
          <t>高中</t>
        </is>
      </c>
      <c r="C134" s="6" t="n"/>
      <c r="D134" s="6" t="inlineStr">
        <is>
          <t>選修物理I</t>
        </is>
      </c>
      <c r="E134" s="6" t="inlineStr">
        <is>
          <t>物理</t>
        </is>
      </c>
      <c r="F134" s="6" t="n"/>
      <c r="G134" s="6" t="n"/>
      <c r="H134" s="6" t="n"/>
      <c r="I134" s="6" t="inlineStr">
        <is>
          <t>其他</t>
        </is>
      </c>
      <c r="J134" s="6" t="n"/>
      <c r="K134" s="6" t="inlineStr">
        <is>
          <t>未查到</t>
        </is>
      </c>
    </row>
    <row r="135">
      <c r="A135" s="6" t="inlineStr">
        <is>
          <t>三民</t>
        </is>
      </c>
      <c r="B135" s="6" t="inlineStr">
        <is>
          <t>高中</t>
        </is>
      </c>
      <c r="C135" s="6" t="n"/>
      <c r="D135" s="6" t="inlineStr">
        <is>
          <t>選修物理II</t>
        </is>
      </c>
      <c r="E135" s="6" t="inlineStr">
        <is>
          <t>物理</t>
        </is>
      </c>
      <c r="F135" s="6" t="n"/>
      <c r="G135" s="6" t="n"/>
      <c r="H135" s="6" t="n"/>
      <c r="I135" s="6" t="inlineStr">
        <is>
          <t>其他</t>
        </is>
      </c>
      <c r="J135" s="6" t="n"/>
      <c r="K135" s="6" t="inlineStr">
        <is>
          <t>未查到</t>
        </is>
      </c>
    </row>
    <row r="136">
      <c r="A136" s="6" t="inlineStr">
        <is>
          <t>三民</t>
        </is>
      </c>
      <c r="B136" s="6" t="inlineStr">
        <is>
          <t>高中</t>
        </is>
      </c>
      <c r="C136" s="6" t="n"/>
      <c r="D136" s="6" t="inlineStr">
        <is>
          <t>選修物理III</t>
        </is>
      </c>
      <c r="E136" s="6" t="inlineStr">
        <is>
          <t>物理</t>
        </is>
      </c>
      <c r="F136" s="6" t="n"/>
      <c r="G136" s="6" t="n"/>
      <c r="H136" s="6" t="n"/>
      <c r="I136" s="6" t="inlineStr">
        <is>
          <t>其他</t>
        </is>
      </c>
      <c r="J136" s="6" t="n"/>
      <c r="K136" s="6" t="inlineStr">
        <is>
          <t>未查到</t>
        </is>
      </c>
    </row>
    <row r="137">
      <c r="A137" s="6" t="inlineStr">
        <is>
          <t>三民</t>
        </is>
      </c>
      <c r="B137" s="6" t="inlineStr">
        <is>
          <t>高中</t>
        </is>
      </c>
      <c r="C137" s="6" t="n"/>
      <c r="D137" s="6" t="inlineStr">
        <is>
          <t>選修物理IV</t>
        </is>
      </c>
      <c r="E137" s="6" t="inlineStr">
        <is>
          <t>物理</t>
        </is>
      </c>
      <c r="F137" s="6" t="n"/>
      <c r="G137" s="6" t="n"/>
      <c r="H137" s="6" t="n"/>
      <c r="I137" s="6" t="inlineStr">
        <is>
          <t>其他</t>
        </is>
      </c>
      <c r="J137" s="6" t="n"/>
      <c r="K137" s="6" t="inlineStr">
        <is>
          <t>未查到</t>
        </is>
      </c>
    </row>
    <row r="138">
      <c r="A138" s="6" t="inlineStr">
        <is>
          <t>三民</t>
        </is>
      </c>
      <c r="B138" s="6" t="inlineStr">
        <is>
          <t>高中</t>
        </is>
      </c>
      <c r="C138" s="6" t="n"/>
      <c r="D138" s="6" t="inlineStr">
        <is>
          <t>選修物理V</t>
        </is>
      </c>
      <c r="E138" s="6" t="inlineStr">
        <is>
          <t>物理</t>
        </is>
      </c>
      <c r="F138" s="6" t="n"/>
      <c r="G138" s="6" t="n"/>
      <c r="H138" s="6" t="n"/>
      <c r="I138" s="6" t="inlineStr">
        <is>
          <t>其他</t>
        </is>
      </c>
      <c r="J138" s="6" t="n"/>
      <c r="K138" s="6" t="inlineStr">
        <is>
          <t>未查到</t>
        </is>
      </c>
    </row>
    <row r="139">
      <c r="A139" s="6" t="inlineStr">
        <is>
          <t>三民</t>
        </is>
      </c>
      <c r="B139" s="6" t="inlineStr">
        <is>
          <t>高中</t>
        </is>
      </c>
      <c r="C139" s="6" t="n"/>
      <c r="D139" s="6" t="inlineStr">
        <is>
          <t>基礎化學（一）</t>
        </is>
      </c>
      <c r="E139" s="6" t="inlineStr">
        <is>
          <t>化學</t>
        </is>
      </c>
      <c r="F139" s="6" t="n"/>
      <c r="G139" s="6" t="n"/>
      <c r="H139" s="6" t="n"/>
      <c r="I139" s="6" t="inlineStr">
        <is>
          <t>其他</t>
        </is>
      </c>
      <c r="J139" s="6" t="n"/>
      <c r="K139" s="6" t="inlineStr">
        <is>
          <t>未查到</t>
        </is>
      </c>
    </row>
    <row r="140">
      <c r="A140" s="6" t="inlineStr">
        <is>
          <t>三民</t>
        </is>
      </c>
      <c r="B140" s="6" t="inlineStr">
        <is>
          <t>高中</t>
        </is>
      </c>
      <c r="C140" s="6" t="n"/>
      <c r="D140" s="6" t="inlineStr">
        <is>
          <t>基礎化學（三）</t>
        </is>
      </c>
      <c r="E140" s="6" t="inlineStr">
        <is>
          <t>化學</t>
        </is>
      </c>
      <c r="F140" s="6" t="n"/>
      <c r="G140" s="6" t="n"/>
      <c r="H140" s="6" t="n"/>
      <c r="I140" s="6" t="inlineStr">
        <is>
          <t>其他</t>
        </is>
      </c>
      <c r="J140" s="6" t="n"/>
      <c r="K140" s="6" t="inlineStr">
        <is>
          <t>未查到</t>
        </is>
      </c>
    </row>
    <row r="141">
      <c r="A141" s="6" t="inlineStr">
        <is>
          <t>三民</t>
        </is>
      </c>
      <c r="B141" s="6" t="inlineStr">
        <is>
          <t>高中</t>
        </is>
      </c>
      <c r="C141" s="6" t="n"/>
      <c r="D141" s="6" t="inlineStr">
        <is>
          <t>基礎化學（二）</t>
        </is>
      </c>
      <c r="E141" s="6" t="inlineStr">
        <is>
          <t>化學</t>
        </is>
      </c>
      <c r="F141" s="6" t="n"/>
      <c r="G141" s="6" t="n"/>
      <c r="H141" s="6" t="n"/>
      <c r="I141" s="6" t="inlineStr">
        <is>
          <t>其他</t>
        </is>
      </c>
      <c r="J141" s="6" t="n"/>
      <c r="K141" s="6" t="inlineStr">
        <is>
          <t>未查到</t>
        </is>
      </c>
    </row>
    <row r="142">
      <c r="A142" s="6" t="inlineStr">
        <is>
          <t>三民</t>
        </is>
      </c>
      <c r="B142" s="6" t="inlineStr">
        <is>
          <t>高中</t>
        </is>
      </c>
      <c r="C142" s="6" t="n"/>
      <c r="D142" s="6" t="inlineStr">
        <is>
          <t>選修化學I</t>
        </is>
      </c>
      <c r="E142" s="6" t="inlineStr">
        <is>
          <t>化學</t>
        </is>
      </c>
      <c r="F142" s="6" t="n"/>
      <c r="G142" s="6" t="n"/>
      <c r="H142" s="6" t="n"/>
      <c r="I142" s="6" t="inlineStr">
        <is>
          <t>其他</t>
        </is>
      </c>
      <c r="J142" s="6" t="n"/>
      <c r="K142" s="6" t="inlineStr">
        <is>
          <t>未查到</t>
        </is>
      </c>
    </row>
    <row r="143">
      <c r="A143" s="6" t="inlineStr">
        <is>
          <t>三民</t>
        </is>
      </c>
      <c r="B143" s="6" t="inlineStr">
        <is>
          <t>高中</t>
        </is>
      </c>
      <c r="C143" s="6" t="n"/>
      <c r="D143" s="6" t="inlineStr">
        <is>
          <t>選修化學II</t>
        </is>
      </c>
      <c r="E143" s="6" t="inlineStr">
        <is>
          <t>化學</t>
        </is>
      </c>
      <c r="F143" s="6" t="n"/>
      <c r="G143" s="6" t="n"/>
      <c r="H143" s="6" t="n"/>
      <c r="I143" s="6" t="inlineStr">
        <is>
          <t>其他</t>
        </is>
      </c>
      <c r="J143" s="6" t="n"/>
      <c r="K143" s="6" t="inlineStr">
        <is>
          <t>未查到</t>
        </is>
      </c>
    </row>
    <row r="144">
      <c r="A144" s="6" t="inlineStr">
        <is>
          <t>三民</t>
        </is>
      </c>
      <c r="B144" s="6" t="inlineStr">
        <is>
          <t>高中</t>
        </is>
      </c>
      <c r="C144" s="6" t="n"/>
      <c r="D144" s="6" t="inlineStr">
        <is>
          <t>選修化學III</t>
        </is>
      </c>
      <c r="E144" s="6" t="inlineStr">
        <is>
          <t>化學</t>
        </is>
      </c>
      <c r="F144" s="6" t="n"/>
      <c r="G144" s="6" t="n"/>
      <c r="H144" s="6" t="n"/>
      <c r="I144" s="6" t="inlineStr">
        <is>
          <t>其他</t>
        </is>
      </c>
      <c r="J144" s="6" t="n"/>
      <c r="K144" s="6" t="inlineStr">
        <is>
          <t>未查到</t>
        </is>
      </c>
    </row>
    <row r="145">
      <c r="A145" s="6" t="inlineStr">
        <is>
          <t>三民</t>
        </is>
      </c>
      <c r="B145" s="6" t="inlineStr">
        <is>
          <t>高中</t>
        </is>
      </c>
      <c r="C145" s="6" t="n"/>
      <c r="D145" s="6" t="inlineStr">
        <is>
          <t>選修化學IV</t>
        </is>
      </c>
      <c r="E145" s="6" t="inlineStr">
        <is>
          <t>化學</t>
        </is>
      </c>
      <c r="F145" s="6" t="n"/>
      <c r="G145" s="6" t="n"/>
      <c r="H145" s="6" t="n"/>
      <c r="I145" s="6" t="inlineStr">
        <is>
          <t>其他</t>
        </is>
      </c>
      <c r="J145" s="6" t="n"/>
      <c r="K145" s="6" t="inlineStr">
        <is>
          <t>未查到</t>
        </is>
      </c>
    </row>
    <row r="146">
      <c r="A146" s="6" t="inlineStr">
        <is>
          <t>三民</t>
        </is>
      </c>
      <c r="B146" s="6" t="inlineStr">
        <is>
          <t>高中</t>
        </is>
      </c>
      <c r="C146" s="6" t="n"/>
      <c r="D146" s="6" t="inlineStr">
        <is>
          <t>選修化學V</t>
        </is>
      </c>
      <c r="E146" s="6" t="inlineStr">
        <is>
          <t>化學</t>
        </is>
      </c>
      <c r="F146" s="6" t="n"/>
      <c r="G146" s="6" t="n"/>
      <c r="H146" s="6" t="n"/>
      <c r="I146" s="6" t="inlineStr">
        <is>
          <t>其他</t>
        </is>
      </c>
      <c r="J146" s="6" t="n"/>
      <c r="K146" s="6" t="inlineStr">
        <is>
          <t>未查到</t>
        </is>
      </c>
    </row>
    <row r="147">
      <c r="A147" s="6" t="inlineStr">
        <is>
          <t>三民</t>
        </is>
      </c>
      <c r="B147" s="6" t="inlineStr">
        <is>
          <t>高中</t>
        </is>
      </c>
      <c r="C147" s="6" t="n"/>
      <c r="D147" s="6" t="inlineStr">
        <is>
          <t>基礎地球科學（一）</t>
        </is>
      </c>
      <c r="E147" s="6" t="inlineStr">
        <is>
          <t>地球科學</t>
        </is>
      </c>
      <c r="F147" s="6" t="n"/>
      <c r="G147" s="6" t="n"/>
      <c r="H147" s="6" t="n"/>
      <c r="I147" s="6" t="inlineStr">
        <is>
          <t>其他</t>
        </is>
      </c>
      <c r="J147" s="6" t="n"/>
      <c r="K147" s="6" t="inlineStr">
        <is>
          <t>未查到</t>
        </is>
      </c>
    </row>
    <row r="148">
      <c r="A148" s="6" t="inlineStr">
        <is>
          <t>三民</t>
        </is>
      </c>
      <c r="B148" s="6" t="inlineStr">
        <is>
          <t>高中</t>
        </is>
      </c>
      <c r="C148" s="6" t="n"/>
      <c r="D148" s="6" t="inlineStr">
        <is>
          <t>基礎地球科學（二）</t>
        </is>
      </c>
      <c r="E148" s="6" t="inlineStr">
        <is>
          <t>地球科學</t>
        </is>
      </c>
      <c r="F148" s="6" t="n"/>
      <c r="G148" s="6" t="n"/>
      <c r="H148" s="6" t="n"/>
      <c r="I148" s="6" t="inlineStr">
        <is>
          <t>其他</t>
        </is>
      </c>
      <c r="J148" s="6" t="n"/>
      <c r="K148" s="6" t="inlineStr">
        <is>
          <t>未查到</t>
        </is>
      </c>
    </row>
    <row r="149">
      <c r="A149" s="6" t="inlineStr">
        <is>
          <t>三民</t>
        </is>
      </c>
      <c r="B149" s="6" t="inlineStr">
        <is>
          <t>高中</t>
        </is>
      </c>
      <c r="C149" s="6" t="n"/>
      <c r="D149" s="6" t="inlineStr">
        <is>
          <t>選修地球科學I</t>
        </is>
      </c>
      <c r="E149" s="6" t="inlineStr">
        <is>
          <t>地球科學</t>
        </is>
      </c>
      <c r="F149" s="6" t="n"/>
      <c r="G149" s="6" t="n"/>
      <c r="H149" s="6" t="n"/>
      <c r="I149" s="6" t="inlineStr">
        <is>
          <t>其他</t>
        </is>
      </c>
      <c r="J149" s="6" t="n"/>
      <c r="K149" s="6" t="inlineStr">
        <is>
          <t>未查到</t>
        </is>
      </c>
    </row>
    <row r="150">
      <c r="A150" s="6" t="inlineStr">
        <is>
          <t>三民</t>
        </is>
      </c>
      <c r="B150" s="6" t="inlineStr">
        <is>
          <t>高中</t>
        </is>
      </c>
      <c r="C150" s="6" t="n"/>
      <c r="D150" s="6" t="inlineStr">
        <is>
          <t>選修地球科學II</t>
        </is>
      </c>
      <c r="E150" s="6" t="inlineStr">
        <is>
          <t>地球科學</t>
        </is>
      </c>
      <c r="F150" s="6" t="n"/>
      <c r="G150" s="6" t="n"/>
      <c r="H150" s="6" t="n"/>
      <c r="I150" s="6" t="inlineStr">
        <is>
          <t>其他</t>
        </is>
      </c>
      <c r="J150" s="6" t="n"/>
      <c r="K150" s="6" t="inlineStr">
        <is>
          <t>未查到</t>
        </is>
      </c>
    </row>
    <row r="151">
      <c r="A151" s="6" t="inlineStr">
        <is>
          <t>三民</t>
        </is>
      </c>
      <c r="B151" s="6" t="inlineStr">
        <is>
          <t>高中</t>
        </is>
      </c>
      <c r="C151" s="6" t="n"/>
      <c r="D151" s="6" t="inlineStr">
        <is>
          <t>選修地球科學III</t>
        </is>
      </c>
      <c r="E151" s="6" t="inlineStr">
        <is>
          <t>地球科學</t>
        </is>
      </c>
      <c r="F151" s="6" t="n"/>
      <c r="G151" s="6" t="n"/>
      <c r="H151" s="6" t="n"/>
      <c r="I151" s="6" t="inlineStr">
        <is>
          <t>其他</t>
        </is>
      </c>
      <c r="J151" s="6" t="n"/>
      <c r="K151" s="6" t="inlineStr">
        <is>
          <t>未查到</t>
        </is>
      </c>
    </row>
    <row r="152">
      <c r="A152" s="6" t="inlineStr">
        <is>
          <t>三民</t>
        </is>
      </c>
      <c r="B152" s="6" t="inlineStr">
        <is>
          <t>高中</t>
        </is>
      </c>
      <c r="C152" s="6" t="n"/>
      <c r="D152" s="6" t="inlineStr">
        <is>
          <t>選修地球科學IV</t>
        </is>
      </c>
      <c r="E152" s="6" t="inlineStr">
        <is>
          <t>地球科學</t>
        </is>
      </c>
      <c r="F152" s="6" t="n"/>
      <c r="G152" s="6" t="n"/>
      <c r="H152" s="6" t="n"/>
      <c r="I152" s="6" t="inlineStr">
        <is>
          <t>其他</t>
        </is>
      </c>
      <c r="J152" s="6" t="n"/>
      <c r="K152" s="6" t="inlineStr">
        <is>
          <t>未查到</t>
        </is>
      </c>
    </row>
    <row r="153">
      <c r="A153" s="6" t="inlineStr">
        <is>
          <t>三民</t>
        </is>
      </c>
      <c r="B153" s="6" t="inlineStr">
        <is>
          <t>高中</t>
        </is>
      </c>
      <c r="C153" s="6" t="inlineStr">
        <is>
          <t>10</t>
        </is>
      </c>
      <c r="D153" s="6" t="inlineStr">
        <is>
          <t>第一冊</t>
        </is>
      </c>
      <c r="E153" s="6" t="inlineStr">
        <is>
          <t>歷史</t>
        </is>
      </c>
      <c r="F153" s="6" t="n"/>
      <c r="G153" s="6" t="n"/>
      <c r="H153" s="6" t="n"/>
      <c r="I153" s="6" t="n"/>
      <c r="J153" s="6" t="n"/>
      <c r="K153" s="6" t="inlineStr">
        <is>
          <t>未查到（WebSearch 額度用盡，未及搜尋）</t>
        </is>
      </c>
    </row>
    <row r="154">
      <c r="A154" s="6" t="inlineStr">
        <is>
          <t>三民</t>
        </is>
      </c>
      <c r="B154" s="6" t="inlineStr">
        <is>
          <t>高中</t>
        </is>
      </c>
      <c r="C154" s="6" t="inlineStr">
        <is>
          <t>10</t>
        </is>
      </c>
      <c r="D154" s="6" t="inlineStr">
        <is>
          <t>第二冊</t>
        </is>
      </c>
      <c r="E154" s="6" t="inlineStr">
        <is>
          <t>歷史</t>
        </is>
      </c>
      <c r="F154" s="6" t="n"/>
      <c r="G154" s="6" t="n"/>
      <c r="H154" s="6" t="n"/>
      <c r="I154" s="6" t="n"/>
      <c r="J154" s="6" t="n"/>
      <c r="K154" s="6" t="inlineStr">
        <is>
          <t>未查到（WebSearch 額度用盡，未及搜尋）</t>
        </is>
      </c>
    </row>
    <row r="155">
      <c r="A155" s="6" t="inlineStr">
        <is>
          <t>三民</t>
        </is>
      </c>
      <c r="B155" s="6" t="inlineStr">
        <is>
          <t>高中</t>
        </is>
      </c>
      <c r="C155" s="6" t="inlineStr">
        <is>
          <t>11</t>
        </is>
      </c>
      <c r="D155" s="6" t="inlineStr">
        <is>
          <t>第三冊</t>
        </is>
      </c>
      <c r="E155" s="6" t="inlineStr">
        <is>
          <t>歷史</t>
        </is>
      </c>
      <c r="F155" s="6" t="n"/>
      <c r="G155" s="6" t="n"/>
      <c r="H155" s="6" t="n"/>
      <c r="I155" s="6" t="n"/>
      <c r="J155" s="6" t="n"/>
      <c r="K155" s="6" t="inlineStr">
        <is>
          <t>未查到（WebSearch 額度用盡，未及搜尋）</t>
        </is>
      </c>
    </row>
    <row r="156">
      <c r="A156" s="6" t="inlineStr">
        <is>
          <t>三民</t>
        </is>
      </c>
      <c r="B156" s="6" t="inlineStr">
        <is>
          <t>高中</t>
        </is>
      </c>
      <c r="C156" s="6" t="n"/>
      <c r="D156" s="6" t="inlineStr">
        <is>
          <t>加深加廣選修 探究與實作：歷史學探究</t>
        </is>
      </c>
      <c r="E156" s="6" t="inlineStr">
        <is>
          <t>歷史</t>
        </is>
      </c>
      <c r="F156" s="6" t="n"/>
      <c r="G156" s="6" t="n"/>
      <c r="H156" s="6" t="n"/>
      <c r="I156" s="6" t="n"/>
      <c r="J156" s="6" t="n"/>
      <c r="K156" s="6" t="inlineStr">
        <is>
          <t>未查到（WebSearch 額度用盡，未及搜尋）</t>
        </is>
      </c>
    </row>
    <row r="157">
      <c r="A157" s="6" t="inlineStr">
        <is>
          <t>三民</t>
        </is>
      </c>
      <c r="B157" s="6" t="inlineStr">
        <is>
          <t>高中</t>
        </is>
      </c>
      <c r="C157" s="6" t="n"/>
      <c r="D157" s="6" t="inlineStr">
        <is>
          <t>加深加廣選修 族群、性別與國家的歷史</t>
        </is>
      </c>
      <c r="E157" s="6" t="inlineStr">
        <is>
          <t>歷史</t>
        </is>
      </c>
      <c r="F157" s="6" t="n"/>
      <c r="G157" s="6" t="n"/>
      <c r="H157" s="6" t="n"/>
      <c r="I157" s="6" t="n"/>
      <c r="J157" s="6" t="n"/>
      <c r="K157" s="6" t="inlineStr">
        <is>
          <t>未查到（WebSearch 額度用盡，未及搜尋）</t>
        </is>
      </c>
    </row>
    <row r="158">
      <c r="A158" s="6" t="inlineStr">
        <is>
          <t>三民</t>
        </is>
      </c>
      <c r="B158" s="6" t="inlineStr">
        <is>
          <t>高中</t>
        </is>
      </c>
      <c r="C158" s="6" t="n"/>
      <c r="D158" s="6" t="inlineStr">
        <is>
          <t>加深加廣選修 科技、環境與藝術的歷史</t>
        </is>
      </c>
      <c r="E158" s="6" t="inlineStr">
        <is>
          <t>歷史</t>
        </is>
      </c>
      <c r="F158" s="6" t="n"/>
      <c r="G158" s="6" t="n"/>
      <c r="H158" s="6" t="n"/>
      <c r="I158" s="6" t="n"/>
      <c r="J158" s="6" t="n"/>
      <c r="K158" s="6" t="inlineStr">
        <is>
          <t>未查到（WebSearch 額度用盡，未及搜尋）</t>
        </is>
      </c>
    </row>
    <row r="159">
      <c r="A159" s="6" t="inlineStr">
        <is>
          <t>三民</t>
        </is>
      </c>
      <c r="B159" s="6" t="inlineStr">
        <is>
          <t>高中</t>
        </is>
      </c>
      <c r="C159" s="6" t="inlineStr">
        <is>
          <t>10</t>
        </is>
      </c>
      <c r="D159" s="6" t="inlineStr">
        <is>
          <t>第一冊</t>
        </is>
      </c>
      <c r="E159" s="6" t="inlineStr">
        <is>
          <t>地理</t>
        </is>
      </c>
      <c r="F159" s="6" t="n"/>
      <c r="G159" s="6" t="n"/>
      <c r="H159" s="6" t="n"/>
      <c r="I159" s="6" t="n"/>
      <c r="J159" s="6" t="n"/>
      <c r="K159" s="6" t="inlineStr">
        <is>
          <t>未查到（WebSearch 額度用盡，未及搜尋）</t>
        </is>
      </c>
    </row>
    <row r="160">
      <c r="A160" s="6" t="inlineStr">
        <is>
          <t>三民</t>
        </is>
      </c>
      <c r="B160" s="6" t="inlineStr">
        <is>
          <t>高中</t>
        </is>
      </c>
      <c r="C160" s="6" t="inlineStr">
        <is>
          <t>10</t>
        </is>
      </c>
      <c r="D160" s="6" t="inlineStr">
        <is>
          <t>第二冊</t>
        </is>
      </c>
      <c r="E160" s="6" t="inlineStr">
        <is>
          <t>地理</t>
        </is>
      </c>
      <c r="F160" s="6" t="n"/>
      <c r="G160" s="6" t="n"/>
      <c r="H160" s="6" t="n"/>
      <c r="I160" s="6" t="n"/>
      <c r="J160" s="6" t="n"/>
      <c r="K160" s="6" t="inlineStr">
        <is>
          <t>未查到（WebSearch 額度用盡，未及搜尋）</t>
        </is>
      </c>
    </row>
    <row r="161">
      <c r="A161" s="6" t="inlineStr">
        <is>
          <t>三民</t>
        </is>
      </c>
      <c r="B161" s="6" t="inlineStr">
        <is>
          <t>高中</t>
        </is>
      </c>
      <c r="C161" s="6" t="inlineStr">
        <is>
          <t>11</t>
        </is>
      </c>
      <c r="D161" s="6" t="inlineStr">
        <is>
          <t>第三冊</t>
        </is>
      </c>
      <c r="E161" s="6" t="inlineStr">
        <is>
          <t>地理</t>
        </is>
      </c>
      <c r="F161" s="6" t="n"/>
      <c r="G161" s="6" t="n"/>
      <c r="H161" s="6" t="n"/>
      <c r="I161" s="6" t="n"/>
      <c r="J161" s="6" t="n"/>
      <c r="K161" s="6" t="inlineStr">
        <is>
          <t>未查到（WebSearch 額度用盡，未及搜尋）</t>
        </is>
      </c>
    </row>
    <row r="162">
      <c r="A162" s="6" t="inlineStr">
        <is>
          <t>三民</t>
        </is>
      </c>
      <c r="B162" s="6" t="inlineStr">
        <is>
          <t>高中</t>
        </is>
      </c>
      <c r="C162" s="6" t="n"/>
      <c r="D162" s="6" t="inlineStr">
        <is>
          <t>加深加廣選修 探究與實作：地理與人文社會科學研究</t>
        </is>
      </c>
      <c r="E162" s="6" t="inlineStr">
        <is>
          <t>地理</t>
        </is>
      </c>
      <c r="F162" s="6" t="n"/>
      <c r="G162" s="6" t="n"/>
      <c r="H162" s="6" t="n"/>
      <c r="I162" s="6" t="n"/>
      <c r="J162" s="6" t="n"/>
      <c r="K162" s="6" t="inlineStr">
        <is>
          <t>未查到（WebSearch 額度用盡，未及搜尋）</t>
        </is>
      </c>
    </row>
    <row r="163">
      <c r="A163" s="6" t="inlineStr">
        <is>
          <t>三民</t>
        </is>
      </c>
      <c r="B163" s="6" t="inlineStr">
        <is>
          <t>高中</t>
        </is>
      </c>
      <c r="C163" s="6" t="n"/>
      <c r="D163" s="6" t="inlineStr">
        <is>
          <t>加深加廣選修 社會環境議題</t>
        </is>
      </c>
      <c r="E163" s="6" t="inlineStr">
        <is>
          <t>地理</t>
        </is>
      </c>
      <c r="F163" s="6" t="n"/>
      <c r="G163" s="6" t="n"/>
      <c r="H163" s="6" t="n"/>
      <c r="I163" s="6" t="n"/>
      <c r="J163" s="6" t="n"/>
      <c r="K163" s="6" t="inlineStr">
        <is>
          <t>未查到（WebSearch 額度用盡，未及搜尋）</t>
        </is>
      </c>
    </row>
    <row r="164">
      <c r="A164" s="6" t="inlineStr">
        <is>
          <t>三民</t>
        </is>
      </c>
      <c r="B164" s="6" t="inlineStr">
        <is>
          <t>高中</t>
        </is>
      </c>
      <c r="C164" s="6" t="n"/>
      <c r="D164" s="6" t="inlineStr">
        <is>
          <t>加深加廣選修 空間資訊科技</t>
        </is>
      </c>
      <c r="E164" s="6" t="inlineStr">
        <is>
          <t>地理</t>
        </is>
      </c>
      <c r="F164" s="6" t="n"/>
      <c r="G164" s="6" t="n"/>
      <c r="H164" s="6" t="n"/>
      <c r="I164" s="6" t="n"/>
      <c r="J164" s="6" t="n"/>
      <c r="K164" s="6" t="inlineStr">
        <is>
          <t>未查到（WebSearch 額度用盡，未及搜尋）</t>
        </is>
      </c>
    </row>
    <row r="165">
      <c r="A165" s="6" t="inlineStr">
        <is>
          <t>三民</t>
        </is>
      </c>
      <c r="B165" s="6" t="inlineStr">
        <is>
          <t>高中</t>
        </is>
      </c>
      <c r="C165" s="6" t="inlineStr">
        <is>
          <t>10</t>
        </is>
      </c>
      <c r="D165" s="6" t="inlineStr">
        <is>
          <t>第一冊</t>
        </is>
      </c>
      <c r="E165" s="6" t="inlineStr">
        <is>
          <t>公民與社會</t>
        </is>
      </c>
      <c r="F165" s="6" t="n"/>
      <c r="G165" s="6" t="n"/>
      <c r="H165" s="6" t="n"/>
      <c r="I165" s="6" t="n"/>
      <c r="J165" s="6" t="n"/>
      <c r="K165" s="6" t="inlineStr">
        <is>
          <t>未查到（WebSearch 額度用盡，未及搜尋）</t>
        </is>
      </c>
    </row>
    <row r="166">
      <c r="A166" s="6" t="inlineStr">
        <is>
          <t>三民</t>
        </is>
      </c>
      <c r="B166" s="6" t="inlineStr">
        <is>
          <t>高中</t>
        </is>
      </c>
      <c r="C166" s="6" t="inlineStr">
        <is>
          <t>10</t>
        </is>
      </c>
      <c r="D166" s="6" t="inlineStr">
        <is>
          <t>第二冊</t>
        </is>
      </c>
      <c r="E166" s="6" t="inlineStr">
        <is>
          <t>公民與社會</t>
        </is>
      </c>
      <c r="F166" s="6" t="n"/>
      <c r="G166" s="6" t="n"/>
      <c r="H166" s="6" t="n"/>
      <c r="I166" s="6" t="n"/>
      <c r="J166" s="6" t="n"/>
      <c r="K166" s="6" t="inlineStr">
        <is>
          <t>未查到（WebSearch 額度用盡，未及搜尋）</t>
        </is>
      </c>
    </row>
    <row r="167">
      <c r="A167" s="6" t="inlineStr">
        <is>
          <t>三民</t>
        </is>
      </c>
      <c r="B167" s="6" t="inlineStr">
        <is>
          <t>高中</t>
        </is>
      </c>
      <c r="C167" s="6" t="inlineStr">
        <is>
          <t>11</t>
        </is>
      </c>
      <c r="D167" s="6" t="inlineStr">
        <is>
          <t>第三冊</t>
        </is>
      </c>
      <c r="E167" s="6" t="inlineStr">
        <is>
          <t>公民與社會</t>
        </is>
      </c>
      <c r="F167" s="6" t="n"/>
      <c r="G167" s="6" t="n"/>
      <c r="H167" s="6" t="n"/>
      <c r="I167" s="6" t="n"/>
      <c r="J167" s="6" t="n"/>
      <c r="K167" s="6" t="inlineStr">
        <is>
          <t>未查到（WebSearch 額度用盡，未及搜尋）</t>
        </is>
      </c>
    </row>
    <row r="168">
      <c r="A168" s="6" t="inlineStr">
        <is>
          <t>三民</t>
        </is>
      </c>
      <c r="B168" s="6" t="inlineStr">
        <is>
          <t>高中</t>
        </is>
      </c>
      <c r="C168" s="6" t="n"/>
      <c r="D168" s="6" t="inlineStr">
        <is>
          <t>加深加廣選修 探究與實作：公共議題與社會探究</t>
        </is>
      </c>
      <c r="E168" s="6" t="inlineStr">
        <is>
          <t>公民與社會</t>
        </is>
      </c>
      <c r="F168" s="6" t="n"/>
      <c r="G168" s="6" t="n"/>
      <c r="H168" s="6" t="n"/>
      <c r="I168" s="6" t="n"/>
      <c r="J168" s="6" t="n"/>
      <c r="K168" s="6" t="inlineStr">
        <is>
          <t>未查到（WebSearch 額度用盡，未及搜尋）</t>
        </is>
      </c>
    </row>
    <row r="169">
      <c r="A169" s="6" t="inlineStr">
        <is>
          <t>三民</t>
        </is>
      </c>
      <c r="B169" s="6" t="inlineStr">
        <is>
          <t>高中</t>
        </is>
      </c>
      <c r="C169" s="6" t="n"/>
      <c r="D169" s="6" t="inlineStr">
        <is>
          <t>加深加廣選修 民主政治與法律</t>
        </is>
      </c>
      <c r="E169" s="6" t="inlineStr">
        <is>
          <t>公民與社會</t>
        </is>
      </c>
      <c r="F169" s="6" t="n"/>
      <c r="G169" s="6" t="n"/>
      <c r="H169" s="6" t="n"/>
      <c r="I169" s="6" t="n"/>
      <c r="J169" s="6" t="n"/>
      <c r="K169" s="6" t="inlineStr">
        <is>
          <t>未查到（WebSearch 額度用盡，未及搜尋）</t>
        </is>
      </c>
    </row>
    <row r="170">
      <c r="A170" s="6" t="inlineStr">
        <is>
          <t>三民</t>
        </is>
      </c>
      <c r="B170" s="6" t="inlineStr">
        <is>
          <t>高中</t>
        </is>
      </c>
      <c r="C170" s="6" t="n"/>
      <c r="D170" s="6" t="inlineStr">
        <is>
          <t>加深加廣選修 現代社會與經濟</t>
        </is>
      </c>
      <c r="E170" s="6" t="inlineStr">
        <is>
          <t>公民與社會</t>
        </is>
      </c>
      <c r="F170" s="6" t="n"/>
      <c r="G170" s="6" t="n"/>
      <c r="H170" s="6" t="n"/>
      <c r="I170" s="6" t="n"/>
      <c r="J170" s="6" t="n"/>
      <c r="K170" s="6" t="inlineStr">
        <is>
          <t>未查到（WebSearch 額度用盡，未及搜尋）</t>
        </is>
      </c>
    </row>
    <row r="171">
      <c r="A171" s="6" t="inlineStr">
        <is>
          <t>龍騰</t>
        </is>
      </c>
      <c r="B171" s="6" t="inlineStr">
        <is>
          <t>高中</t>
        </is>
      </c>
      <c r="C171" s="6" t="inlineStr">
        <is>
          <t>10</t>
        </is>
      </c>
      <c r="D171" s="6" t="inlineStr">
        <is>
          <t>第一冊</t>
        </is>
      </c>
      <c r="E171" s="6" t="inlineStr">
        <is>
          <t>國文</t>
        </is>
      </c>
      <c r="F171" s="6" t="n"/>
      <c r="G171" s="6" t="n"/>
      <c r="H171" s="6" t="n"/>
      <c r="I171" s="6" t="n"/>
      <c r="J171" s="6" t="n"/>
      <c r="K171" s="6" t="inlineStr">
        <is>
          <t>未查到</t>
        </is>
      </c>
    </row>
    <row r="172">
      <c r="A172" s="6" t="inlineStr">
        <is>
          <t>龍騰</t>
        </is>
      </c>
      <c r="B172" s="6" t="inlineStr">
        <is>
          <t>高中</t>
        </is>
      </c>
      <c r="C172" s="6" t="inlineStr">
        <is>
          <t>10</t>
        </is>
      </c>
      <c r="D172" s="6" t="inlineStr">
        <is>
          <t>第二冊</t>
        </is>
      </c>
      <c r="E172" s="6" t="inlineStr">
        <is>
          <t>國文</t>
        </is>
      </c>
      <c r="F172" s="6" t="n"/>
      <c r="G172" s="6" t="n"/>
      <c r="H172" s="6" t="n"/>
      <c r="I172" s="6" t="n"/>
      <c r="J172" s="6" t="n"/>
      <c r="K172" s="6" t="inlineStr">
        <is>
          <t>未查到</t>
        </is>
      </c>
    </row>
    <row r="173">
      <c r="A173" s="6" t="inlineStr">
        <is>
          <t>龍騰</t>
        </is>
      </c>
      <c r="B173" s="6" t="inlineStr">
        <is>
          <t>高中</t>
        </is>
      </c>
      <c r="C173" s="6" t="inlineStr">
        <is>
          <t>11</t>
        </is>
      </c>
      <c r="D173" s="6" t="inlineStr">
        <is>
          <t>第三冊</t>
        </is>
      </c>
      <c r="E173" s="6" t="inlineStr">
        <is>
          <t>國文</t>
        </is>
      </c>
      <c r="F173" s="6" t="n"/>
      <c r="G173" s="6" t="n"/>
      <c r="H173" s="6" t="n"/>
      <c r="I173" s="6" t="n"/>
      <c r="J173" s="6" t="n"/>
      <c r="K173" s="6" t="inlineStr">
        <is>
          <t>未查到</t>
        </is>
      </c>
    </row>
    <row r="174">
      <c r="A174" s="6" t="inlineStr">
        <is>
          <t>龍騰</t>
        </is>
      </c>
      <c r="B174" s="6" t="inlineStr">
        <is>
          <t>高中</t>
        </is>
      </c>
      <c r="C174" s="6" t="inlineStr">
        <is>
          <t>11</t>
        </is>
      </c>
      <c r="D174" s="6" t="inlineStr">
        <is>
          <t>第四冊</t>
        </is>
      </c>
      <c r="E174" s="6" t="inlineStr">
        <is>
          <t>國文</t>
        </is>
      </c>
      <c r="F174" s="6" t="n"/>
      <c r="G174" s="6" t="n"/>
      <c r="H174" s="6" t="n"/>
      <c r="I174" s="6" t="n"/>
      <c r="J174" s="6" t="n"/>
      <c r="K174" s="6" t="inlineStr">
        <is>
          <t>未查到</t>
        </is>
      </c>
    </row>
    <row r="175">
      <c r="A175" s="6" t="inlineStr">
        <is>
          <t>龍騰</t>
        </is>
      </c>
      <c r="B175" s="6" t="inlineStr">
        <is>
          <t>高中</t>
        </is>
      </c>
      <c r="C175" s="6" t="inlineStr">
        <is>
          <t>12</t>
        </is>
      </c>
      <c r="D175" s="6" t="inlineStr">
        <is>
          <t>第五冊</t>
        </is>
      </c>
      <c r="E175" s="6" t="inlineStr">
        <is>
          <t>國文</t>
        </is>
      </c>
      <c r="F175" s="6" t="n"/>
      <c r="G175" s="6" t="n"/>
      <c r="H175" s="6" t="n"/>
      <c r="I175" s="6" t="n"/>
      <c r="J175" s="6" t="n"/>
      <c r="K175" s="6" t="inlineStr">
        <is>
          <t>未查到</t>
        </is>
      </c>
    </row>
    <row r="176">
      <c r="A176" s="6" t="inlineStr">
        <is>
          <t>龍騰</t>
        </is>
      </c>
      <c r="B176" s="6" t="inlineStr">
        <is>
          <t>高中</t>
        </is>
      </c>
      <c r="C176" s="6" t="inlineStr">
        <is>
          <t>12</t>
        </is>
      </c>
      <c r="D176" s="6" t="inlineStr">
        <is>
          <t>第六冊</t>
        </is>
      </c>
      <c r="E176" s="6" t="inlineStr">
        <is>
          <t>國文</t>
        </is>
      </c>
      <c r="F176" s="6" t="n"/>
      <c r="G176" s="6" t="n"/>
      <c r="H176" s="6" t="n"/>
      <c r="I176" s="6" t="n"/>
      <c r="J176" s="6" t="n"/>
      <c r="K176" s="6" t="inlineStr">
        <is>
          <t>未查到</t>
        </is>
      </c>
    </row>
    <row r="177">
      <c r="A177" s="6" t="inlineStr">
        <is>
          <t>龍騰</t>
        </is>
      </c>
      <c r="B177" s="6" t="inlineStr">
        <is>
          <t>高中</t>
        </is>
      </c>
      <c r="C177" s="6" t="n"/>
      <c r="D177" s="6" t="inlineStr">
        <is>
          <t>加深加廣選修：各類文學選讀</t>
        </is>
      </c>
      <c r="E177" s="6" t="inlineStr">
        <is>
          <t>國文</t>
        </is>
      </c>
      <c r="F177" s="6" t="n"/>
      <c r="G177" s="6" t="n"/>
      <c r="H177" s="6" t="n"/>
      <c r="I177" s="6" t="n"/>
      <c r="J177" s="6" t="n"/>
      <c r="K177" s="6" t="inlineStr">
        <is>
          <t>未查到</t>
        </is>
      </c>
    </row>
    <row r="178">
      <c r="A178" s="6" t="inlineStr">
        <is>
          <t>龍騰</t>
        </is>
      </c>
      <c r="B178" s="6" t="inlineStr">
        <is>
          <t>高中</t>
        </is>
      </c>
      <c r="C178" s="6" t="n"/>
      <c r="D178" s="6" t="inlineStr">
        <is>
          <t>加深加廣選修：國學常識</t>
        </is>
      </c>
      <c r="E178" s="6" t="inlineStr">
        <is>
          <t>國文</t>
        </is>
      </c>
      <c r="F178" s="6" t="n"/>
      <c r="G178" s="6" t="n"/>
      <c r="H178" s="6" t="n"/>
      <c r="I178" s="6" t="n"/>
      <c r="J178" s="6" t="n"/>
      <c r="K178" s="6" t="inlineStr">
        <is>
          <t>未查到</t>
        </is>
      </c>
    </row>
    <row r="179">
      <c r="A179" s="6" t="inlineStr">
        <is>
          <t>龍騰</t>
        </is>
      </c>
      <c r="B179" s="6" t="inlineStr">
        <is>
          <t>高中</t>
        </is>
      </c>
      <c r="C179" s="6" t="n"/>
      <c r="D179" s="6" t="inlineStr">
        <is>
          <t>加深加廣選修：專題閱讀與研究</t>
        </is>
      </c>
      <c r="E179" s="6" t="inlineStr">
        <is>
          <t>國文</t>
        </is>
      </c>
      <c r="F179" s="6" t="n"/>
      <c r="G179" s="6" t="n"/>
      <c r="H179" s="6" t="n"/>
      <c r="I179" s="6" t="n"/>
      <c r="J179" s="6" t="n"/>
      <c r="K179" s="6" t="inlineStr">
        <is>
          <t>未查到</t>
        </is>
      </c>
    </row>
    <row r="180">
      <c r="A180" s="6" t="inlineStr">
        <is>
          <t>龍騰</t>
        </is>
      </c>
      <c r="B180" s="6" t="inlineStr">
        <is>
          <t>高中</t>
        </is>
      </c>
      <c r="C180" s="6" t="n"/>
      <c r="D180" s="6" t="inlineStr">
        <is>
          <t>加深加廣選修：語文表達及傳播應用</t>
        </is>
      </c>
      <c r="E180" s="6" t="inlineStr">
        <is>
          <t>國文</t>
        </is>
      </c>
      <c r="F180" s="6" t="n"/>
      <c r="G180" s="6" t="n"/>
      <c r="H180" s="6" t="n"/>
      <c r="I180" s="6" t="n"/>
      <c r="J180" s="6" t="n"/>
      <c r="K180" s="6" t="inlineStr">
        <is>
          <t>未查到</t>
        </is>
      </c>
    </row>
    <row r="181">
      <c r="A181" s="6" t="inlineStr">
        <is>
          <t>龍騰</t>
        </is>
      </c>
      <c r="B181" s="6" t="inlineStr">
        <is>
          <t>高中</t>
        </is>
      </c>
      <c r="C181" s="6" t="inlineStr">
        <is>
          <t>10</t>
        </is>
      </c>
      <c r="D181" s="6" t="inlineStr">
        <is>
          <t>第一冊</t>
        </is>
      </c>
      <c r="E181" s="6" t="inlineStr">
        <is>
          <t>英文</t>
        </is>
      </c>
      <c r="F181" s="6" t="n"/>
      <c r="G181" s="6" t="n"/>
      <c r="H181" s="6" t="n"/>
      <c r="I181" s="6" t="n"/>
      <c r="J181" s="6" t="n"/>
      <c r="K181" s="6" t="inlineStr">
        <is>
          <t>未查到課名（國立彰化高中114學年度第1學期計畫僅記「龍騰 B1(L1-L3)」，無課名）</t>
        </is>
      </c>
    </row>
    <row r="182">
      <c r="A182" s="6" t="inlineStr">
        <is>
          <t>龍騰</t>
        </is>
      </c>
      <c r="B182" s="6" t="inlineStr">
        <is>
          <t>高中</t>
        </is>
      </c>
      <c r="C182" s="6" t="inlineStr">
        <is>
          <t>10</t>
        </is>
      </c>
      <c r="D182" s="6" t="inlineStr">
        <is>
          <t>第二冊</t>
        </is>
      </c>
      <c r="E182" s="6" t="inlineStr">
        <is>
          <t>英文</t>
        </is>
      </c>
      <c r="F182" s="6" t="n"/>
      <c r="G182" s="6" t="n"/>
      <c r="H182" s="6" t="n"/>
      <c r="I182" s="6" t="n"/>
      <c r="J182" s="6" t="n"/>
      <c r="K182" s="6" t="inlineStr">
        <is>
          <t>未查到</t>
        </is>
      </c>
    </row>
    <row r="183">
      <c r="A183" s="6" t="inlineStr">
        <is>
          <t>龍騰</t>
        </is>
      </c>
      <c r="B183" s="6" t="inlineStr">
        <is>
          <t>高中</t>
        </is>
      </c>
      <c r="C183" s="6" t="inlineStr">
        <is>
          <t>11</t>
        </is>
      </c>
      <c r="D183" s="6" t="inlineStr">
        <is>
          <t>第三冊</t>
        </is>
      </c>
      <c r="E183" s="6" t="inlineStr">
        <is>
          <t>英文</t>
        </is>
      </c>
      <c r="F183" s="6" t="n"/>
      <c r="G183" s="6" t="n"/>
      <c r="H183" s="6" t="n"/>
      <c r="I183" s="6" t="n"/>
      <c r="J183" s="6" t="n"/>
      <c r="K183" s="6" t="inlineStr">
        <is>
          <t>未查到</t>
        </is>
      </c>
    </row>
    <row r="184">
      <c r="A184" s="6" t="inlineStr">
        <is>
          <t>龍騰</t>
        </is>
      </c>
      <c r="B184" s="6" t="inlineStr">
        <is>
          <t>高中</t>
        </is>
      </c>
      <c r="C184" s="6" t="inlineStr">
        <is>
          <t>11</t>
        </is>
      </c>
      <c r="D184" s="6" t="inlineStr">
        <is>
          <t>第四冊</t>
        </is>
      </c>
      <c r="E184" s="6" t="inlineStr">
        <is>
          <t>英文</t>
        </is>
      </c>
      <c r="F184" s="6" t="n"/>
      <c r="G184" s="6" t="n"/>
      <c r="H184" s="6" t="n"/>
      <c r="I184" s="6" t="n"/>
      <c r="J184" s="6" t="n"/>
      <c r="K184" s="6" t="inlineStr">
        <is>
          <t>未查到</t>
        </is>
      </c>
    </row>
    <row r="185">
      <c r="A185" s="6" t="inlineStr">
        <is>
          <t>龍騰</t>
        </is>
      </c>
      <c r="B185" s="6" t="inlineStr">
        <is>
          <t>高中</t>
        </is>
      </c>
      <c r="C185" s="6" t="inlineStr">
        <is>
          <t>12</t>
        </is>
      </c>
      <c r="D185" s="6" t="inlineStr">
        <is>
          <t>第五冊</t>
        </is>
      </c>
      <c r="E185" s="6" t="inlineStr">
        <is>
          <t>英文</t>
        </is>
      </c>
      <c r="F185" s="6" t="n"/>
      <c r="G185" s="6" t="n"/>
      <c r="H185" s="6" t="n"/>
      <c r="I185" s="6" t="n"/>
      <c r="J185" s="6" t="n"/>
      <c r="K185" s="6" t="inlineStr">
        <is>
          <t>未查到</t>
        </is>
      </c>
    </row>
    <row r="186">
      <c r="A186" s="6" t="inlineStr">
        <is>
          <t>龍騰</t>
        </is>
      </c>
      <c r="B186" s="6" t="inlineStr">
        <is>
          <t>高中</t>
        </is>
      </c>
      <c r="C186" s="6" t="inlineStr">
        <is>
          <t>12</t>
        </is>
      </c>
      <c r="D186" s="6" t="inlineStr">
        <is>
          <t>第六冊</t>
        </is>
      </c>
      <c r="E186" s="6" t="inlineStr">
        <is>
          <t>英文</t>
        </is>
      </c>
      <c r="F186" s="6" t="n"/>
      <c r="G186" s="6" t="n"/>
      <c r="H186" s="6" t="n"/>
      <c r="I186" s="6" t="n"/>
      <c r="J186" s="6" t="n"/>
      <c r="K186" s="6" t="inlineStr">
        <is>
          <t>未查到</t>
        </is>
      </c>
    </row>
    <row r="187">
      <c r="A187" s="6" t="inlineStr">
        <is>
          <t>龍騰</t>
        </is>
      </c>
      <c r="B187" s="6" t="inlineStr">
        <is>
          <t>高中</t>
        </is>
      </c>
      <c r="C187" s="6" t="n"/>
      <c r="D187" s="6" t="inlineStr">
        <is>
          <t>加深加廣選修：英文閱讀與寫作</t>
        </is>
      </c>
      <c r="E187" s="6" t="inlineStr">
        <is>
          <t>英文</t>
        </is>
      </c>
      <c r="F187" s="6" t="n"/>
      <c r="G187" s="6" t="n"/>
      <c r="H187" s="6" t="n"/>
      <c r="I187" s="6" t="n"/>
      <c r="J187" s="6" t="n"/>
      <c r="K187" s="6" t="inlineStr">
        <is>
          <t>未查到</t>
        </is>
      </c>
    </row>
    <row r="188">
      <c r="A188" s="6" t="inlineStr">
        <is>
          <t>龍騰</t>
        </is>
      </c>
      <c r="B188" s="6" t="inlineStr">
        <is>
          <t>高中</t>
        </is>
      </c>
      <c r="C188" s="6" t="n"/>
      <c r="D188" s="6" t="inlineStr">
        <is>
          <t>加深加廣選修：英語聽講</t>
        </is>
      </c>
      <c r="E188" s="6" t="inlineStr">
        <is>
          <t>英文</t>
        </is>
      </c>
      <c r="F188" s="6" t="n"/>
      <c r="G188" s="6" t="n"/>
      <c r="H188" s="6" t="n"/>
      <c r="I188" s="6" t="n"/>
      <c r="J188" s="6" t="n"/>
      <c r="K188" s="6" t="inlineStr">
        <is>
          <t>未查到</t>
        </is>
      </c>
    </row>
    <row r="189">
      <c r="A189" s="4" t="inlineStr">
        <is>
          <t>龍騰</t>
        </is>
      </c>
      <c r="B189" s="4" t="inlineStr">
        <is>
          <t>高中</t>
        </is>
      </c>
      <c r="C189" s="4" t="inlineStr">
        <is>
          <t>10</t>
        </is>
      </c>
      <c r="D189" s="4" t="inlineStr">
        <is>
          <t>第一冊</t>
        </is>
      </c>
      <c r="E189" s="4" t="inlineStr">
        <is>
          <t>數學</t>
        </is>
      </c>
      <c r="F189" s="4" t="inlineStr">
        <is>
          <t>單元1 實數</t>
        </is>
      </c>
      <c r="G189" s="4" t="n"/>
      <c r="H189" s="4" t="inlineStr">
        <is>
          <t>未標示</t>
        </is>
      </c>
      <c r="I189" s="4" t="inlineStr">
        <is>
          <t>出版商頁面</t>
        </is>
      </c>
      <c r="J189" s="5" t="inlineStr">
        <is>
          <t>https://www.ltedu.com.tw/web/prodDetail.aspx?ID=9723</t>
        </is>
      </c>
      <c r="K18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0">
      <c r="A190" s="4" t="inlineStr">
        <is>
          <t>龍騰</t>
        </is>
      </c>
      <c r="B190" s="4" t="inlineStr">
        <is>
          <t>高中</t>
        </is>
      </c>
      <c r="C190" s="4" t="inlineStr">
        <is>
          <t>10</t>
        </is>
      </c>
      <c r="D190" s="4" t="inlineStr">
        <is>
          <t>第一冊</t>
        </is>
      </c>
      <c r="E190" s="4" t="inlineStr">
        <is>
          <t>數學</t>
        </is>
      </c>
      <c r="F190" s="4" t="inlineStr">
        <is>
          <t>單元2 絕對值</t>
        </is>
      </c>
      <c r="G190" s="4" t="n"/>
      <c r="H190" s="4" t="inlineStr">
        <is>
          <t>未標示</t>
        </is>
      </c>
      <c r="I190" s="4" t="inlineStr">
        <is>
          <t>出版商頁面</t>
        </is>
      </c>
      <c r="J190" s="5" t="inlineStr">
        <is>
          <t>https://www.ltedu.com.tw/web/prodDetail.aspx?ID=9723</t>
        </is>
      </c>
      <c r="K190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1">
      <c r="A191" s="4" t="inlineStr">
        <is>
          <t>龍騰</t>
        </is>
      </c>
      <c r="B191" s="4" t="inlineStr">
        <is>
          <t>高中</t>
        </is>
      </c>
      <c r="C191" s="4" t="inlineStr">
        <is>
          <t>10</t>
        </is>
      </c>
      <c r="D191" s="4" t="inlineStr">
        <is>
          <t>第一冊</t>
        </is>
      </c>
      <c r="E191" s="4" t="inlineStr">
        <is>
          <t>數學</t>
        </is>
      </c>
      <c r="F191" s="4" t="inlineStr">
        <is>
          <t>單元3 指數</t>
        </is>
      </c>
      <c r="G191" s="4" t="n"/>
      <c r="H191" s="4" t="inlineStr">
        <is>
          <t>未標示</t>
        </is>
      </c>
      <c r="I191" s="4" t="inlineStr">
        <is>
          <t>出版商頁面</t>
        </is>
      </c>
      <c r="J191" s="5" t="inlineStr">
        <is>
          <t>https://www.ltedu.com.tw/web/prodDetail.aspx?ID=9723</t>
        </is>
      </c>
      <c r="K191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2">
      <c r="A192" s="4" t="inlineStr">
        <is>
          <t>龍騰</t>
        </is>
      </c>
      <c r="B192" s="4" t="inlineStr">
        <is>
          <t>高中</t>
        </is>
      </c>
      <c r="C192" s="4" t="inlineStr">
        <is>
          <t>10</t>
        </is>
      </c>
      <c r="D192" s="4" t="inlineStr">
        <is>
          <t>第一冊</t>
        </is>
      </c>
      <c r="E192" s="4" t="inlineStr">
        <is>
          <t>數學</t>
        </is>
      </c>
      <c r="F192" s="4" t="inlineStr">
        <is>
          <t>單元4 常用對數</t>
        </is>
      </c>
      <c r="G192" s="4" t="n"/>
      <c r="H192" s="4" t="inlineStr">
        <is>
          <t>未標示</t>
        </is>
      </c>
      <c r="I192" s="4" t="inlineStr">
        <is>
          <t>出版商頁面</t>
        </is>
      </c>
      <c r="J192" s="5" t="inlineStr">
        <is>
          <t>https://www.ltedu.com.tw/web/prodDetail.aspx?ID=9723</t>
        </is>
      </c>
      <c r="K192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3">
      <c r="A193" s="4" t="inlineStr">
        <is>
          <t>龍騰</t>
        </is>
      </c>
      <c r="B193" s="4" t="inlineStr">
        <is>
          <t>高中</t>
        </is>
      </c>
      <c r="C193" s="4" t="inlineStr">
        <is>
          <t>10</t>
        </is>
      </c>
      <c r="D193" s="4" t="inlineStr">
        <is>
          <t>第一冊</t>
        </is>
      </c>
      <c r="E193" s="4" t="inlineStr">
        <is>
          <t>數學</t>
        </is>
      </c>
      <c r="F193" s="4" t="inlineStr">
        <is>
          <t>單元5 直線方程式</t>
        </is>
      </c>
      <c r="G193" s="4" t="n"/>
      <c r="H193" s="4" t="inlineStr">
        <is>
          <t>未標示</t>
        </is>
      </c>
      <c r="I193" s="4" t="inlineStr">
        <is>
          <t>出版商頁面</t>
        </is>
      </c>
      <c r="J193" s="5" t="inlineStr">
        <is>
          <t>https://www.ltedu.com.tw/web/prodDetail.aspx?ID=9723</t>
        </is>
      </c>
      <c r="K193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4">
      <c r="A194" s="4" t="inlineStr">
        <is>
          <t>龍騰</t>
        </is>
      </c>
      <c r="B194" s="4" t="inlineStr">
        <is>
          <t>高中</t>
        </is>
      </c>
      <c r="C194" s="4" t="inlineStr">
        <is>
          <t>10</t>
        </is>
      </c>
      <c r="D194" s="4" t="inlineStr">
        <is>
          <t>第一冊</t>
        </is>
      </c>
      <c r="E194" s="4" t="inlineStr">
        <is>
          <t>數學</t>
        </is>
      </c>
      <c r="F194" s="4" t="inlineStr">
        <is>
          <t>單元6 圓方程式</t>
        </is>
      </c>
      <c r="G194" s="4" t="n"/>
      <c r="H194" s="4" t="inlineStr">
        <is>
          <t>未標示</t>
        </is>
      </c>
      <c r="I194" s="4" t="inlineStr">
        <is>
          <t>出版商頁面</t>
        </is>
      </c>
      <c r="J194" s="5" t="inlineStr">
        <is>
          <t>https://www.ltedu.com.tw/web/prodDetail.aspx?ID=9723</t>
        </is>
      </c>
      <c r="K194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5">
      <c r="A195" s="4" t="inlineStr">
        <is>
          <t>龍騰</t>
        </is>
      </c>
      <c r="B195" s="4" t="inlineStr">
        <is>
          <t>高中</t>
        </is>
      </c>
      <c r="C195" s="4" t="inlineStr">
        <is>
          <t>10</t>
        </is>
      </c>
      <c r="D195" s="4" t="inlineStr">
        <is>
          <t>第一冊</t>
        </is>
      </c>
      <c r="E195" s="4" t="inlineStr">
        <is>
          <t>數學</t>
        </is>
      </c>
      <c r="F195" s="4" t="inlineStr">
        <is>
          <t>單元7 圓與直線的關係</t>
        </is>
      </c>
      <c r="G195" s="4" t="n"/>
      <c r="H195" s="4" t="inlineStr">
        <is>
          <t>未標示</t>
        </is>
      </c>
      <c r="I195" s="4" t="inlineStr">
        <is>
          <t>出版商頁面</t>
        </is>
      </c>
      <c r="J195" s="5" t="inlineStr">
        <is>
          <t>https://www.ltedu.com.tw/web/prodDetail.aspx?ID=9723</t>
        </is>
      </c>
      <c r="K195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6">
      <c r="A196" s="4" t="inlineStr">
        <is>
          <t>龍騰</t>
        </is>
      </c>
      <c r="B196" s="4" t="inlineStr">
        <is>
          <t>高中</t>
        </is>
      </c>
      <c r="C196" s="4" t="inlineStr">
        <is>
          <t>10</t>
        </is>
      </c>
      <c r="D196" s="4" t="inlineStr">
        <is>
          <t>第一冊</t>
        </is>
      </c>
      <c r="E196" s="4" t="inlineStr">
        <is>
          <t>數學</t>
        </is>
      </c>
      <c r="F196" s="4" t="inlineStr">
        <is>
          <t>單元8 多項式的除法原理</t>
        </is>
      </c>
      <c r="G196" s="4" t="n"/>
      <c r="H196" s="4" t="inlineStr">
        <is>
          <t>未標示</t>
        </is>
      </c>
      <c r="I196" s="4" t="inlineStr">
        <is>
          <t>出版商頁面</t>
        </is>
      </c>
      <c r="J196" s="5" t="inlineStr">
        <is>
          <t>https://www.ltedu.com.tw/web/prodDetail.aspx?ID=9723</t>
        </is>
      </c>
      <c r="K196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7">
      <c r="A197" s="4" t="inlineStr">
        <is>
          <t>龍騰</t>
        </is>
      </c>
      <c r="B197" s="4" t="inlineStr">
        <is>
          <t>高中</t>
        </is>
      </c>
      <c r="C197" s="4" t="inlineStr">
        <is>
          <t>10</t>
        </is>
      </c>
      <c r="D197" s="4" t="inlineStr">
        <is>
          <t>第一冊</t>
        </is>
      </c>
      <c r="E197" s="4" t="inlineStr">
        <is>
          <t>數學</t>
        </is>
      </c>
      <c r="F197" s="4" t="inlineStr">
        <is>
          <t>單元9 一次與二次函數</t>
        </is>
      </c>
      <c r="G197" s="4" t="n"/>
      <c r="H197" s="4" t="inlineStr">
        <is>
          <t>未標示</t>
        </is>
      </c>
      <c r="I197" s="4" t="inlineStr">
        <is>
          <t>出版商頁面</t>
        </is>
      </c>
      <c r="J197" s="5" t="inlineStr">
        <is>
          <t>https://www.ltedu.com.tw/web/prodDetail.aspx?ID=9723</t>
        </is>
      </c>
      <c r="K197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8">
      <c r="A198" s="4" t="inlineStr">
        <is>
          <t>龍騰</t>
        </is>
      </c>
      <c r="B198" s="4" t="inlineStr">
        <is>
          <t>高中</t>
        </is>
      </c>
      <c r="C198" s="4" t="inlineStr">
        <is>
          <t>10</t>
        </is>
      </c>
      <c r="D198" s="4" t="inlineStr">
        <is>
          <t>第一冊</t>
        </is>
      </c>
      <c r="E198" s="4" t="inlineStr">
        <is>
          <t>數學</t>
        </is>
      </c>
      <c r="F198" s="4" t="inlineStr">
        <is>
          <t>單元10 三次函數的圖形特徵</t>
        </is>
      </c>
      <c r="G198" s="4" t="n"/>
      <c r="H198" s="4" t="inlineStr">
        <is>
          <t>未標示</t>
        </is>
      </c>
      <c r="I198" s="4" t="inlineStr">
        <is>
          <t>出版商頁面</t>
        </is>
      </c>
      <c r="J198" s="5" t="inlineStr">
        <is>
          <t>https://www.ltedu.com.tw/web/prodDetail.aspx?ID=9723</t>
        </is>
      </c>
      <c r="K19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9">
      <c r="A199" s="4" t="inlineStr">
        <is>
          <t>龍騰</t>
        </is>
      </c>
      <c r="B199" s="4" t="inlineStr">
        <is>
          <t>高中</t>
        </is>
      </c>
      <c r="C199" s="4" t="inlineStr">
        <is>
          <t>10</t>
        </is>
      </c>
      <c r="D199" s="4" t="inlineStr">
        <is>
          <t>第一冊</t>
        </is>
      </c>
      <c r="E199" s="4" t="inlineStr">
        <is>
          <t>數學</t>
        </is>
      </c>
      <c r="F199" s="4" t="inlineStr">
        <is>
          <t>單元11 多項式不等式</t>
        </is>
      </c>
      <c r="G199" s="4" t="n"/>
      <c r="H199" s="4" t="inlineStr">
        <is>
          <t>未標示</t>
        </is>
      </c>
      <c r="I199" s="4" t="inlineStr">
        <is>
          <t>出版商頁面</t>
        </is>
      </c>
      <c r="J199" s="5" t="inlineStr">
        <is>
          <t>https://www.ltedu.com.tw/web/prodDetail.aspx?ID=9723</t>
        </is>
      </c>
      <c r="K19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200">
      <c r="A200" s="4" t="inlineStr">
        <is>
          <t>龍騰</t>
        </is>
      </c>
      <c r="B200" s="4" t="inlineStr">
        <is>
          <t>高中</t>
        </is>
      </c>
      <c r="C200" s="4" t="inlineStr">
        <is>
          <t>10</t>
        </is>
      </c>
      <c r="D200" s="4" t="inlineStr">
        <is>
          <t>第二冊</t>
        </is>
      </c>
      <c r="E200" s="4" t="inlineStr">
        <is>
          <t>數學</t>
        </is>
      </c>
      <c r="F200" s="4" t="inlineStr">
        <is>
          <t>單元1 數列與遞迴關係</t>
        </is>
      </c>
      <c r="G200" s="4" t="n"/>
      <c r="H200" s="4" t="inlineStr">
        <is>
          <t>114</t>
        </is>
      </c>
      <c r="I200" s="4" t="inlineStr">
        <is>
          <t>學校課程計畫</t>
        </is>
      </c>
      <c r="J200" s="5" t="inlineStr">
        <is>
          <t>https://senior.wagor.tc.edu.tw/sites/default/files/edu12/21092/FILE_114 學年度課程學習成果內容說明(普一下_黃俊賢).docx</t>
        </is>
      </c>
      <c r="K200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1">
      <c r="A201" s="4" t="inlineStr">
        <is>
          <t>龍騰</t>
        </is>
      </c>
      <c r="B201" s="4" t="inlineStr">
        <is>
          <t>高中</t>
        </is>
      </c>
      <c r="C201" s="4" t="inlineStr">
        <is>
          <t>10</t>
        </is>
      </c>
      <c r="D201" s="4" t="inlineStr">
        <is>
          <t>第二冊</t>
        </is>
      </c>
      <c r="E201" s="4" t="inlineStr">
        <is>
          <t>數學</t>
        </is>
      </c>
      <c r="F201" s="4" t="inlineStr">
        <is>
          <t>單元2 級數</t>
        </is>
      </c>
      <c r="G201" s="4" t="n"/>
      <c r="H201" s="4" t="inlineStr">
        <is>
          <t>114</t>
        </is>
      </c>
      <c r="I201" s="4" t="inlineStr">
        <is>
          <t>學校課程計畫</t>
        </is>
      </c>
      <c r="J201" s="5" t="inlineStr">
        <is>
          <t>https://senior.wagor.tc.edu.tw/sites/default/files/edu12/21092/FILE_114 學年度課程學習成果內容說明(普一下_黃俊賢).docx</t>
        </is>
      </c>
      <c r="K201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2">
      <c r="A202" s="4" t="inlineStr">
        <is>
          <t>龍騰</t>
        </is>
      </c>
      <c r="B202" s="4" t="inlineStr">
        <is>
          <t>高中</t>
        </is>
      </c>
      <c r="C202" s="4" t="inlineStr">
        <is>
          <t>10</t>
        </is>
      </c>
      <c r="D202" s="4" t="inlineStr">
        <is>
          <t>第二冊</t>
        </is>
      </c>
      <c r="E202" s="4" t="inlineStr">
        <is>
          <t>數學</t>
        </is>
      </c>
      <c r="F202" s="4" t="inlineStr">
        <is>
          <t>單元3 計數原理</t>
        </is>
      </c>
      <c r="G202" s="4" t="n"/>
      <c r="H202" s="4" t="inlineStr">
        <is>
          <t>114</t>
        </is>
      </c>
      <c r="I202" s="4" t="inlineStr">
        <is>
          <t>學校課程計畫</t>
        </is>
      </c>
      <c r="J202" s="5" t="inlineStr">
        <is>
          <t>https://senior.wagor.tc.edu.tw/sites/default/files/edu12/21092/FILE_114 學年度課程學習成果內容說明(普一下_黃俊賢).docx</t>
        </is>
      </c>
      <c r="K202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3">
      <c r="A203" s="4" t="inlineStr">
        <is>
          <t>龍騰</t>
        </is>
      </c>
      <c r="B203" s="4" t="inlineStr">
        <is>
          <t>高中</t>
        </is>
      </c>
      <c r="C203" s="4" t="inlineStr">
        <is>
          <t>10</t>
        </is>
      </c>
      <c r="D203" s="4" t="inlineStr">
        <is>
          <t>第二冊</t>
        </is>
      </c>
      <c r="E203" s="4" t="inlineStr">
        <is>
          <t>數學</t>
        </is>
      </c>
      <c r="F203" s="4" t="inlineStr">
        <is>
          <t>單元4 排列</t>
        </is>
      </c>
      <c r="G203" s="4" t="n"/>
      <c r="H203" s="4" t="inlineStr">
        <is>
          <t>114</t>
        </is>
      </c>
      <c r="I203" s="4" t="inlineStr">
        <is>
          <t>學校課程計畫</t>
        </is>
      </c>
      <c r="J203" s="5" t="inlineStr">
        <is>
          <t>https://senior.wagor.tc.edu.tw/sites/default/files/edu12/21092/FILE_114 學年度課程學習成果內容說明(普一下_黃俊賢).docx</t>
        </is>
      </c>
      <c r="K203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4">
      <c r="A204" s="4" t="inlineStr">
        <is>
          <t>龍騰</t>
        </is>
      </c>
      <c r="B204" s="4" t="inlineStr">
        <is>
          <t>高中</t>
        </is>
      </c>
      <c r="C204" s="4" t="inlineStr">
        <is>
          <t>10</t>
        </is>
      </c>
      <c r="D204" s="4" t="inlineStr">
        <is>
          <t>第二冊</t>
        </is>
      </c>
      <c r="E204" s="4" t="inlineStr">
        <is>
          <t>數學</t>
        </is>
      </c>
      <c r="F204" s="4" t="inlineStr">
        <is>
          <t>單元5 組合</t>
        </is>
      </c>
      <c r="G204" s="4" t="n"/>
      <c r="H204" s="4" t="inlineStr">
        <is>
          <t>114</t>
        </is>
      </c>
      <c r="I204" s="4" t="inlineStr">
        <is>
          <t>學校課程計畫</t>
        </is>
      </c>
      <c r="J204" s="5" t="inlineStr">
        <is>
          <t>https://senior.wagor.tc.edu.tw/sites/default/files/edu12/21092/FILE_114 學年度課程學習成果內容說明(普一下_黃俊賢).docx</t>
        </is>
      </c>
      <c r="K204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5">
      <c r="A205" s="4" t="inlineStr">
        <is>
          <t>龍騰</t>
        </is>
      </c>
      <c r="B205" s="4" t="inlineStr">
        <is>
          <t>高中</t>
        </is>
      </c>
      <c r="C205" s="4" t="inlineStr">
        <is>
          <t>10</t>
        </is>
      </c>
      <c r="D205" s="4" t="inlineStr">
        <is>
          <t>第二冊</t>
        </is>
      </c>
      <c r="E205" s="4" t="inlineStr">
        <is>
          <t>數學</t>
        </is>
      </c>
      <c r="F205" s="4" t="inlineStr">
        <is>
          <t>單元6 古典機率</t>
        </is>
      </c>
      <c r="G205" s="4" t="n"/>
      <c r="H205" s="4" t="inlineStr">
        <is>
          <t>114</t>
        </is>
      </c>
      <c r="I205" s="4" t="inlineStr">
        <is>
          <t>學校課程計畫</t>
        </is>
      </c>
      <c r="J205" s="5" t="inlineStr">
        <is>
          <t>https://senior.wagor.tc.edu.tw/sites/default/files/edu12/21092/FILE_114 學年度課程學習成果內容說明(普一下_黃俊賢).docx</t>
        </is>
      </c>
      <c r="K205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6">
      <c r="A206" s="4" t="inlineStr">
        <is>
          <t>龍騰</t>
        </is>
      </c>
      <c r="B206" s="4" t="inlineStr">
        <is>
          <t>高中</t>
        </is>
      </c>
      <c r="C206" s="4" t="inlineStr">
        <is>
          <t>10</t>
        </is>
      </c>
      <c r="D206" s="4" t="inlineStr">
        <is>
          <t>第二冊</t>
        </is>
      </c>
      <c r="E206" s="4" t="inlineStr">
        <is>
          <t>數學</t>
        </is>
      </c>
      <c r="F206" s="4" t="inlineStr">
        <is>
          <t>單元7 數學期望值</t>
        </is>
      </c>
      <c r="G206" s="4" t="n"/>
      <c r="H206" s="4" t="inlineStr">
        <is>
          <t>114</t>
        </is>
      </c>
      <c r="I206" s="4" t="inlineStr">
        <is>
          <t>學校課程計畫</t>
        </is>
      </c>
      <c r="J206" s="5" t="inlineStr">
        <is>
          <t>https://senior.wagor.tc.edu.tw/sites/default/files/edu12/21092/FILE_114 學年度課程學習成果內容說明(普一下_黃俊賢).docx</t>
        </is>
      </c>
      <c r="K206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7">
      <c r="A207" s="4" t="inlineStr">
        <is>
          <t>龍騰</t>
        </is>
      </c>
      <c r="B207" s="4" t="inlineStr">
        <is>
          <t>高中</t>
        </is>
      </c>
      <c r="C207" s="4" t="inlineStr">
        <is>
          <t>10</t>
        </is>
      </c>
      <c r="D207" s="4" t="inlineStr">
        <is>
          <t>第二冊</t>
        </is>
      </c>
      <c r="E207" s="4" t="inlineStr">
        <is>
          <t>數學</t>
        </is>
      </c>
      <c r="F207" s="4" t="inlineStr">
        <is>
          <t>單元8 一維數據分析</t>
        </is>
      </c>
      <c r="G207" s="4" t="n"/>
      <c r="H207" s="4" t="inlineStr">
        <is>
          <t>114</t>
        </is>
      </c>
      <c r="I207" s="4" t="inlineStr">
        <is>
          <t>學校課程計畫</t>
        </is>
      </c>
      <c r="J207" s="5" t="inlineStr">
        <is>
          <t>https://senior.wagor.tc.edu.tw/sites/default/files/edu12/21092/FILE_114 學年度課程學習成果內容說明(普一下_黃俊賢).docx</t>
        </is>
      </c>
      <c r="K207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8">
      <c r="A208" s="4" t="inlineStr">
        <is>
          <t>龍騰</t>
        </is>
      </c>
      <c r="B208" s="4" t="inlineStr">
        <is>
          <t>高中</t>
        </is>
      </c>
      <c r="C208" s="4" t="inlineStr">
        <is>
          <t>10</t>
        </is>
      </c>
      <c r="D208" s="4" t="inlineStr">
        <is>
          <t>第二冊</t>
        </is>
      </c>
      <c r="E208" s="4" t="inlineStr">
        <is>
          <t>數學</t>
        </is>
      </c>
      <c r="F208" s="4" t="inlineStr">
        <is>
          <t>單元9 二維數據分析</t>
        </is>
      </c>
      <c r="G208" s="4" t="n"/>
      <c r="H208" s="4" t="inlineStr">
        <is>
          <t>114</t>
        </is>
      </c>
      <c r="I208" s="4" t="inlineStr">
        <is>
          <t>學校課程計畫</t>
        </is>
      </c>
      <c r="J208" s="5" t="inlineStr">
        <is>
          <t>https://senior.wagor.tc.edu.tw/sites/default/files/edu12/21092/FILE_114 學年度課程學習成果內容說明(普一下_黃俊賢).docx</t>
        </is>
      </c>
      <c r="K208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9">
      <c r="A209" s="4" t="inlineStr">
        <is>
          <t>龍騰</t>
        </is>
      </c>
      <c r="B209" s="4" t="inlineStr">
        <is>
          <t>高中</t>
        </is>
      </c>
      <c r="C209" s="4" t="inlineStr">
        <is>
          <t>10</t>
        </is>
      </c>
      <c r="D209" s="4" t="inlineStr">
        <is>
          <t>第二冊</t>
        </is>
      </c>
      <c r="E209" s="4" t="inlineStr">
        <is>
          <t>數學</t>
        </is>
      </c>
      <c r="F209" s="4" t="inlineStr">
        <is>
          <t>單元10 直角三角形三角比</t>
        </is>
      </c>
      <c r="G209" s="4" t="n"/>
      <c r="H209" s="4" t="inlineStr">
        <is>
          <t>114</t>
        </is>
      </c>
      <c r="I209" s="4" t="inlineStr">
        <is>
          <t>學校課程計畫</t>
        </is>
      </c>
      <c r="J209" s="5" t="inlineStr">
        <is>
          <t>https://senior.wagor.tc.edu.tw/sites/default/files/edu12/21092/FILE_114 學年度課程學習成果內容說明(普一下_黃俊賢).docx</t>
        </is>
      </c>
      <c r="K209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0">
      <c r="A210" s="4" t="inlineStr">
        <is>
          <t>龍騰</t>
        </is>
      </c>
      <c r="B210" s="4" t="inlineStr">
        <is>
          <t>高中</t>
        </is>
      </c>
      <c r="C210" s="4" t="inlineStr">
        <is>
          <t>10</t>
        </is>
      </c>
      <c r="D210" s="4" t="inlineStr">
        <is>
          <t>第二冊</t>
        </is>
      </c>
      <c r="E210" s="4" t="inlineStr">
        <is>
          <t>數學</t>
        </is>
      </c>
      <c r="F210" s="4" t="inlineStr">
        <is>
          <t>單元11 廣義角三角比與極坐標</t>
        </is>
      </c>
      <c r="G210" s="4" t="n"/>
      <c r="H210" s="4" t="inlineStr">
        <is>
          <t>114</t>
        </is>
      </c>
      <c r="I210" s="4" t="inlineStr">
        <is>
          <t>學校課程計畫</t>
        </is>
      </c>
      <c r="J210" s="5" t="inlineStr">
        <is>
          <t>https://senior.wagor.tc.edu.tw/sites/default/files/edu12/21092/FILE_114 學年度課程學習成果內容說明(普一下_黃俊賢).docx</t>
        </is>
      </c>
      <c r="K210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1">
      <c r="A211" s="4" t="inlineStr">
        <is>
          <t>龍騰</t>
        </is>
      </c>
      <c r="B211" s="4" t="inlineStr">
        <is>
          <t>高中</t>
        </is>
      </c>
      <c r="C211" s="4" t="inlineStr">
        <is>
          <t>10</t>
        </is>
      </c>
      <c r="D211" s="4" t="inlineStr">
        <is>
          <t>第二冊</t>
        </is>
      </c>
      <c r="E211" s="4" t="inlineStr">
        <is>
          <t>數學</t>
        </is>
      </c>
      <c r="F211" s="4" t="inlineStr">
        <is>
          <t>單元12 三角比的性質</t>
        </is>
      </c>
      <c r="G211" s="4" t="n"/>
      <c r="H211" s="4" t="inlineStr">
        <is>
          <t>114</t>
        </is>
      </c>
      <c r="I211" s="4" t="inlineStr">
        <is>
          <t>學校課程計畫</t>
        </is>
      </c>
      <c r="J211" s="5" t="inlineStr">
        <is>
          <t>https://senior.wagor.tc.edu.tw/sites/default/files/edu12/21092/FILE_114 學年度課程學習成果內容說明(普一下_黃俊賢).docx</t>
        </is>
      </c>
      <c r="K211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2">
      <c r="A212" s="4" t="inlineStr">
        <is>
          <t>龍騰</t>
        </is>
      </c>
      <c r="B212" s="4" t="inlineStr">
        <is>
          <t>高中</t>
        </is>
      </c>
      <c r="C212" s="4" t="inlineStr">
        <is>
          <t>11</t>
        </is>
      </c>
      <c r="D212" s="4" t="inlineStr">
        <is>
          <t>第三冊A</t>
        </is>
      </c>
      <c r="E212" s="4" t="inlineStr">
        <is>
          <t>數學</t>
        </is>
      </c>
      <c r="F212" s="4" t="inlineStr">
        <is>
          <t>單元1 弧度量</t>
        </is>
      </c>
      <c r="G212" s="4" t="n"/>
      <c r="H212" s="4" t="inlineStr">
        <is>
          <t>未標示</t>
        </is>
      </c>
      <c r="I212" s="4" t="inlineStr">
        <is>
          <t>出版商頁面</t>
        </is>
      </c>
      <c r="J212" s="5" t="inlineStr">
        <is>
          <t>https://www.ltedu.com.tw/web/prodDetail.aspx?ID=9994</t>
        </is>
      </c>
      <c r="K212" s="4" t="inlineStr">
        <is>
          <t>取自龍騰同步參考書《月考王》數學3A產品頁之單元列表（非課本產品頁本身），未必與課本完全一致；頁面未標示學年度</t>
        </is>
      </c>
    </row>
    <row r="213">
      <c r="A213" s="4" t="inlineStr">
        <is>
          <t>龍騰</t>
        </is>
      </c>
      <c r="B213" s="4" t="inlineStr">
        <is>
          <t>高中</t>
        </is>
      </c>
      <c r="C213" s="4" t="inlineStr">
        <is>
          <t>11</t>
        </is>
      </c>
      <c r="D213" s="4" t="inlineStr">
        <is>
          <t>第三冊A</t>
        </is>
      </c>
      <c r="E213" s="4" t="inlineStr">
        <is>
          <t>數學</t>
        </is>
      </c>
      <c r="F213" s="4" t="inlineStr">
        <is>
          <t>單元2 三角函數的圖形</t>
        </is>
      </c>
      <c r="G213" s="4" t="n"/>
      <c r="H213" s="4" t="inlineStr">
        <is>
          <t>未標示</t>
        </is>
      </c>
      <c r="I213" s="4" t="inlineStr">
        <is>
          <t>出版商頁面</t>
        </is>
      </c>
      <c r="J213" s="5" t="inlineStr">
        <is>
          <t>https://www.ltedu.com.tw/web/prodDetail.aspx?ID=9994</t>
        </is>
      </c>
      <c r="K213" s="4" t="inlineStr">
        <is>
          <t>取自龍騰同步參考書《月考王》數學3A產品頁之單元列表（非課本產品頁本身），未必與課本完全一致；頁面未標示學年度</t>
        </is>
      </c>
    </row>
    <row r="214">
      <c r="A214" s="4" t="inlineStr">
        <is>
          <t>龍騰</t>
        </is>
      </c>
      <c r="B214" s="4" t="inlineStr">
        <is>
          <t>高中</t>
        </is>
      </c>
      <c r="C214" s="4" t="inlineStr">
        <is>
          <t>11</t>
        </is>
      </c>
      <c r="D214" s="4" t="inlineStr">
        <is>
          <t>第三冊A</t>
        </is>
      </c>
      <c r="E214" s="4" t="inlineStr">
        <is>
          <t>數學</t>
        </is>
      </c>
      <c r="F214" s="4" t="inlineStr">
        <is>
          <t>單元3 三角的和差角公式</t>
        </is>
      </c>
      <c r="G214" s="4" t="n"/>
      <c r="H214" s="4" t="inlineStr">
        <is>
          <t>未標示</t>
        </is>
      </c>
      <c r="I214" s="4" t="inlineStr">
        <is>
          <t>出版商頁面</t>
        </is>
      </c>
      <c r="J214" s="5" t="inlineStr">
        <is>
          <t>https://www.ltedu.com.tw/web/prodDetail.aspx?ID=9994</t>
        </is>
      </c>
      <c r="K214" s="4" t="inlineStr">
        <is>
          <t>取自龍騰同步參考書《月考王》數學3A產品頁之單元列表（非課本產品頁本身），未必與課本完全一致；頁面未標示學年度</t>
        </is>
      </c>
    </row>
    <row r="215">
      <c r="A215" s="4" t="inlineStr">
        <is>
          <t>龍騰</t>
        </is>
      </c>
      <c r="B215" s="4" t="inlineStr">
        <is>
          <t>高中</t>
        </is>
      </c>
      <c r="C215" s="4" t="inlineStr">
        <is>
          <t>11</t>
        </is>
      </c>
      <c r="D215" s="4" t="inlineStr">
        <is>
          <t>第三冊A</t>
        </is>
      </c>
      <c r="E215" s="4" t="inlineStr">
        <is>
          <t>數學</t>
        </is>
      </c>
      <c r="F215" s="4" t="inlineStr">
        <is>
          <t>單元4 正餘弦的疊合</t>
        </is>
      </c>
      <c r="G215" s="4" t="n"/>
      <c r="H215" s="4" t="inlineStr">
        <is>
          <t>未標示</t>
        </is>
      </c>
      <c r="I215" s="4" t="inlineStr">
        <is>
          <t>出版商頁面</t>
        </is>
      </c>
      <c r="J215" s="5" t="inlineStr">
        <is>
          <t>https://www.ltedu.com.tw/web/prodDetail.aspx?ID=9994</t>
        </is>
      </c>
      <c r="K215" s="4" t="inlineStr">
        <is>
          <t>取自龍騰同步參考書《月考王》數學3A產品頁之單元列表（非課本產品頁本身），未必與課本完全一致；頁面未標示學年度</t>
        </is>
      </c>
    </row>
    <row r="216">
      <c r="A216" s="4" t="inlineStr">
        <is>
          <t>龍騰</t>
        </is>
      </c>
      <c r="B216" s="4" t="inlineStr">
        <is>
          <t>高中</t>
        </is>
      </c>
      <c r="C216" s="4" t="inlineStr">
        <is>
          <t>11</t>
        </is>
      </c>
      <c r="D216" s="4" t="inlineStr">
        <is>
          <t>第三冊A</t>
        </is>
      </c>
      <c r="E216" s="4" t="inlineStr">
        <is>
          <t>數學</t>
        </is>
      </c>
      <c r="F216" s="4" t="inlineStr">
        <is>
          <t>單元5 指數函數</t>
        </is>
      </c>
      <c r="G216" s="4" t="n"/>
      <c r="H216" s="4" t="inlineStr">
        <is>
          <t>未標示</t>
        </is>
      </c>
      <c r="I216" s="4" t="inlineStr">
        <is>
          <t>出版商頁面</t>
        </is>
      </c>
      <c r="J216" s="5" t="inlineStr">
        <is>
          <t>https://www.ltedu.com.tw/web/prodDetail.aspx?ID=9994</t>
        </is>
      </c>
      <c r="K216" s="4" t="inlineStr">
        <is>
          <t>取自龍騰同步參考書《月考王》數學3A產品頁之單元列表（非課本產品頁本身），未必與課本完全一致；頁面未標示學年度</t>
        </is>
      </c>
    </row>
    <row r="217">
      <c r="A217" s="4" t="inlineStr">
        <is>
          <t>龍騰</t>
        </is>
      </c>
      <c r="B217" s="4" t="inlineStr">
        <is>
          <t>高中</t>
        </is>
      </c>
      <c r="C217" s="4" t="inlineStr">
        <is>
          <t>11</t>
        </is>
      </c>
      <c r="D217" s="4" t="inlineStr">
        <is>
          <t>第三冊A</t>
        </is>
      </c>
      <c r="E217" s="4" t="inlineStr">
        <is>
          <t>數學</t>
        </is>
      </c>
      <c r="F217" s="4" t="inlineStr">
        <is>
          <t>單元6 對數與對數律</t>
        </is>
      </c>
      <c r="G217" s="4" t="n"/>
      <c r="H217" s="4" t="inlineStr">
        <is>
          <t>未標示</t>
        </is>
      </c>
      <c r="I217" s="4" t="inlineStr">
        <is>
          <t>出版商頁面</t>
        </is>
      </c>
      <c r="J217" s="5" t="inlineStr">
        <is>
          <t>https://www.ltedu.com.tw/web/prodDetail.aspx?ID=9994</t>
        </is>
      </c>
      <c r="K217" s="4" t="inlineStr">
        <is>
          <t>取自龍騰同步參考書《月考王》數學3A產品頁之單元列表（非課本產品頁本身），未必與課本完全一致；頁面未標示學年度</t>
        </is>
      </c>
    </row>
    <row r="218">
      <c r="A218" s="4" t="inlineStr">
        <is>
          <t>龍騰</t>
        </is>
      </c>
      <c r="B218" s="4" t="inlineStr">
        <is>
          <t>高中</t>
        </is>
      </c>
      <c r="C218" s="4" t="inlineStr">
        <is>
          <t>11</t>
        </is>
      </c>
      <c r="D218" s="4" t="inlineStr">
        <is>
          <t>第三冊A</t>
        </is>
      </c>
      <c r="E218" s="4" t="inlineStr">
        <is>
          <t>數學</t>
        </is>
      </c>
      <c r="F218" s="4" t="inlineStr">
        <is>
          <t>單元7 對數函數</t>
        </is>
      </c>
      <c r="G218" s="4" t="n"/>
      <c r="H218" s="4" t="inlineStr">
        <is>
          <t>未標示</t>
        </is>
      </c>
      <c r="I218" s="4" t="inlineStr">
        <is>
          <t>出版商頁面</t>
        </is>
      </c>
      <c r="J218" s="5" t="inlineStr">
        <is>
          <t>https://www.ltedu.com.tw/web/prodDetail.aspx?ID=9994</t>
        </is>
      </c>
      <c r="K218" s="4" t="inlineStr">
        <is>
          <t>取自龍騰同步參考書《月考王》數學3A產品頁之單元列表（非課本產品頁本身），未必與課本完全一致；頁面未標示學年度</t>
        </is>
      </c>
    </row>
    <row r="219">
      <c r="A219" s="4" t="inlineStr">
        <is>
          <t>龍騰</t>
        </is>
      </c>
      <c r="B219" s="4" t="inlineStr">
        <is>
          <t>高中</t>
        </is>
      </c>
      <c r="C219" s="4" t="inlineStr">
        <is>
          <t>11</t>
        </is>
      </c>
      <c r="D219" s="4" t="inlineStr">
        <is>
          <t>第三冊A</t>
        </is>
      </c>
      <c r="E219" s="4" t="inlineStr">
        <is>
          <t>數學</t>
        </is>
      </c>
      <c r="F219" s="4" t="inlineStr">
        <is>
          <t>單元8 平面向量</t>
        </is>
      </c>
      <c r="G219" s="4" t="n"/>
      <c r="H219" s="4" t="inlineStr">
        <is>
          <t>未標示</t>
        </is>
      </c>
      <c r="I219" s="4" t="inlineStr">
        <is>
          <t>出版商頁面</t>
        </is>
      </c>
      <c r="J219" s="5" t="inlineStr">
        <is>
          <t>https://www.ltedu.com.tw/web/prodDetail.aspx?ID=9994</t>
        </is>
      </c>
      <c r="K219" s="4" t="inlineStr">
        <is>
          <t>取自龍騰同步參考書《月考王》數學3A產品頁之單元列表（非課本產品頁本身），未必與課本完全一致；頁面未標示學年度</t>
        </is>
      </c>
    </row>
    <row r="220">
      <c r="A220" s="4" t="inlineStr">
        <is>
          <t>龍騰</t>
        </is>
      </c>
      <c r="B220" s="4" t="inlineStr">
        <is>
          <t>高中</t>
        </is>
      </c>
      <c r="C220" s="4" t="inlineStr">
        <is>
          <t>11</t>
        </is>
      </c>
      <c r="D220" s="4" t="inlineStr">
        <is>
          <t>第三冊A</t>
        </is>
      </c>
      <c r="E220" s="4" t="inlineStr">
        <is>
          <t>數學</t>
        </is>
      </c>
      <c r="F220" s="4" t="inlineStr">
        <is>
          <t>單元9 平面向量的運算</t>
        </is>
      </c>
      <c r="G220" s="4" t="n"/>
      <c r="H220" s="4" t="inlineStr">
        <is>
          <t>未標示</t>
        </is>
      </c>
      <c r="I220" s="4" t="inlineStr">
        <is>
          <t>出版商頁面</t>
        </is>
      </c>
      <c r="J220" s="5" t="inlineStr">
        <is>
          <t>https://www.ltedu.com.tw/web/prodDetail.aspx?ID=9994</t>
        </is>
      </c>
      <c r="K220" s="4" t="inlineStr">
        <is>
          <t>取自龍騰同步參考書《月考王》數學3A產品頁之單元列表（非課本產品頁本身），未必與課本完全一致；頁面未標示學年度</t>
        </is>
      </c>
    </row>
    <row r="221">
      <c r="A221" s="4" t="inlineStr">
        <is>
          <t>龍騰</t>
        </is>
      </c>
      <c r="B221" s="4" t="inlineStr">
        <is>
          <t>高中</t>
        </is>
      </c>
      <c r="C221" s="4" t="inlineStr">
        <is>
          <t>11</t>
        </is>
      </c>
      <c r="D221" s="4" t="inlineStr">
        <is>
          <t>第三冊A</t>
        </is>
      </c>
      <c r="E221" s="4" t="inlineStr">
        <is>
          <t>數學</t>
        </is>
      </c>
      <c r="F221" s="4" t="inlineStr">
        <is>
          <t>單元10 二元一次聯立方程式</t>
        </is>
      </c>
      <c r="G221" s="4" t="n"/>
      <c r="H221" s="4" t="inlineStr">
        <is>
          <t>未標示</t>
        </is>
      </c>
      <c r="I221" s="4" t="inlineStr">
        <is>
          <t>出版商頁面</t>
        </is>
      </c>
      <c r="J221" s="5" t="inlineStr">
        <is>
          <t>https://www.ltedu.com.tw/web/prodDetail.aspx?ID=9994</t>
        </is>
      </c>
      <c r="K221" s="4" t="inlineStr">
        <is>
          <t>取自龍騰同步參考書《月考王》數學3A產品頁之單元列表（非課本產品頁本身），未必與課本完全一致；頁面未標示學年度</t>
        </is>
      </c>
    </row>
    <row r="222">
      <c r="A222" s="4" t="inlineStr">
        <is>
          <t>龍騰</t>
        </is>
      </c>
      <c r="B222" s="4" t="inlineStr">
        <is>
          <t>高中</t>
        </is>
      </c>
      <c r="C222" s="4" t="inlineStr">
        <is>
          <t>11</t>
        </is>
      </c>
      <c r="D222" s="4" t="inlineStr">
        <is>
          <t>第三冊B</t>
        </is>
      </c>
      <c r="E222" s="4" t="inlineStr">
        <is>
          <t>數學</t>
        </is>
      </c>
      <c r="F222" s="4" t="inlineStr">
        <is>
          <t>單元1 弧度量</t>
        </is>
      </c>
      <c r="G222" s="4" t="n"/>
      <c r="H222" s="4" t="inlineStr">
        <is>
          <t>未標示</t>
        </is>
      </c>
      <c r="I222" s="4" t="inlineStr">
        <is>
          <t>出版商頁面</t>
        </is>
      </c>
      <c r="J222" s="5" t="inlineStr">
        <is>
          <t>https://www.ltedu.com.tw/web/prodDetail.aspx?ID=9972</t>
        </is>
      </c>
      <c r="K222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3">
      <c r="A223" s="4" t="inlineStr">
        <is>
          <t>龍騰</t>
        </is>
      </c>
      <c r="B223" s="4" t="inlineStr">
        <is>
          <t>高中</t>
        </is>
      </c>
      <c r="C223" s="4" t="inlineStr">
        <is>
          <t>11</t>
        </is>
      </c>
      <c r="D223" s="4" t="inlineStr">
        <is>
          <t>第三冊B</t>
        </is>
      </c>
      <c r="E223" s="4" t="inlineStr">
        <is>
          <t>數學</t>
        </is>
      </c>
      <c r="F223" s="4" t="inlineStr">
        <is>
          <t>單元2 週期性數學模型</t>
        </is>
      </c>
      <c r="G223" s="4" t="n"/>
      <c r="H223" s="4" t="inlineStr">
        <is>
          <t>未標示</t>
        </is>
      </c>
      <c r="I223" s="4" t="inlineStr">
        <is>
          <t>出版商頁面</t>
        </is>
      </c>
      <c r="J223" s="5" t="inlineStr">
        <is>
          <t>https://www.ltedu.com.tw/web/prodDetail.aspx?ID=9972</t>
        </is>
      </c>
      <c r="K223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4">
      <c r="A224" s="4" t="inlineStr">
        <is>
          <t>龍騰</t>
        </is>
      </c>
      <c r="B224" s="4" t="inlineStr">
        <is>
          <t>高中</t>
        </is>
      </c>
      <c r="C224" s="4" t="inlineStr">
        <is>
          <t>11</t>
        </is>
      </c>
      <c r="D224" s="4" t="inlineStr">
        <is>
          <t>第三冊B</t>
        </is>
      </c>
      <c r="E224" s="4" t="inlineStr">
        <is>
          <t>數學</t>
        </is>
      </c>
      <c r="F224" s="4" t="inlineStr">
        <is>
          <t>單元3 指數函數</t>
        </is>
      </c>
      <c r="G224" s="4" t="n"/>
      <c r="H224" s="4" t="inlineStr">
        <is>
          <t>未標示</t>
        </is>
      </c>
      <c r="I224" s="4" t="inlineStr">
        <is>
          <t>出版商頁面</t>
        </is>
      </c>
      <c r="J224" s="5" t="inlineStr">
        <is>
          <t>https://www.ltedu.com.tw/web/prodDetail.aspx?ID=9972</t>
        </is>
      </c>
      <c r="K224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5">
      <c r="A225" s="4" t="inlineStr">
        <is>
          <t>龍騰</t>
        </is>
      </c>
      <c r="B225" s="4" t="inlineStr">
        <is>
          <t>高中</t>
        </is>
      </c>
      <c r="C225" s="4" t="inlineStr">
        <is>
          <t>11</t>
        </is>
      </c>
      <c r="D225" s="4" t="inlineStr">
        <is>
          <t>第三冊B</t>
        </is>
      </c>
      <c r="E225" s="4" t="inlineStr">
        <is>
          <t>數學</t>
        </is>
      </c>
      <c r="F225" s="4" t="inlineStr">
        <is>
          <t>單元4 對數</t>
        </is>
      </c>
      <c r="G225" s="4" t="n"/>
      <c r="H225" s="4" t="inlineStr">
        <is>
          <t>未標示</t>
        </is>
      </c>
      <c r="I225" s="4" t="inlineStr">
        <is>
          <t>出版商頁面</t>
        </is>
      </c>
      <c r="J225" s="5" t="inlineStr">
        <is>
          <t>https://www.ltedu.com.tw/web/prodDetail.aspx?ID=9972</t>
        </is>
      </c>
      <c r="K225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6">
      <c r="A226" s="4" t="inlineStr">
        <is>
          <t>龍騰</t>
        </is>
      </c>
      <c r="B226" s="4" t="inlineStr">
        <is>
          <t>高中</t>
        </is>
      </c>
      <c r="C226" s="4" t="inlineStr">
        <is>
          <t>11</t>
        </is>
      </c>
      <c r="D226" s="4" t="inlineStr">
        <is>
          <t>第三冊B</t>
        </is>
      </c>
      <c r="E226" s="4" t="inlineStr">
        <is>
          <t>數學</t>
        </is>
      </c>
      <c r="F226" s="4" t="inlineStr">
        <is>
          <t>單元5 對數函數</t>
        </is>
      </c>
      <c r="G226" s="4" t="n"/>
      <c r="H226" s="4" t="inlineStr">
        <is>
          <t>未標示</t>
        </is>
      </c>
      <c r="I226" s="4" t="inlineStr">
        <is>
          <t>出版商頁面</t>
        </is>
      </c>
      <c r="J226" s="5" t="inlineStr">
        <is>
          <t>https://www.ltedu.com.tw/web/prodDetail.aspx?ID=9972</t>
        </is>
      </c>
      <c r="K226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7">
      <c r="A227" s="4" t="inlineStr">
        <is>
          <t>龍騰</t>
        </is>
      </c>
      <c r="B227" s="4" t="inlineStr">
        <is>
          <t>高中</t>
        </is>
      </c>
      <c r="C227" s="4" t="inlineStr">
        <is>
          <t>11</t>
        </is>
      </c>
      <c r="D227" s="4" t="inlineStr">
        <is>
          <t>第三冊B</t>
        </is>
      </c>
      <c r="E227" s="4" t="inlineStr">
        <is>
          <t>數學</t>
        </is>
      </c>
      <c r="F227" s="4" t="inlineStr">
        <is>
          <t>單元6 平面向量</t>
        </is>
      </c>
      <c r="G227" s="4" t="n"/>
      <c r="H227" s="4" t="inlineStr">
        <is>
          <t>未標示</t>
        </is>
      </c>
      <c r="I227" s="4" t="inlineStr">
        <is>
          <t>出版商頁面</t>
        </is>
      </c>
      <c r="J227" s="5" t="inlineStr">
        <is>
          <t>https://www.ltedu.com.tw/web/prodDetail.aspx?ID=9972</t>
        </is>
      </c>
      <c r="K227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8">
      <c r="A228" s="4" t="inlineStr">
        <is>
          <t>龍騰</t>
        </is>
      </c>
      <c r="B228" s="4" t="inlineStr">
        <is>
          <t>高中</t>
        </is>
      </c>
      <c r="C228" s="4" t="inlineStr">
        <is>
          <t>11</t>
        </is>
      </c>
      <c r="D228" s="4" t="inlineStr">
        <is>
          <t>第三冊B</t>
        </is>
      </c>
      <c r="E228" s="4" t="inlineStr">
        <is>
          <t>數學</t>
        </is>
      </c>
      <c r="F228" s="4" t="inlineStr">
        <is>
          <t>單元7 平面向量的運算</t>
        </is>
      </c>
      <c r="G228" s="4" t="n"/>
      <c r="H228" s="4" t="inlineStr">
        <is>
          <t>未標示</t>
        </is>
      </c>
      <c r="I228" s="4" t="inlineStr">
        <is>
          <t>出版商頁面</t>
        </is>
      </c>
      <c r="J228" s="5" t="inlineStr">
        <is>
          <t>https://www.ltedu.com.tw/web/prodDetail.aspx?ID=9972</t>
        </is>
      </c>
      <c r="K228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9">
      <c r="A229" s="4" t="inlineStr">
        <is>
          <t>龍騰</t>
        </is>
      </c>
      <c r="B229" s="4" t="inlineStr">
        <is>
          <t>高中</t>
        </is>
      </c>
      <c r="C229" s="4" t="inlineStr">
        <is>
          <t>11</t>
        </is>
      </c>
      <c r="D229" s="4" t="inlineStr">
        <is>
          <t>第四冊A</t>
        </is>
      </c>
      <c r="E229" s="4" t="inlineStr">
        <is>
          <t>數學</t>
        </is>
      </c>
      <c r="F229" s="4" t="inlineStr">
        <is>
          <t>單元1 空間概念</t>
        </is>
      </c>
      <c r="G229" s="4" t="n"/>
      <c r="H229" s="4" t="inlineStr">
        <is>
          <t>未標示</t>
        </is>
      </c>
      <c r="I229" s="4" t="inlineStr">
        <is>
          <t>出版商頁面</t>
        </is>
      </c>
      <c r="J229" s="5" t="inlineStr">
        <is>
          <t>https://www.ltedu.com.tw/web/prodDetail.aspx?ID=10111</t>
        </is>
      </c>
      <c r="K229" s="4" t="inlineStr">
        <is>
          <t>龍騰普高數學以「單元」取代章節；資料來自龍騰官網產品頁（搜尋結果摘要），頁面未標示學年度</t>
        </is>
      </c>
    </row>
    <row r="230">
      <c r="A230" s="4" t="inlineStr">
        <is>
          <t>龍騰</t>
        </is>
      </c>
      <c r="B230" s="4" t="inlineStr">
        <is>
          <t>高中</t>
        </is>
      </c>
      <c r="C230" s="4" t="inlineStr">
        <is>
          <t>11</t>
        </is>
      </c>
      <c r="D230" s="4" t="inlineStr">
        <is>
          <t>第四冊A</t>
        </is>
      </c>
      <c r="E230" s="4" t="inlineStr">
        <is>
          <t>數學</t>
        </is>
      </c>
      <c r="F230" s="4" t="inlineStr">
        <is>
          <t>單元2 空間向量的坐標表示法</t>
        </is>
      </c>
      <c r="G230" s="4" t="n"/>
      <c r="H230" s="4" t="inlineStr">
        <is>
          <t>未標示</t>
        </is>
      </c>
      <c r="I230" s="4" t="inlineStr">
        <is>
          <t>出版商頁面</t>
        </is>
      </c>
      <c r="J230" s="5" t="inlineStr">
        <is>
          <t>https://www.ltedu.com.tw/web/prodDetail.aspx?ID=10111</t>
        </is>
      </c>
      <c r="K230" s="4" t="inlineStr">
        <is>
          <t>龍騰普高數學以「單元」取代章節；資料來自龍騰官網產品頁（搜尋結果摘要），頁面未標示學年度</t>
        </is>
      </c>
    </row>
    <row r="231">
      <c r="A231" s="4" t="inlineStr">
        <is>
          <t>龍騰</t>
        </is>
      </c>
      <c r="B231" s="4" t="inlineStr">
        <is>
          <t>高中</t>
        </is>
      </c>
      <c r="C231" s="4" t="inlineStr">
        <is>
          <t>11</t>
        </is>
      </c>
      <c r="D231" s="4" t="inlineStr">
        <is>
          <t>第四冊A</t>
        </is>
      </c>
      <c r="E231" s="4" t="inlineStr">
        <is>
          <t>數學</t>
        </is>
      </c>
      <c r="F231" s="4" t="inlineStr">
        <is>
          <t>單元3 空間向量的運算</t>
        </is>
      </c>
      <c r="G231" s="4" t="n"/>
      <c r="H231" s="4" t="inlineStr">
        <is>
          <t>未標示</t>
        </is>
      </c>
      <c r="I231" s="4" t="inlineStr">
        <is>
          <t>出版商頁面</t>
        </is>
      </c>
      <c r="J231" s="5" t="inlineStr">
        <is>
          <t>https://www.ltedu.com.tw/web/prodDetail.aspx?ID=10111</t>
        </is>
      </c>
      <c r="K231" s="4" t="inlineStr">
        <is>
          <t>龍騰普高數學以「單元」取代章節；資料來自龍騰官網產品頁（搜尋結果摘要），頁面未標示學年度</t>
        </is>
      </c>
    </row>
    <row r="232">
      <c r="A232" s="4" t="inlineStr">
        <is>
          <t>龍騰</t>
        </is>
      </c>
      <c r="B232" s="4" t="inlineStr">
        <is>
          <t>高中</t>
        </is>
      </c>
      <c r="C232" s="4" t="inlineStr">
        <is>
          <t>11</t>
        </is>
      </c>
      <c r="D232" s="4" t="inlineStr">
        <is>
          <t>第四冊A</t>
        </is>
      </c>
      <c r="E232" s="4" t="inlineStr">
        <is>
          <t>數學</t>
        </is>
      </c>
      <c r="F232" s="4" t="inlineStr">
        <is>
          <t>單元4 三階行列式</t>
        </is>
      </c>
      <c r="G232" s="4" t="n"/>
      <c r="H232" s="4" t="inlineStr">
        <is>
          <t>未標示</t>
        </is>
      </c>
      <c r="I232" s="4" t="inlineStr">
        <is>
          <t>出版商頁面</t>
        </is>
      </c>
      <c r="J232" s="5" t="inlineStr">
        <is>
          <t>https://www.ltedu.com.tw/web/prodDetail.aspx?ID=10111</t>
        </is>
      </c>
      <c r="K232" s="4" t="inlineStr">
        <is>
          <t>龍騰普高數學以「單元」取代章節；資料來自龍騰官網產品頁（搜尋結果摘要），頁面未標示學年度</t>
        </is>
      </c>
    </row>
    <row r="233">
      <c r="A233" s="4" t="inlineStr">
        <is>
          <t>龍騰</t>
        </is>
      </c>
      <c r="B233" s="4" t="inlineStr">
        <is>
          <t>高中</t>
        </is>
      </c>
      <c r="C233" s="4" t="inlineStr">
        <is>
          <t>11</t>
        </is>
      </c>
      <c r="D233" s="4" t="inlineStr">
        <is>
          <t>第四冊A</t>
        </is>
      </c>
      <c r="E233" s="4" t="inlineStr">
        <is>
          <t>數學</t>
        </is>
      </c>
      <c r="F233" s="4" t="inlineStr">
        <is>
          <t>單元5 空間中的平面</t>
        </is>
      </c>
      <c r="G233" s="4" t="n"/>
      <c r="H233" s="4" t="inlineStr">
        <is>
          <t>未標示</t>
        </is>
      </c>
      <c r="I233" s="4" t="inlineStr">
        <is>
          <t>出版商頁面</t>
        </is>
      </c>
      <c r="J233" s="5" t="inlineStr">
        <is>
          <t>https://www.ltedu.com.tw/web/prodDetail.aspx?ID=10111</t>
        </is>
      </c>
      <c r="K233" s="4" t="inlineStr">
        <is>
          <t>龍騰普高數學以「單元」取代章節；資料來自龍騰官網產品頁（搜尋結果摘要），頁面未標示學年度</t>
        </is>
      </c>
    </row>
    <row r="234">
      <c r="A234" s="4" t="inlineStr">
        <is>
          <t>龍騰</t>
        </is>
      </c>
      <c r="B234" s="4" t="inlineStr">
        <is>
          <t>高中</t>
        </is>
      </c>
      <c r="C234" s="4" t="inlineStr">
        <is>
          <t>11</t>
        </is>
      </c>
      <c r="D234" s="4" t="inlineStr">
        <is>
          <t>第四冊A</t>
        </is>
      </c>
      <c r="E234" s="4" t="inlineStr">
        <is>
          <t>數學</t>
        </is>
      </c>
      <c r="F234" s="4" t="inlineStr">
        <is>
          <t>單元6 空間中的直線</t>
        </is>
      </c>
      <c r="G234" s="4" t="n"/>
      <c r="H234" s="4" t="inlineStr">
        <is>
          <t>未標示</t>
        </is>
      </c>
      <c r="I234" s="4" t="inlineStr">
        <is>
          <t>出版商頁面</t>
        </is>
      </c>
      <c r="J234" s="5" t="inlineStr">
        <is>
          <t>https://www.ltedu.com.tw/web/prodDetail.aspx?ID=10111</t>
        </is>
      </c>
      <c r="K234" s="4" t="inlineStr">
        <is>
          <t>龍騰普高數學以「單元」取代章節；資料來自龍騰官網產品頁（搜尋結果摘要），頁面未標示學年度</t>
        </is>
      </c>
    </row>
    <row r="235">
      <c r="A235" s="4" t="inlineStr">
        <is>
          <t>龍騰</t>
        </is>
      </c>
      <c r="B235" s="4" t="inlineStr">
        <is>
          <t>高中</t>
        </is>
      </c>
      <c r="C235" s="4" t="inlineStr">
        <is>
          <t>11</t>
        </is>
      </c>
      <c r="D235" s="4" t="inlineStr">
        <is>
          <t>第四冊A</t>
        </is>
      </c>
      <c r="E235" s="4" t="inlineStr">
        <is>
          <t>數學</t>
        </is>
      </c>
      <c r="F235" s="4" t="inlineStr">
        <is>
          <t>單元7 條件機率與貝氏定理</t>
        </is>
      </c>
      <c r="G235" s="4" t="n"/>
      <c r="H235" s="4" t="inlineStr">
        <is>
          <t>未標示</t>
        </is>
      </c>
      <c r="I235" s="4" t="inlineStr">
        <is>
          <t>出版商頁面</t>
        </is>
      </c>
      <c r="J235" s="5" t="inlineStr">
        <is>
          <t>https://www.ltedu.com.tw/web/prodDetail.aspx?ID=10111</t>
        </is>
      </c>
      <c r="K235" s="4" t="inlineStr">
        <is>
          <t>龍騰普高數學以「單元」取代章節；資料來自龍騰官網產品頁（搜尋結果摘要），頁面未標示學年度</t>
        </is>
      </c>
    </row>
    <row r="236">
      <c r="A236" s="4" t="inlineStr">
        <is>
          <t>龍騰</t>
        </is>
      </c>
      <c r="B236" s="4" t="inlineStr">
        <is>
          <t>高中</t>
        </is>
      </c>
      <c r="C236" s="4" t="inlineStr">
        <is>
          <t>11</t>
        </is>
      </c>
      <c r="D236" s="4" t="inlineStr">
        <is>
          <t>第四冊A</t>
        </is>
      </c>
      <c r="E236" s="4" t="inlineStr">
        <is>
          <t>數學</t>
        </is>
      </c>
      <c r="F236" s="4" t="inlineStr">
        <is>
          <t>單元8 三元一次聯立方程式</t>
        </is>
      </c>
      <c r="G236" s="4" t="n"/>
      <c r="H236" s="4" t="inlineStr">
        <is>
          <t>未標示</t>
        </is>
      </c>
      <c r="I236" s="4" t="inlineStr">
        <is>
          <t>出版商頁面</t>
        </is>
      </c>
      <c r="J236" s="5" t="inlineStr">
        <is>
          <t>https://www.ltedu.com.tw/web/prodDetail.aspx?ID=10111</t>
        </is>
      </c>
      <c r="K236" s="4" t="inlineStr">
        <is>
          <t>龍騰普高數學以「單元」取代章節；資料來自龍騰官網產品頁（搜尋結果摘要），頁面未標示學年度</t>
        </is>
      </c>
    </row>
    <row r="237">
      <c r="A237" s="4" t="inlineStr">
        <is>
          <t>龍騰</t>
        </is>
      </c>
      <c r="B237" s="4" t="inlineStr">
        <is>
          <t>高中</t>
        </is>
      </c>
      <c r="C237" s="4" t="inlineStr">
        <is>
          <t>11</t>
        </is>
      </c>
      <c r="D237" s="4" t="inlineStr">
        <is>
          <t>第四冊A</t>
        </is>
      </c>
      <c r="E237" s="4" t="inlineStr">
        <is>
          <t>數學</t>
        </is>
      </c>
      <c r="F237" s="4" t="inlineStr">
        <is>
          <t>單元9 矩陣的運算</t>
        </is>
      </c>
      <c r="G237" s="4" t="n"/>
      <c r="H237" s="4" t="inlineStr">
        <is>
          <t>未標示</t>
        </is>
      </c>
      <c r="I237" s="4" t="inlineStr">
        <is>
          <t>出版商頁面</t>
        </is>
      </c>
      <c r="J237" s="5" t="inlineStr">
        <is>
          <t>https://www.ltedu.com.tw/web/prodDetail.aspx?ID=10111</t>
        </is>
      </c>
      <c r="K237" s="4" t="inlineStr">
        <is>
          <t>龍騰普高數學以「單元」取代章節；資料來自龍騰官網產品頁（搜尋結果摘要），頁面未標示學年度</t>
        </is>
      </c>
    </row>
    <row r="238">
      <c r="A238" s="4" t="inlineStr">
        <is>
          <t>龍騰</t>
        </is>
      </c>
      <c r="B238" s="4" t="inlineStr">
        <is>
          <t>高中</t>
        </is>
      </c>
      <c r="C238" s="4" t="inlineStr">
        <is>
          <t>11</t>
        </is>
      </c>
      <c r="D238" s="4" t="inlineStr">
        <is>
          <t>第四冊A</t>
        </is>
      </c>
      <c r="E238" s="4" t="inlineStr">
        <is>
          <t>數學</t>
        </is>
      </c>
      <c r="F238" s="4" t="inlineStr">
        <is>
          <t>單元10 矩陣的應用</t>
        </is>
      </c>
      <c r="G238" s="4" t="n"/>
      <c r="H238" s="4" t="inlineStr">
        <is>
          <t>未標示</t>
        </is>
      </c>
      <c r="I238" s="4" t="inlineStr">
        <is>
          <t>出版商頁面</t>
        </is>
      </c>
      <c r="J238" s="5" t="inlineStr">
        <is>
          <t>https://www.ltedu.com.tw/web/prodDetail.aspx?ID=10111</t>
        </is>
      </c>
      <c r="K238" s="4" t="inlineStr">
        <is>
          <t>龍騰普高數學以「單元」取代章節；資料來自龍騰官網產品頁（搜尋結果摘要），頁面未標示學年度</t>
        </is>
      </c>
    </row>
    <row r="239">
      <c r="A239" s="4" t="inlineStr">
        <is>
          <t>龍騰</t>
        </is>
      </c>
      <c r="B239" s="4" t="inlineStr">
        <is>
          <t>高中</t>
        </is>
      </c>
      <c r="C239" s="4" t="inlineStr">
        <is>
          <t>11</t>
        </is>
      </c>
      <c r="D239" s="4" t="inlineStr">
        <is>
          <t>第四冊B</t>
        </is>
      </c>
      <c r="E239" s="4" t="inlineStr">
        <is>
          <t>數學</t>
        </is>
      </c>
      <c r="F239" s="4" t="inlineStr">
        <is>
          <t>單元1 空間概念</t>
        </is>
      </c>
      <c r="G239" s="4" t="n"/>
      <c r="H239" s="4" t="inlineStr">
        <is>
          <t>未標示</t>
        </is>
      </c>
      <c r="I239" s="4" t="inlineStr">
        <is>
          <t>出版商頁面</t>
        </is>
      </c>
      <c r="J239" s="5" t="inlineStr">
        <is>
          <t>https://www.ltedu.com.tw/web/prodDetail.aspx?ID=10102</t>
        </is>
      </c>
      <c r="K239" s="4" t="inlineStr">
        <is>
          <t>龍騰普高數學以「單元」取代章節；資料來自龍騰官網產品頁（搜尋結果摘要），頁面未標示學年度</t>
        </is>
      </c>
    </row>
    <row r="240">
      <c r="A240" s="4" t="inlineStr">
        <is>
          <t>龍騰</t>
        </is>
      </c>
      <c r="B240" s="4" t="inlineStr">
        <is>
          <t>高中</t>
        </is>
      </c>
      <c r="C240" s="4" t="inlineStr">
        <is>
          <t>11</t>
        </is>
      </c>
      <c r="D240" s="4" t="inlineStr">
        <is>
          <t>第四冊B</t>
        </is>
      </c>
      <c r="E240" s="4" t="inlineStr">
        <is>
          <t>數學</t>
        </is>
      </c>
      <c r="F240" s="4" t="inlineStr">
        <is>
          <t>單元2 空間坐標系</t>
        </is>
      </c>
      <c r="G240" s="4" t="n"/>
      <c r="H240" s="4" t="inlineStr">
        <is>
          <t>未標示</t>
        </is>
      </c>
      <c r="I240" s="4" t="inlineStr">
        <is>
          <t>出版商頁面</t>
        </is>
      </c>
      <c r="J240" s="5" t="inlineStr">
        <is>
          <t>https://www.ltedu.com.tw/web/prodDetail.aspx?ID=10102</t>
        </is>
      </c>
      <c r="K240" s="4" t="inlineStr">
        <is>
          <t>龍騰普高數學以「單元」取代章節；資料來自龍騰官網產品頁（搜尋結果摘要），頁面未標示學年度</t>
        </is>
      </c>
    </row>
    <row r="241">
      <c r="A241" s="4" t="inlineStr">
        <is>
          <t>龍騰</t>
        </is>
      </c>
      <c r="B241" s="4" t="inlineStr">
        <is>
          <t>高中</t>
        </is>
      </c>
      <c r="C241" s="4" t="inlineStr">
        <is>
          <t>11</t>
        </is>
      </c>
      <c r="D241" s="4" t="inlineStr">
        <is>
          <t>第四冊B</t>
        </is>
      </c>
      <c r="E241" s="4" t="inlineStr">
        <is>
          <t>數學</t>
        </is>
      </c>
      <c r="F241" s="4" t="inlineStr">
        <is>
          <t>單元3 平面上的比例</t>
        </is>
      </c>
      <c r="G241" s="4" t="n"/>
      <c r="H241" s="4" t="inlineStr">
        <is>
          <t>未標示</t>
        </is>
      </c>
      <c r="I241" s="4" t="inlineStr">
        <is>
          <t>出版商頁面</t>
        </is>
      </c>
      <c r="J241" s="5" t="inlineStr">
        <is>
          <t>https://www.ltedu.com.tw/web/prodDetail.aspx?ID=10102</t>
        </is>
      </c>
      <c r="K241" s="4" t="inlineStr">
        <is>
          <t>龍騰普高數學以「單元」取代章節；資料來自龍騰官網產品頁（搜尋結果摘要），頁面未標示學年度</t>
        </is>
      </c>
    </row>
    <row r="242">
      <c r="A242" s="4" t="inlineStr">
        <is>
          <t>龍騰</t>
        </is>
      </c>
      <c r="B242" s="4" t="inlineStr">
        <is>
          <t>高中</t>
        </is>
      </c>
      <c r="C242" s="4" t="inlineStr">
        <is>
          <t>11</t>
        </is>
      </c>
      <c r="D242" s="4" t="inlineStr">
        <is>
          <t>第四冊B</t>
        </is>
      </c>
      <c r="E242" s="4" t="inlineStr">
        <is>
          <t>數學</t>
        </is>
      </c>
      <c r="F242" s="4" t="inlineStr">
        <is>
          <t>單元4 條件機率</t>
        </is>
      </c>
      <c r="G242" s="4" t="n"/>
      <c r="H242" s="4" t="inlineStr">
        <is>
          <t>未標示</t>
        </is>
      </c>
      <c r="I242" s="4" t="inlineStr">
        <is>
          <t>出版商頁面</t>
        </is>
      </c>
      <c r="J242" s="5" t="inlineStr">
        <is>
          <t>https://www.ltedu.com.tw/web/prodDetail.aspx?ID=10166</t>
        </is>
      </c>
      <c r="K242" s="4" t="inlineStr">
        <is>
          <t>單元4–8取自龍騰4B配套講義產品頁目錄（非課本產品頁），其單元1–3與課本產品頁一致；頁面未標示學年度</t>
        </is>
      </c>
    </row>
    <row r="243">
      <c r="A243" s="4" t="inlineStr">
        <is>
          <t>龍騰</t>
        </is>
      </c>
      <c r="B243" s="4" t="inlineStr">
        <is>
          <t>高中</t>
        </is>
      </c>
      <c r="C243" s="4" t="inlineStr">
        <is>
          <t>11</t>
        </is>
      </c>
      <c r="D243" s="4" t="inlineStr">
        <is>
          <t>第四冊B</t>
        </is>
      </c>
      <c r="E243" s="4" t="inlineStr">
        <is>
          <t>數學</t>
        </is>
      </c>
      <c r="F243" s="4" t="inlineStr">
        <is>
          <t>單元5 貝氏定理</t>
        </is>
      </c>
      <c r="G243" s="4" t="n"/>
      <c r="H243" s="4" t="inlineStr">
        <is>
          <t>未標示</t>
        </is>
      </c>
      <c r="I243" s="4" t="inlineStr">
        <is>
          <t>出版商頁面</t>
        </is>
      </c>
      <c r="J243" s="5" t="inlineStr">
        <is>
          <t>https://www.ltedu.com.tw/web/prodDetail.aspx?ID=10166</t>
        </is>
      </c>
      <c r="K243" s="4" t="inlineStr">
        <is>
          <t>單元4–8取自龍騰4B配套講義產品頁目錄（非課本產品頁），其單元1–3與課本產品頁一致；頁面未標示學年度</t>
        </is>
      </c>
    </row>
    <row r="244">
      <c r="A244" s="4" t="inlineStr">
        <is>
          <t>龍騰</t>
        </is>
      </c>
      <c r="B244" s="4" t="inlineStr">
        <is>
          <t>高中</t>
        </is>
      </c>
      <c r="C244" s="4" t="inlineStr">
        <is>
          <t>11</t>
        </is>
      </c>
      <c r="D244" s="4" t="inlineStr">
        <is>
          <t>第四冊B</t>
        </is>
      </c>
      <c r="E244" s="4" t="inlineStr">
        <is>
          <t>數學</t>
        </is>
      </c>
      <c r="F244" s="4" t="inlineStr">
        <is>
          <t>單元6 矩陣的運算</t>
        </is>
      </c>
      <c r="G244" s="4" t="n"/>
      <c r="H244" s="4" t="inlineStr">
        <is>
          <t>未標示</t>
        </is>
      </c>
      <c r="I244" s="4" t="inlineStr">
        <is>
          <t>出版商頁面</t>
        </is>
      </c>
      <c r="J244" s="5" t="inlineStr">
        <is>
          <t>https://www.ltedu.com.tw/web/prodDetail.aspx?ID=10166</t>
        </is>
      </c>
      <c r="K244" s="4" t="inlineStr">
        <is>
          <t>單元4–8取自龍騰4B配套講義產品頁目錄（非課本產品頁），其單元1–3與課本產品頁一致；頁面未標示學年度</t>
        </is>
      </c>
    </row>
    <row r="245">
      <c r="A245" s="4" t="inlineStr">
        <is>
          <t>龍騰</t>
        </is>
      </c>
      <c r="B245" s="4" t="inlineStr">
        <is>
          <t>高中</t>
        </is>
      </c>
      <c r="C245" s="4" t="inlineStr">
        <is>
          <t>11</t>
        </is>
      </c>
      <c r="D245" s="4" t="inlineStr">
        <is>
          <t>第四冊B</t>
        </is>
      </c>
      <c r="E245" s="4" t="inlineStr">
        <is>
          <t>數學</t>
        </is>
      </c>
      <c r="F245" s="4" t="inlineStr">
        <is>
          <t>單元7 矩陣的應用</t>
        </is>
      </c>
      <c r="G245" s="4" t="n"/>
      <c r="H245" s="4" t="inlineStr">
        <is>
          <t>未標示</t>
        </is>
      </c>
      <c r="I245" s="4" t="inlineStr">
        <is>
          <t>出版商頁面</t>
        </is>
      </c>
      <c r="J245" s="5" t="inlineStr">
        <is>
          <t>https://www.ltedu.com.tw/web/prodDetail.aspx?ID=10166</t>
        </is>
      </c>
      <c r="K245" s="4" t="inlineStr">
        <is>
          <t>單元4–8取自龍騰4B配套講義產品頁目錄（非課本產品頁），其單元1–3與課本產品頁一致；頁面未標示學年度</t>
        </is>
      </c>
    </row>
    <row r="246">
      <c r="A246" s="4" t="inlineStr">
        <is>
          <t>龍騰</t>
        </is>
      </c>
      <c r="B246" s="4" t="inlineStr">
        <is>
          <t>高中</t>
        </is>
      </c>
      <c r="C246" s="4" t="inlineStr">
        <is>
          <t>11</t>
        </is>
      </c>
      <c r="D246" s="4" t="inlineStr">
        <is>
          <t>第四冊B</t>
        </is>
      </c>
      <c r="E246" s="4" t="inlineStr">
        <is>
          <t>數學</t>
        </is>
      </c>
      <c r="F246" s="4" t="inlineStr">
        <is>
          <t>單元8 圓錐曲線</t>
        </is>
      </c>
      <c r="G246" s="4" t="n"/>
      <c r="H246" s="4" t="inlineStr">
        <is>
          <t>未標示</t>
        </is>
      </c>
      <c r="I246" s="4" t="inlineStr">
        <is>
          <t>出版商頁面</t>
        </is>
      </c>
      <c r="J246" s="5" t="inlineStr">
        <is>
          <t>https://www.ltedu.com.tw/web/prodDetail.aspx?ID=10166</t>
        </is>
      </c>
      <c r="K246" s="4" t="inlineStr">
        <is>
          <t>單元4–8取自龍騰4B配套講義產品頁目錄（非課本產品頁），其單元1–3與課本產品頁一致；頁面未標示學年度</t>
        </is>
      </c>
    </row>
    <row r="247">
      <c r="A247" s="4" t="inlineStr">
        <is>
          <t>龍騰</t>
        </is>
      </c>
      <c r="B247" s="4" t="inlineStr">
        <is>
          <t>高中</t>
        </is>
      </c>
      <c r="C247" s="4" t="inlineStr">
        <is>
          <t>12</t>
        </is>
      </c>
      <c r="D247" s="4" t="inlineStr">
        <is>
          <t>數學乙上</t>
        </is>
      </c>
      <c r="E247" s="4" t="inlineStr">
        <is>
          <t>數學</t>
        </is>
      </c>
      <c r="F247" s="4" t="inlineStr">
        <is>
          <t>單元1 數列的極限與無窮等比級數</t>
        </is>
      </c>
      <c r="G247" s="4" t="n"/>
      <c r="H247" s="4" t="inlineStr">
        <is>
          <t>未標示</t>
        </is>
      </c>
      <c r="I247" s="4" t="inlineStr">
        <is>
          <t>出版商頁面</t>
        </is>
      </c>
      <c r="J247" s="5" t="inlineStr">
        <is>
          <t>https://www.ltedu.com.tw/web/prodDetail.aspx?ID=10300</t>
        </is>
      </c>
      <c r="K247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48">
      <c r="A248" s="4" t="inlineStr">
        <is>
          <t>龍騰</t>
        </is>
      </c>
      <c r="B248" s="4" t="inlineStr">
        <is>
          <t>高中</t>
        </is>
      </c>
      <c r="C248" s="4" t="inlineStr">
        <is>
          <t>12</t>
        </is>
      </c>
      <c r="D248" s="4" t="inlineStr">
        <is>
          <t>數學乙上</t>
        </is>
      </c>
      <c r="E248" s="4" t="inlineStr">
        <is>
          <t>數學</t>
        </is>
      </c>
      <c r="F248" s="4" t="inlineStr">
        <is>
          <t>單元2 函數與函數的極限</t>
        </is>
      </c>
      <c r="G248" s="4" t="n"/>
      <c r="H248" s="4" t="inlineStr">
        <is>
          <t>未標示</t>
        </is>
      </c>
      <c r="I248" s="4" t="inlineStr">
        <is>
          <t>出版商頁面</t>
        </is>
      </c>
      <c r="J248" s="5" t="inlineStr">
        <is>
          <t>https://www.ltedu.com.tw/web/prodDetail.aspx?ID=10300</t>
        </is>
      </c>
      <c r="K248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49">
      <c r="A249" s="4" t="inlineStr">
        <is>
          <t>龍騰</t>
        </is>
      </c>
      <c r="B249" s="4" t="inlineStr">
        <is>
          <t>高中</t>
        </is>
      </c>
      <c r="C249" s="4" t="inlineStr">
        <is>
          <t>12</t>
        </is>
      </c>
      <c r="D249" s="4" t="inlineStr">
        <is>
          <t>數學乙上</t>
        </is>
      </c>
      <c r="E249" s="4" t="inlineStr">
        <is>
          <t>數學</t>
        </is>
      </c>
      <c r="F249" s="4" t="inlineStr">
        <is>
          <t>單元3 微分</t>
        </is>
      </c>
      <c r="G249" s="4" t="n"/>
      <c r="H249" s="4" t="inlineStr">
        <is>
          <t>未標示</t>
        </is>
      </c>
      <c r="I249" s="4" t="inlineStr">
        <is>
          <t>出版商頁面</t>
        </is>
      </c>
      <c r="J249" s="5" t="inlineStr">
        <is>
          <t>https://www.ltedu.com.tw/web/prodDetail.aspx?ID=10300</t>
        </is>
      </c>
      <c r="K249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0">
      <c r="A250" s="4" t="inlineStr">
        <is>
          <t>龍騰</t>
        </is>
      </c>
      <c r="B250" s="4" t="inlineStr">
        <is>
          <t>高中</t>
        </is>
      </c>
      <c r="C250" s="4" t="inlineStr">
        <is>
          <t>12</t>
        </is>
      </c>
      <c r="D250" s="4" t="inlineStr">
        <is>
          <t>數學乙上</t>
        </is>
      </c>
      <c r="E250" s="4" t="inlineStr">
        <is>
          <t>數學</t>
        </is>
      </c>
      <c r="F250" s="4" t="inlineStr">
        <is>
          <t>單元4 函數性質的判定</t>
        </is>
      </c>
      <c r="G250" s="4" t="n"/>
      <c r="H250" s="4" t="inlineStr">
        <is>
          <t>未標示</t>
        </is>
      </c>
      <c r="I250" s="4" t="inlineStr">
        <is>
          <t>出版商頁面</t>
        </is>
      </c>
      <c r="J250" s="5" t="inlineStr">
        <is>
          <t>https://www.ltedu.com.tw/web/prodDetail.aspx?ID=10300</t>
        </is>
      </c>
      <c r="K250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1">
      <c r="A251" s="4" t="inlineStr">
        <is>
          <t>龍騰</t>
        </is>
      </c>
      <c r="B251" s="4" t="inlineStr">
        <is>
          <t>高中</t>
        </is>
      </c>
      <c r="C251" s="4" t="inlineStr">
        <is>
          <t>12</t>
        </is>
      </c>
      <c r="D251" s="4" t="inlineStr">
        <is>
          <t>數學乙上</t>
        </is>
      </c>
      <c r="E251" s="4" t="inlineStr">
        <is>
          <t>數學</t>
        </is>
      </c>
      <c r="F251" s="4" t="inlineStr">
        <is>
          <t>單元5 積分</t>
        </is>
      </c>
      <c r="G251" s="4" t="n"/>
      <c r="H251" s="4" t="inlineStr">
        <is>
          <t>未標示</t>
        </is>
      </c>
      <c r="I251" s="4" t="inlineStr">
        <is>
          <t>出版商頁面</t>
        </is>
      </c>
      <c r="J251" s="5" t="inlineStr">
        <is>
          <t>https://www.ltedu.com.tw/web/prodDetail.aspx?ID=10300</t>
        </is>
      </c>
      <c r="K251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2">
      <c r="A252" s="4" t="inlineStr">
        <is>
          <t>龍騰</t>
        </is>
      </c>
      <c r="B252" s="4" t="inlineStr">
        <is>
          <t>高中</t>
        </is>
      </c>
      <c r="C252" s="4" t="inlineStr">
        <is>
          <t>12</t>
        </is>
      </c>
      <c r="D252" s="4" t="inlineStr">
        <is>
          <t>數學乙上</t>
        </is>
      </c>
      <c r="E252" s="4" t="inlineStr">
        <is>
          <t>數學</t>
        </is>
      </c>
      <c r="F252" s="4" t="inlineStr">
        <is>
          <t>單元6 積分的應用</t>
        </is>
      </c>
      <c r="G252" s="4" t="n"/>
      <c r="H252" s="4" t="inlineStr">
        <is>
          <t>未標示</t>
        </is>
      </c>
      <c r="I252" s="4" t="inlineStr">
        <is>
          <t>出版商頁面</t>
        </is>
      </c>
      <c r="J252" s="5" t="inlineStr">
        <is>
          <t>https://www.ltedu.com.tw/web/prodDetail.aspx?ID=10300</t>
        </is>
      </c>
      <c r="K252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3">
      <c r="A253" s="4" t="inlineStr">
        <is>
          <t>龍騰</t>
        </is>
      </c>
      <c r="B253" s="4" t="inlineStr">
        <is>
          <t>高中</t>
        </is>
      </c>
      <c r="C253" s="4" t="inlineStr">
        <is>
          <t>12</t>
        </is>
      </c>
      <c r="D253" s="4" t="inlineStr">
        <is>
          <t>數學乙下</t>
        </is>
      </c>
      <c r="E253" s="4" t="inlineStr">
        <is>
          <t>數學</t>
        </is>
      </c>
      <c r="F253" s="4" t="inlineStr">
        <is>
          <t>單元1 離散型隨機變數</t>
        </is>
      </c>
      <c r="G253" s="4" t="n"/>
      <c r="H253" s="4" t="inlineStr">
        <is>
          <t>未標示</t>
        </is>
      </c>
      <c r="I253" s="4" t="inlineStr">
        <is>
          <t>出版商頁面</t>
        </is>
      </c>
      <c r="J253" s="5" t="inlineStr">
        <is>
          <t>https://www.ltedu.com.tw/web/prodDetail.aspx?ID=10402</t>
        </is>
      </c>
      <c r="K253" s="4" t="inlineStr">
        <is>
          <t>龍騰普高數學以「單元」取代章節；資料來自龍騰官網產品頁（搜尋結果摘要），頁面未標示學年度</t>
        </is>
      </c>
    </row>
    <row r="254">
      <c r="A254" s="4" t="inlineStr">
        <is>
          <t>龍騰</t>
        </is>
      </c>
      <c r="B254" s="4" t="inlineStr">
        <is>
          <t>高中</t>
        </is>
      </c>
      <c r="C254" s="4" t="inlineStr">
        <is>
          <t>12</t>
        </is>
      </c>
      <c r="D254" s="4" t="inlineStr">
        <is>
          <t>數學乙下</t>
        </is>
      </c>
      <c r="E254" s="4" t="inlineStr">
        <is>
          <t>數學</t>
        </is>
      </c>
      <c r="F254" s="4" t="inlineStr">
        <is>
          <t>單元2 二項分布</t>
        </is>
      </c>
      <c r="G254" s="4" t="n"/>
      <c r="H254" s="4" t="inlineStr">
        <is>
          <t>未標示</t>
        </is>
      </c>
      <c r="I254" s="4" t="inlineStr">
        <is>
          <t>出版商頁面</t>
        </is>
      </c>
      <c r="J254" s="5" t="inlineStr">
        <is>
          <t>https://www.ltedu.com.tw/web/prodDetail.aspx?ID=10402</t>
        </is>
      </c>
      <c r="K254" s="4" t="inlineStr">
        <is>
          <t>龍騰普高數學以「單元」取代章節；資料來自龍騰官網產品頁（搜尋結果摘要），頁面未標示學年度</t>
        </is>
      </c>
    </row>
    <row r="255">
      <c r="A255" s="4" t="inlineStr">
        <is>
          <t>龍騰</t>
        </is>
      </c>
      <c r="B255" s="4" t="inlineStr">
        <is>
          <t>高中</t>
        </is>
      </c>
      <c r="C255" s="4" t="inlineStr">
        <is>
          <t>12</t>
        </is>
      </c>
      <c r="D255" s="4" t="inlineStr">
        <is>
          <t>數學乙下</t>
        </is>
      </c>
      <c r="E255" s="4" t="inlineStr">
        <is>
          <t>數學</t>
        </is>
      </c>
      <c r="F255" s="4" t="inlineStr">
        <is>
          <t>單元3 複數與複數平面</t>
        </is>
      </c>
      <c r="G255" s="4" t="n"/>
      <c r="H255" s="4" t="inlineStr">
        <is>
          <t>未標示</t>
        </is>
      </c>
      <c r="I255" s="4" t="inlineStr">
        <is>
          <t>出版商頁面</t>
        </is>
      </c>
      <c r="J255" s="5" t="inlineStr">
        <is>
          <t>https://www.ltedu.com.tw/web/prodDetail.aspx?ID=10402</t>
        </is>
      </c>
      <c r="K255" s="4" t="inlineStr">
        <is>
          <t>龍騰普高數學以「單元」取代章節；資料來自龍騰官網產品頁（搜尋結果摘要），頁面未標示學年度</t>
        </is>
      </c>
    </row>
    <row r="256">
      <c r="A256" s="4" t="inlineStr">
        <is>
          <t>龍騰</t>
        </is>
      </c>
      <c r="B256" s="4" t="inlineStr">
        <is>
          <t>高中</t>
        </is>
      </c>
      <c r="C256" s="4" t="inlineStr">
        <is>
          <t>12</t>
        </is>
      </c>
      <c r="D256" s="4" t="inlineStr">
        <is>
          <t>數學乙下</t>
        </is>
      </c>
      <c r="E256" s="4" t="inlineStr">
        <is>
          <t>數學</t>
        </is>
      </c>
      <c r="F256" s="4" t="inlineStr">
        <is>
          <t>單元4 多項式方程式的根</t>
        </is>
      </c>
      <c r="G256" s="4" t="n"/>
      <c r="H256" s="4" t="inlineStr">
        <is>
          <t>未標示</t>
        </is>
      </c>
      <c r="I256" s="4" t="inlineStr">
        <is>
          <t>出版商頁面</t>
        </is>
      </c>
      <c r="J256" s="5" t="inlineStr">
        <is>
          <t>https://www.ltedu.com.tw/web/prodDetail.aspx?ID=10402</t>
        </is>
      </c>
      <c r="K256" s="4" t="inlineStr">
        <is>
          <t>龍騰普高數學以「單元」取代章節；資料來自龍騰官網產品頁（搜尋結果摘要），頁面未標示學年度</t>
        </is>
      </c>
    </row>
    <row r="257">
      <c r="A257" s="4" t="inlineStr">
        <is>
          <t>龍騰</t>
        </is>
      </c>
      <c r="B257" s="4" t="inlineStr">
        <is>
          <t>高中</t>
        </is>
      </c>
      <c r="C257" s="4" t="inlineStr">
        <is>
          <t>12</t>
        </is>
      </c>
      <c r="D257" s="4" t="inlineStr">
        <is>
          <t>數學乙下</t>
        </is>
      </c>
      <c r="E257" s="4" t="inlineStr">
        <is>
          <t>數學</t>
        </is>
      </c>
      <c r="F257" s="4" t="inlineStr">
        <is>
          <t>單元5 線性規劃</t>
        </is>
      </c>
      <c r="G257" s="4" t="n"/>
      <c r="H257" s="4" t="inlineStr">
        <is>
          <t>未標示</t>
        </is>
      </c>
      <c r="I257" s="4" t="inlineStr">
        <is>
          <t>出版商頁面</t>
        </is>
      </c>
      <c r="J257" s="5" t="inlineStr">
        <is>
          <t>https://www.ltedu.com.tw/web/prodDetail.aspx?ID=10402</t>
        </is>
      </c>
      <c r="K257" s="4" t="inlineStr">
        <is>
          <t>龍騰普高數學以「單元」取代章節；資料來自龍騰官網產品頁（搜尋結果摘要），頁面未標示學年度</t>
        </is>
      </c>
    </row>
    <row r="258">
      <c r="A258" s="4" t="inlineStr">
        <is>
          <t>龍騰</t>
        </is>
      </c>
      <c r="B258" s="4" t="inlineStr">
        <is>
          <t>高中</t>
        </is>
      </c>
      <c r="C258" s="4" t="inlineStr">
        <is>
          <t>12</t>
        </is>
      </c>
      <c r="D258" s="4" t="inlineStr">
        <is>
          <t>數學甲上</t>
        </is>
      </c>
      <c r="E258" s="4" t="inlineStr">
        <is>
          <t>數學</t>
        </is>
      </c>
      <c r="F258" s="4" t="inlineStr">
        <is>
          <t>單元1 數列的極限與無窮等比級數</t>
        </is>
      </c>
      <c r="G258" s="4" t="n"/>
      <c r="H258" s="4" t="inlineStr">
        <is>
          <t>未標示</t>
        </is>
      </c>
      <c r="I258" s="4" t="inlineStr">
        <is>
          <t>出版商頁面</t>
        </is>
      </c>
      <c r="J258" s="5" t="inlineStr">
        <is>
          <t>https://www.ltedu.com.tw/web/prodDetail.aspx?ID=10298</t>
        </is>
      </c>
      <c r="K258" s="4" t="inlineStr">
        <is>
          <t>龍騰普高數學以「單元」取代章節；資料來自龍騰官網產品頁（搜尋結果摘要），頁面未標示學年度</t>
        </is>
      </c>
    </row>
    <row r="259">
      <c r="A259" s="4" t="inlineStr">
        <is>
          <t>龍騰</t>
        </is>
      </c>
      <c r="B259" s="4" t="inlineStr">
        <is>
          <t>高中</t>
        </is>
      </c>
      <c r="C259" s="4" t="inlineStr">
        <is>
          <t>12</t>
        </is>
      </c>
      <c r="D259" s="4" t="inlineStr">
        <is>
          <t>數學甲上</t>
        </is>
      </c>
      <c r="E259" s="4" t="inlineStr">
        <is>
          <t>數學</t>
        </is>
      </c>
      <c r="F259" s="4" t="inlineStr">
        <is>
          <t>單元2 函數與函數的極限</t>
        </is>
      </c>
      <c r="G259" s="4" t="n"/>
      <c r="H259" s="4" t="inlineStr">
        <is>
          <t>未標示</t>
        </is>
      </c>
      <c r="I259" s="4" t="inlineStr">
        <is>
          <t>出版商頁面</t>
        </is>
      </c>
      <c r="J259" s="5" t="inlineStr">
        <is>
          <t>https://www.ltedu.com.tw/web/prodDetail.aspx?ID=10298</t>
        </is>
      </c>
      <c r="K259" s="4" t="inlineStr">
        <is>
          <t>龍騰普高數學以「單元」取代章節；資料來自龍騰官網產品頁（搜尋結果摘要），頁面未標示學年度</t>
        </is>
      </c>
    </row>
    <row r="260">
      <c r="A260" s="4" t="inlineStr">
        <is>
          <t>龍騰</t>
        </is>
      </c>
      <c r="B260" s="4" t="inlineStr">
        <is>
          <t>高中</t>
        </is>
      </c>
      <c r="C260" s="4" t="inlineStr">
        <is>
          <t>12</t>
        </is>
      </c>
      <c r="D260" s="4" t="inlineStr">
        <is>
          <t>數學甲上</t>
        </is>
      </c>
      <c r="E260" s="4" t="inlineStr">
        <is>
          <t>數學</t>
        </is>
      </c>
      <c r="F260" s="4" t="inlineStr">
        <is>
          <t>單元3 微分</t>
        </is>
      </c>
      <c r="G260" s="4" t="n"/>
      <c r="H260" s="4" t="inlineStr">
        <is>
          <t>未標示</t>
        </is>
      </c>
      <c r="I260" s="4" t="inlineStr">
        <is>
          <t>出版商頁面</t>
        </is>
      </c>
      <c r="J260" s="5" t="inlineStr">
        <is>
          <t>https://www.ltedu.com.tw/web/prodDetail.aspx?ID=10298</t>
        </is>
      </c>
      <c r="K260" s="4" t="inlineStr">
        <is>
          <t>龍騰普高數學以「單元」取代章節；資料來自龍騰官網產品頁（搜尋結果摘要），頁面未標示學年度</t>
        </is>
      </c>
    </row>
    <row r="261">
      <c r="A261" s="4" t="inlineStr">
        <is>
          <t>龍騰</t>
        </is>
      </c>
      <c r="B261" s="4" t="inlineStr">
        <is>
          <t>高中</t>
        </is>
      </c>
      <c r="C261" s="4" t="inlineStr">
        <is>
          <t>12</t>
        </is>
      </c>
      <c r="D261" s="4" t="inlineStr">
        <is>
          <t>數學甲上</t>
        </is>
      </c>
      <c r="E261" s="4" t="inlineStr">
        <is>
          <t>數學</t>
        </is>
      </c>
      <c r="F261" s="4" t="inlineStr">
        <is>
          <t>單元4 函數性質的判定</t>
        </is>
      </c>
      <c r="G261" s="4" t="n"/>
      <c r="H261" s="4" t="inlineStr">
        <is>
          <t>未標示</t>
        </is>
      </c>
      <c r="I261" s="4" t="inlineStr">
        <is>
          <t>出版商頁面</t>
        </is>
      </c>
      <c r="J261" s="5" t="inlineStr">
        <is>
          <t>https://www.ltedu.com.tw/web/prodDetail.aspx?ID=10298</t>
        </is>
      </c>
      <c r="K261" s="4" t="inlineStr">
        <is>
          <t>龍騰普高數學以「單元」取代章節；資料來自龍騰官網產品頁（搜尋結果摘要），頁面未標示學年度</t>
        </is>
      </c>
    </row>
    <row r="262">
      <c r="A262" s="4" t="inlineStr">
        <is>
          <t>龍騰</t>
        </is>
      </c>
      <c r="B262" s="4" t="inlineStr">
        <is>
          <t>高中</t>
        </is>
      </c>
      <c r="C262" s="4" t="inlineStr">
        <is>
          <t>12</t>
        </is>
      </c>
      <c r="D262" s="4" t="inlineStr">
        <is>
          <t>數學甲上</t>
        </is>
      </c>
      <c r="E262" s="4" t="inlineStr">
        <is>
          <t>數學</t>
        </is>
      </c>
      <c r="F262" s="4" t="inlineStr">
        <is>
          <t>單元5 積分</t>
        </is>
      </c>
      <c r="G262" s="4" t="n"/>
      <c r="H262" s="4" t="inlineStr">
        <is>
          <t>未標示</t>
        </is>
      </c>
      <c r="I262" s="4" t="inlineStr">
        <is>
          <t>出版商頁面</t>
        </is>
      </c>
      <c r="J262" s="5" t="inlineStr">
        <is>
          <t>https://www.ltedu.com.tw/web/prodDetail.aspx?ID=10298</t>
        </is>
      </c>
      <c r="K262" s="4" t="inlineStr">
        <is>
          <t>龍騰普高數學以「單元」取代章節；資料來自龍騰官網產品頁（搜尋結果摘要），頁面未標示學年度</t>
        </is>
      </c>
    </row>
    <row r="263">
      <c r="A263" s="4" t="inlineStr">
        <is>
          <t>龍騰</t>
        </is>
      </c>
      <c r="B263" s="4" t="inlineStr">
        <is>
          <t>高中</t>
        </is>
      </c>
      <c r="C263" s="4" t="inlineStr">
        <is>
          <t>12</t>
        </is>
      </c>
      <c r="D263" s="4" t="inlineStr">
        <is>
          <t>數學甲上</t>
        </is>
      </c>
      <c r="E263" s="4" t="inlineStr">
        <is>
          <t>數學</t>
        </is>
      </c>
      <c r="F263" s="4" t="inlineStr">
        <is>
          <t>單元6 積分的應用</t>
        </is>
      </c>
      <c r="G263" s="4" t="n"/>
      <c r="H263" s="4" t="inlineStr">
        <is>
          <t>未標示</t>
        </is>
      </c>
      <c r="I263" s="4" t="inlineStr">
        <is>
          <t>出版商頁面</t>
        </is>
      </c>
      <c r="J263" s="5" t="inlineStr">
        <is>
          <t>https://www.ltedu.com.tw/web/prodDetail.aspx?ID=10298</t>
        </is>
      </c>
      <c r="K263" s="4" t="inlineStr">
        <is>
          <t>龍騰普高數學以「單元」取代章節；資料來自龍騰官網產品頁（搜尋結果摘要），頁面未標示學年度</t>
        </is>
      </c>
    </row>
    <row r="264">
      <c r="A264" s="4" t="inlineStr">
        <is>
          <t>龍騰</t>
        </is>
      </c>
      <c r="B264" s="4" t="inlineStr">
        <is>
          <t>高中</t>
        </is>
      </c>
      <c r="C264" s="4" t="inlineStr">
        <is>
          <t>12</t>
        </is>
      </c>
      <c r="D264" s="4" t="inlineStr">
        <is>
          <t>數學甲下</t>
        </is>
      </c>
      <c r="E264" s="4" t="inlineStr">
        <is>
          <t>數學</t>
        </is>
      </c>
      <c r="F264" s="4" t="inlineStr">
        <is>
          <t>單元1 離散型隨機變數</t>
        </is>
      </c>
      <c r="G264" s="4" t="n"/>
      <c r="H264" s="4" t="inlineStr">
        <is>
          <t>未標示</t>
        </is>
      </c>
      <c r="I264" s="4" t="inlineStr">
        <is>
          <t>出版商頁面</t>
        </is>
      </c>
      <c r="J264" s="5" t="inlineStr">
        <is>
          <t>https://www.ltedu.com.tw/web/prodDetail.aspx?ID=10403</t>
        </is>
      </c>
      <c r="K264" s="4" t="inlineStr">
        <is>
          <t>龍騰普高數學以「單元」取代章節；資料來自龍騰官網產品頁（搜尋結果摘要），頁面未標示學年度</t>
        </is>
      </c>
    </row>
    <row r="265">
      <c r="A265" s="4" t="inlineStr">
        <is>
          <t>龍騰</t>
        </is>
      </c>
      <c r="B265" s="4" t="inlineStr">
        <is>
          <t>高中</t>
        </is>
      </c>
      <c r="C265" s="4" t="inlineStr">
        <is>
          <t>12</t>
        </is>
      </c>
      <c r="D265" s="4" t="inlineStr">
        <is>
          <t>數學甲下</t>
        </is>
      </c>
      <c r="E265" s="4" t="inlineStr">
        <is>
          <t>數學</t>
        </is>
      </c>
      <c r="F265" s="4" t="inlineStr">
        <is>
          <t>單元2 二項分布與幾何分布</t>
        </is>
      </c>
      <c r="G265" s="4" t="n"/>
      <c r="H265" s="4" t="inlineStr">
        <is>
          <t>未標示</t>
        </is>
      </c>
      <c r="I265" s="4" t="inlineStr">
        <is>
          <t>出版商頁面</t>
        </is>
      </c>
      <c r="J265" s="5" t="inlineStr">
        <is>
          <t>https://www.ltedu.com.tw/web/prodDetail.aspx?ID=10403</t>
        </is>
      </c>
      <c r="K265" s="4" t="inlineStr">
        <is>
          <t>龍騰普高數學以「單元」取代章節；資料來自龍騰官網產品頁（搜尋結果摘要），頁面未標示學年度</t>
        </is>
      </c>
    </row>
    <row r="266">
      <c r="A266" s="4" t="inlineStr">
        <is>
          <t>龍騰</t>
        </is>
      </c>
      <c r="B266" s="4" t="inlineStr">
        <is>
          <t>高中</t>
        </is>
      </c>
      <c r="C266" s="4" t="inlineStr">
        <is>
          <t>12</t>
        </is>
      </c>
      <c r="D266" s="4" t="inlineStr">
        <is>
          <t>數學甲下</t>
        </is>
      </c>
      <c r="E266" s="4" t="inlineStr">
        <is>
          <t>數學</t>
        </is>
      </c>
      <c r="F266" s="4" t="inlineStr">
        <is>
          <t>單元3 複數與多項式方程式</t>
        </is>
      </c>
      <c r="G266" s="4" t="n"/>
      <c r="H266" s="4" t="inlineStr">
        <is>
          <t>未標示</t>
        </is>
      </c>
      <c r="I266" s="4" t="inlineStr">
        <is>
          <t>出版商頁面</t>
        </is>
      </c>
      <c r="J266" s="5" t="inlineStr">
        <is>
          <t>https://www.ltedu.com.tw/web/prodDetail.aspx?ID=10403</t>
        </is>
      </c>
      <c r="K266" s="4" t="inlineStr">
        <is>
          <t>龍騰普高數學以「單元」取代章節；資料來自龍騰官網產品頁（搜尋結果摘要），頁面未標示學年度</t>
        </is>
      </c>
    </row>
    <row r="267">
      <c r="A267" s="4" t="inlineStr">
        <is>
          <t>龍騰</t>
        </is>
      </c>
      <c r="B267" s="4" t="inlineStr">
        <is>
          <t>高中</t>
        </is>
      </c>
      <c r="C267" s="4" t="inlineStr">
        <is>
          <t>12</t>
        </is>
      </c>
      <c r="D267" s="4" t="inlineStr">
        <is>
          <t>數學甲下</t>
        </is>
      </c>
      <c r="E267" s="4" t="inlineStr">
        <is>
          <t>數學</t>
        </is>
      </c>
      <c r="F267" s="4" t="inlineStr">
        <is>
          <t>單元4 複數的幾何意涵</t>
        </is>
      </c>
      <c r="G267" s="4" t="n"/>
      <c r="H267" s="4" t="inlineStr">
        <is>
          <t>未標示</t>
        </is>
      </c>
      <c r="I267" s="4" t="inlineStr">
        <is>
          <t>出版商頁面</t>
        </is>
      </c>
      <c r="J267" s="5" t="inlineStr">
        <is>
          <t>https://www.ltedu.com.tw/web/prodDetail.aspx?ID=10403</t>
        </is>
      </c>
      <c r="K267" s="4" t="inlineStr">
        <is>
          <t>龍騰普高數學以「單元」取代章節；資料來自龍騰官網產品頁（搜尋結果摘要），頁面未標示學年度</t>
        </is>
      </c>
    </row>
    <row r="268">
      <c r="A268" s="4" t="inlineStr">
        <is>
          <t>龍騰</t>
        </is>
      </c>
      <c r="B268" s="4" t="inlineStr">
        <is>
          <t>高中</t>
        </is>
      </c>
      <c r="C268" s="4" t="inlineStr">
        <is>
          <t>12</t>
        </is>
      </c>
      <c r="D268" s="4" t="inlineStr">
        <is>
          <t>數學甲下</t>
        </is>
      </c>
      <c r="E268" s="4" t="inlineStr">
        <is>
          <t>數學</t>
        </is>
      </c>
      <c r="F268" s="4" t="inlineStr">
        <is>
          <t>單元5 拋物線</t>
        </is>
      </c>
      <c r="G268" s="4" t="n"/>
      <c r="H268" s="4" t="inlineStr">
        <is>
          <t>未標示</t>
        </is>
      </c>
      <c r="I268" s="4" t="inlineStr">
        <is>
          <t>出版商頁面</t>
        </is>
      </c>
      <c r="J268" s="5" t="inlineStr">
        <is>
          <t>https://www.ltedu.com.tw/web/prodDetail.aspx?ID=10403</t>
        </is>
      </c>
      <c r="K268" s="4" t="inlineStr">
        <is>
          <t>龍騰普高數學以「單元」取代章節；資料來自龍騰官網產品頁（搜尋結果摘要），頁面未標示學年度</t>
        </is>
      </c>
    </row>
    <row r="269">
      <c r="A269" s="4" t="inlineStr">
        <is>
          <t>龍騰</t>
        </is>
      </c>
      <c r="B269" s="4" t="inlineStr">
        <is>
          <t>高中</t>
        </is>
      </c>
      <c r="C269" s="4" t="inlineStr">
        <is>
          <t>12</t>
        </is>
      </c>
      <c r="D269" s="4" t="inlineStr">
        <is>
          <t>數學甲下</t>
        </is>
      </c>
      <c r="E269" s="4" t="inlineStr">
        <is>
          <t>數學</t>
        </is>
      </c>
      <c r="F269" s="4" t="inlineStr">
        <is>
          <t>單元6 橢圓</t>
        </is>
      </c>
      <c r="G269" s="4" t="n"/>
      <c r="H269" s="4" t="inlineStr">
        <is>
          <t>未標示</t>
        </is>
      </c>
      <c r="I269" s="4" t="inlineStr">
        <is>
          <t>出版商頁面</t>
        </is>
      </c>
      <c r="J269" s="5" t="inlineStr">
        <is>
          <t>https://www.ltedu.com.tw/web/prodDetail.aspx?ID=10403</t>
        </is>
      </c>
      <c r="K269" s="4" t="inlineStr">
        <is>
          <t>龍騰普高數學以「單元」取代章節；資料來自龍騰官網產品頁（搜尋結果摘要），頁面未標示學年度</t>
        </is>
      </c>
    </row>
    <row r="270">
      <c r="A270" s="4" t="inlineStr">
        <is>
          <t>龍騰</t>
        </is>
      </c>
      <c r="B270" s="4" t="inlineStr">
        <is>
          <t>高中</t>
        </is>
      </c>
      <c r="C270" s="4" t="inlineStr">
        <is>
          <t>12</t>
        </is>
      </c>
      <c r="D270" s="4" t="inlineStr">
        <is>
          <t>數學甲下</t>
        </is>
      </c>
      <c r="E270" s="4" t="inlineStr">
        <is>
          <t>數學</t>
        </is>
      </c>
      <c r="F270" s="4" t="inlineStr">
        <is>
          <t>單元7 雙曲線</t>
        </is>
      </c>
      <c r="G270" s="4" t="n"/>
      <c r="H270" s="4" t="inlineStr">
        <is>
          <t>未標示</t>
        </is>
      </c>
      <c r="I270" s="4" t="inlineStr">
        <is>
          <t>出版商頁面</t>
        </is>
      </c>
      <c r="J270" s="5" t="inlineStr">
        <is>
          <t>https://www.ltedu.com.tw/web/prodDetail.aspx?ID=10403</t>
        </is>
      </c>
      <c r="K270" s="4" t="inlineStr">
        <is>
          <t>龍騰普高數學以「單元」取代章節；資料來自龍騰官網產品頁（搜尋結果摘要），頁面未標示學年度</t>
        </is>
      </c>
    </row>
    <row r="271">
      <c r="A271" s="4" t="inlineStr">
        <is>
          <t>龍騰</t>
        </is>
      </c>
      <c r="B271" s="4" t="inlineStr">
        <is>
          <t>高中</t>
        </is>
      </c>
      <c r="C271" s="4" t="inlineStr">
        <is>
          <t>10</t>
        </is>
      </c>
      <c r="D271" s="4" t="inlineStr">
        <is>
          <t>生物（全）</t>
        </is>
      </c>
      <c r="E271" s="4" t="inlineStr">
        <is>
          <t>生物</t>
        </is>
      </c>
      <c r="F271" s="4" t="inlineStr">
        <is>
          <t>第1章 細胞的構造與功能</t>
        </is>
      </c>
      <c r="G271" s="4" t="inlineStr">
        <is>
          <t>1-1 細胞的構造；1-2 細胞及能量；1-3 細胞週期與細胞分裂</t>
        </is>
      </c>
      <c r="H271" s="4" t="n"/>
      <c r="I271" s="4" t="inlineStr">
        <is>
          <t>出版商頁面</t>
        </is>
      </c>
      <c r="J271" s="5" t="inlineStr">
        <is>
          <t>https://www.ltedu.com.tw/web/prodDetail.aspx?ID=9724</t>
        </is>
      </c>
      <c r="K271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2">
      <c r="A272" s="4" t="inlineStr">
        <is>
          <t>龍騰</t>
        </is>
      </c>
      <c r="B272" s="4" t="inlineStr">
        <is>
          <t>高中</t>
        </is>
      </c>
      <c r="C272" s="4" t="inlineStr">
        <is>
          <t>10</t>
        </is>
      </c>
      <c r="D272" s="4" t="inlineStr">
        <is>
          <t>生物（全）</t>
        </is>
      </c>
      <c r="E272" s="4" t="inlineStr">
        <is>
          <t>生物</t>
        </is>
      </c>
      <c r="F272" s="4" t="inlineStr">
        <is>
          <t>第2章 生殖與遺傳</t>
        </is>
      </c>
      <c r="G272" s="4" t="inlineStr">
        <is>
          <t>2-1 性狀的遺傳；2-2 遺傳物質；2-3 遺傳工程及其應用</t>
        </is>
      </c>
      <c r="H272" s="4" t="n"/>
      <c r="I272" s="4" t="inlineStr">
        <is>
          <t>出版商頁面</t>
        </is>
      </c>
      <c r="J272" s="5" t="inlineStr">
        <is>
          <t>https://www.ltedu.com.tw/web/prodDetail.aspx?ID=9724</t>
        </is>
      </c>
      <c r="K272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3">
      <c r="A273" s="4" t="inlineStr">
        <is>
          <t>龍騰</t>
        </is>
      </c>
      <c r="B273" s="4" t="inlineStr">
        <is>
          <t>高中</t>
        </is>
      </c>
      <c r="C273" s="4" t="inlineStr">
        <is>
          <t>10</t>
        </is>
      </c>
      <c r="D273" s="4" t="inlineStr">
        <is>
          <t>生物（全）</t>
        </is>
      </c>
      <c r="E273" s="4" t="inlineStr">
        <is>
          <t>生物</t>
        </is>
      </c>
      <c r="F273" s="4" t="inlineStr">
        <is>
          <t>第3章 演化與多樣的生物</t>
        </is>
      </c>
      <c r="G273" s="4" t="inlineStr">
        <is>
          <t>3-1 生物的演化；3-2 演化證據與生物分類</t>
        </is>
      </c>
      <c r="H273" s="4" t="n"/>
      <c r="I273" s="4" t="inlineStr">
        <is>
          <t>出版商頁面</t>
        </is>
      </c>
      <c r="J273" s="5" t="inlineStr">
        <is>
          <t>https://www.ltedu.com.tw/web/prodDetail.aspx?ID=9724</t>
        </is>
      </c>
      <c r="K273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4">
      <c r="A274" s="4" t="inlineStr">
        <is>
          <t>龍騰</t>
        </is>
      </c>
      <c r="B274" s="4" t="inlineStr">
        <is>
          <t>高中</t>
        </is>
      </c>
      <c r="C274" s="4" t="inlineStr">
        <is>
          <t>12</t>
        </is>
      </c>
      <c r="D274" s="4" t="inlineStr">
        <is>
          <t>選修生物IV（全）生態、演化及生物多樣性</t>
        </is>
      </c>
      <c r="E274" s="4" t="inlineStr">
        <is>
          <t>生物</t>
        </is>
      </c>
      <c r="F274" s="4" t="inlineStr">
        <is>
          <t>第1章 生物的演化</t>
        </is>
      </c>
      <c r="G274" s="4" t="inlineStr">
        <is>
          <t>1-1 遺傳變異與演化；1-2 族群遺傳；1-3 現代演化理論的發展；1-4 物種的形成</t>
        </is>
      </c>
      <c r="H274" s="4" t="n"/>
      <c r="I274" s="4" t="inlineStr">
        <is>
          <t>出版商頁面</t>
        </is>
      </c>
      <c r="J274" s="5" t="inlineStr">
        <is>
          <t>https://www.ltedu.com.tw/web/prodDetail.aspx?ID=10308</t>
        </is>
      </c>
      <c r="K274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5">
      <c r="A275" s="4" t="inlineStr">
        <is>
          <t>龍騰</t>
        </is>
      </c>
      <c r="B275" s="4" t="inlineStr">
        <is>
          <t>高中</t>
        </is>
      </c>
      <c r="C275" s="4" t="inlineStr">
        <is>
          <t>12</t>
        </is>
      </c>
      <c r="D275" s="4" t="inlineStr">
        <is>
          <t>選修生物IV（全）生態、演化及生物多樣性</t>
        </is>
      </c>
      <c r="E275" s="4" t="inlineStr">
        <is>
          <t>生物</t>
        </is>
      </c>
      <c r="F275" s="4" t="inlineStr">
        <is>
          <t>第2章 生物與環境</t>
        </is>
      </c>
      <c r="G275" s="4" t="inlineStr">
        <is>
          <t>2-1 生態學的研究內容；2-2 族群；2-3 群集；2-4 生態系；2-5 多樣的生態系</t>
        </is>
      </c>
      <c r="H275" s="4" t="n"/>
      <c r="I275" s="4" t="inlineStr">
        <is>
          <t>出版商頁面</t>
        </is>
      </c>
      <c r="J275" s="5" t="inlineStr">
        <is>
          <t>https://www.ltedu.com.tw/web/prodDetail.aspx?ID=10308</t>
        </is>
      </c>
      <c r="K275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6">
      <c r="A276" s="4" t="inlineStr">
        <is>
          <t>龍騰</t>
        </is>
      </c>
      <c r="B276" s="4" t="inlineStr">
        <is>
          <t>高中</t>
        </is>
      </c>
      <c r="C276" s="4" t="inlineStr">
        <is>
          <t>12</t>
        </is>
      </c>
      <c r="D276" s="4" t="inlineStr">
        <is>
          <t>選修生物IV（全）生態、演化及生物多樣性</t>
        </is>
      </c>
      <c r="E276" s="4" t="inlineStr">
        <is>
          <t>生物</t>
        </is>
      </c>
      <c r="F276" s="4" t="inlineStr">
        <is>
          <t>第3章 生物多樣性與保育</t>
        </is>
      </c>
      <c r="G276" s="4" t="inlineStr">
        <is>
          <t>3-1 生物多樣性；3-2 人類與生態系</t>
        </is>
      </c>
      <c r="H276" s="4" t="n"/>
      <c r="I276" s="4" t="inlineStr">
        <is>
          <t>出版商頁面</t>
        </is>
      </c>
      <c r="J276" s="5" t="inlineStr">
        <is>
          <t>https://www.ltedu.com.tw/web/prodDetail.aspx?ID=10308</t>
        </is>
      </c>
      <c r="K276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7">
      <c r="A277" s="6" t="inlineStr">
        <is>
          <t>龍騰</t>
        </is>
      </c>
      <c r="B277" s="6" t="inlineStr">
        <is>
          <t>高中</t>
        </is>
      </c>
      <c r="C277" s="6" t="n"/>
      <c r="D277" s="6" t="inlineStr">
        <is>
          <t>基礎生物（二）</t>
        </is>
      </c>
      <c r="E277" s="6" t="inlineStr">
        <is>
          <t>生物</t>
        </is>
      </c>
      <c r="F277" s="6" t="n"/>
      <c r="G277" s="6" t="n"/>
      <c r="H277" s="6" t="n"/>
      <c r="I277" s="6" t="inlineStr">
        <is>
          <t>其他</t>
        </is>
      </c>
      <c r="J277" s="6" t="n"/>
      <c r="K277" s="6" t="inlineStr">
        <is>
          <t>未查到</t>
        </is>
      </c>
    </row>
    <row r="278">
      <c r="A278" s="6" t="inlineStr">
        <is>
          <t>龍騰</t>
        </is>
      </c>
      <c r="B278" s="6" t="inlineStr">
        <is>
          <t>高中</t>
        </is>
      </c>
      <c r="C278" s="6" t="n"/>
      <c r="D278" s="6" t="inlineStr">
        <is>
          <t>選修生物III（全）動物體的構造與功能</t>
        </is>
      </c>
      <c r="E278" s="6" t="inlineStr">
        <is>
          <t>生物</t>
        </is>
      </c>
      <c r="F278" s="6" t="n"/>
      <c r="G278" s="6" t="n"/>
      <c r="H278" s="6" t="n"/>
      <c r="I278" s="6" t="inlineStr">
        <is>
          <t>出版商頁面</t>
        </is>
      </c>
      <c r="J278" s="7" t="inlineStr">
        <is>
          <t>https://www.ltedu.com.tw/web/prodDetail.aspx?ID=10118</t>
        </is>
      </c>
      <c r="K278" s="6" t="inlineStr">
        <is>
          <t>未查到；龍騰官網有此書產品頁，但搜尋額度用完前沒有取得目錄</t>
        </is>
      </c>
    </row>
    <row r="279">
      <c r="A279" s="4" t="inlineStr">
        <is>
          <t>龍騰</t>
        </is>
      </c>
      <c r="B279" s="4" t="inlineStr">
        <is>
          <t>高中</t>
        </is>
      </c>
      <c r="C279" s="4" t="n"/>
      <c r="D279" s="4" t="inlineStr">
        <is>
          <t>選修生物II（全）生命的起源與植物體的構造與功能</t>
        </is>
      </c>
      <c r="E279" s="4" t="inlineStr">
        <is>
          <t>生物</t>
        </is>
      </c>
      <c r="F279" s="4" t="inlineStr">
        <is>
          <t>第1章 生命的起源</t>
        </is>
      </c>
      <c r="G279" s="4" t="inlineStr">
        <is>
          <t>生物起源的主要假說；生物起源的過程；生命型式的演化歷程（轉述）</t>
        </is>
      </c>
      <c r="H279" s="4" t="n"/>
      <c r="I279" s="4" t="inlineStr">
        <is>
          <t>出版商頁面</t>
        </is>
      </c>
      <c r="J279" s="5" t="inlineStr">
        <is>
          <t>https://www.ltedu.com.tw/web/prodDetail.aspx?ID=9984</t>
        </is>
      </c>
      <c r="K279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0">
      <c r="A280" s="4" t="inlineStr">
        <is>
          <t>龍騰</t>
        </is>
      </c>
      <c r="B280" s="4" t="inlineStr">
        <is>
          <t>高中</t>
        </is>
      </c>
      <c r="C280" s="4" t="n"/>
      <c r="D280" s="4" t="inlineStr">
        <is>
          <t>選修生物II（全）生命的起源與植物體的構造與功能</t>
        </is>
      </c>
      <c r="E280" s="4" t="inlineStr">
        <is>
          <t>生物</t>
        </is>
      </c>
      <c r="F280" s="4" t="inlineStr">
        <is>
          <t>第2章 植物體的形態、構造與功能（轉述）</t>
        </is>
      </c>
      <c r="G280" s="4" t="inlineStr">
        <is>
          <t>植物體的組成層次；營養器官的形態、構造與功能（轉述）</t>
        </is>
      </c>
      <c r="H280" s="4" t="n"/>
      <c r="I280" s="4" t="inlineStr">
        <is>
          <t>出版商頁面</t>
        </is>
      </c>
      <c r="J280" s="5" t="inlineStr">
        <is>
          <t>https://www.ltedu.com.tw/web/prodDetail.aspx?ID=9984</t>
        </is>
      </c>
      <c r="K280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1">
      <c r="A281" s="4" t="inlineStr">
        <is>
          <t>龍騰</t>
        </is>
      </c>
      <c r="B281" s="4" t="inlineStr">
        <is>
          <t>高中</t>
        </is>
      </c>
      <c r="C281" s="4" t="n"/>
      <c r="D281" s="4" t="inlineStr">
        <is>
          <t>選修生物II（全）生命的起源與植物體的構造與功能</t>
        </is>
      </c>
      <c r="E281" s="4" t="inlineStr">
        <is>
          <t>生物</t>
        </is>
      </c>
      <c r="F281" s="4" t="inlineStr">
        <is>
          <t>第3章 植物體的物質吸收、合成與運輸（轉述）</t>
        </is>
      </c>
      <c r="G281" s="4" t="inlineStr">
        <is>
          <t>水和礦物質的吸收與運輸；光合作用；有機養分的運輸（轉述）</t>
        </is>
      </c>
      <c r="H281" s="4" t="n"/>
      <c r="I281" s="4" t="inlineStr">
        <is>
          <t>出版商頁面</t>
        </is>
      </c>
      <c r="J281" s="5" t="inlineStr">
        <is>
          <t>https://www.ltedu.com.tw/web/prodDetail.aspx?ID=9984</t>
        </is>
      </c>
      <c r="K281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2">
      <c r="A282" s="4" t="inlineStr">
        <is>
          <t>龍騰</t>
        </is>
      </c>
      <c r="B282" s="4" t="inlineStr">
        <is>
          <t>高中</t>
        </is>
      </c>
      <c r="C282" s="4" t="n"/>
      <c r="D282" s="4" t="inlineStr">
        <is>
          <t>選修生物I（全）細胞與遺傳</t>
        </is>
      </c>
      <c r="E282" s="4" t="inlineStr">
        <is>
          <t>生物</t>
        </is>
      </c>
      <c r="F282" s="4" t="inlineStr">
        <is>
          <t>第1章 細胞的特性</t>
        </is>
      </c>
      <c r="G282" s="4" t="inlineStr">
        <is>
          <t>分子組成；細胞構造與功能；細胞生命歷程（轉述）</t>
        </is>
      </c>
      <c r="H282" s="4" t="n"/>
      <c r="I282" s="4" t="inlineStr">
        <is>
          <t>出版商頁面</t>
        </is>
      </c>
      <c r="J282" s="5" t="inlineStr">
        <is>
          <t>https://www.ltedu.com.tw/web/prodDetail.aspx?ID=9990</t>
        </is>
      </c>
      <c r="K282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3">
      <c r="A283" s="4" t="inlineStr">
        <is>
          <t>龍騰</t>
        </is>
      </c>
      <c r="B283" s="4" t="inlineStr">
        <is>
          <t>高中</t>
        </is>
      </c>
      <c r="C283" s="4" t="n"/>
      <c r="D283" s="4" t="inlineStr">
        <is>
          <t>選修生物I（全）細胞與遺傳</t>
        </is>
      </c>
      <c r="E283" s="4" t="inlineStr">
        <is>
          <t>生物</t>
        </is>
      </c>
      <c r="F283" s="4" t="inlineStr">
        <is>
          <t>第2章 細胞的代謝與能量（轉述）</t>
        </is>
      </c>
      <c r="G283" s="4" t="inlineStr">
        <is>
          <t>代謝作用；呼吸作用與能量的流轉使用（轉述）</t>
        </is>
      </c>
      <c r="H283" s="4" t="n"/>
      <c r="I283" s="4" t="inlineStr">
        <is>
          <t>出版商頁面</t>
        </is>
      </c>
      <c r="J283" s="5" t="inlineStr">
        <is>
          <t>https://www.ltedu.com.tw/web/prodDetail.aspx?ID=9990</t>
        </is>
      </c>
      <c r="K283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4">
      <c r="A284" s="4" t="inlineStr">
        <is>
          <t>龍騰</t>
        </is>
      </c>
      <c r="B284" s="4" t="inlineStr">
        <is>
          <t>高中</t>
        </is>
      </c>
      <c r="C284" s="4" t="n"/>
      <c r="D284" s="4" t="inlineStr">
        <is>
          <t>選修生物I（全）細胞與遺傳</t>
        </is>
      </c>
      <c r="E284" s="4" t="inlineStr">
        <is>
          <t>生物</t>
        </is>
      </c>
      <c r="F284" s="4" t="inlineStr">
        <is>
          <t>第3章 從染色體到DNA</t>
        </is>
      </c>
      <c r="G284" s="4" t="inlineStr">
        <is>
          <t>遺傳的染色體學說驗證；遺傳訊息分子；DNA結構（轉述）</t>
        </is>
      </c>
      <c r="H284" s="4" t="n"/>
      <c r="I284" s="4" t="inlineStr">
        <is>
          <t>出版商頁面</t>
        </is>
      </c>
      <c r="J284" s="5" t="inlineStr">
        <is>
          <t>https://www.ltedu.com.tw/web/prodDetail.aspx?ID=9990</t>
        </is>
      </c>
      <c r="K284" s="4" t="inlineStr">
        <is>
          <t>龍騰官網產品頁「選修生物I(全) 細胞與遺傳」（書號65003）；頁面未標學年度；搜尋摘要沒有逐字列出節名，以下節名是摘要的轉述，未附節號，請以原頁核對；章名「從染色體到DNA」見於學習卷與教學講義，官網課本頁寫法可能略有不同</t>
        </is>
      </c>
    </row>
    <row r="285">
      <c r="A285" s="4" t="inlineStr">
        <is>
          <t>龍騰</t>
        </is>
      </c>
      <c r="B285" s="4" t="inlineStr">
        <is>
          <t>高中</t>
        </is>
      </c>
      <c r="C285" s="4" t="n"/>
      <c r="D285" s="4" t="inlineStr">
        <is>
          <t>選修生物I（全）細胞與遺傳</t>
        </is>
      </c>
      <c r="E285" s="4" t="inlineStr">
        <is>
          <t>生物</t>
        </is>
      </c>
      <c r="F285" s="4" t="inlineStr">
        <is>
          <t>第4章 DNA與生物科技</t>
        </is>
      </c>
      <c r="G285" s="4" t="inlineStr">
        <is>
          <t>DNA複製；基因表現；基因表現調控；遺傳變異；生物科技（轉述）</t>
        </is>
      </c>
      <c r="H285" s="4" t="n"/>
      <c r="I285" s="4" t="inlineStr">
        <is>
          <t>出版商頁面</t>
        </is>
      </c>
      <c r="J285" s="5" t="inlineStr">
        <is>
          <t>https://www.ltedu.com.tw/web/prodDetail.aspx?ID=9990</t>
        </is>
      </c>
      <c r="K285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6">
      <c r="A286" s="4" t="inlineStr">
        <is>
          <t>龍騰</t>
        </is>
      </c>
      <c r="B286" s="4" t="inlineStr">
        <is>
          <t>高中</t>
        </is>
      </c>
      <c r="C286" s="4" t="inlineStr">
        <is>
          <t>11</t>
        </is>
      </c>
      <c r="D286" s="4" t="inlineStr">
        <is>
          <t>選修物理I</t>
        </is>
      </c>
      <c r="E286" s="4" t="inlineStr">
        <is>
          <t>物理</t>
        </is>
      </c>
      <c r="F286" s="4" t="inlineStr">
        <is>
          <t>測量與不確定度</t>
        </is>
      </c>
      <c r="G286" s="4" t="n"/>
      <c r="H286" s="4" t="inlineStr">
        <is>
          <t>112</t>
        </is>
      </c>
      <c r="I286" s="4" t="inlineStr">
        <is>
          <t>學校課程計畫</t>
        </is>
      </c>
      <c r="J286" s="5" t="inlineStr">
        <is>
          <t>https://oldcsjh.kl.edu.tw/docs/file/421/112_1_%E9%AB%98%E4%BA%8C%E9%81%B8%E4%BF%AE%E7%89%A9%E7%90%86%E6%95%99%E5%AD%B8%E8%A8%88%E7%95%AB.docx</t>
        </is>
      </c>
      <c r="K286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7">
      <c r="A287" s="4" t="inlineStr">
        <is>
          <t>龍騰</t>
        </is>
      </c>
      <c r="B287" s="4" t="inlineStr">
        <is>
          <t>高中</t>
        </is>
      </c>
      <c r="C287" s="4" t="inlineStr">
        <is>
          <t>11</t>
        </is>
      </c>
      <c r="D287" s="4" t="inlineStr">
        <is>
          <t>選修物理I</t>
        </is>
      </c>
      <c r="E287" s="4" t="inlineStr">
        <is>
          <t>物理</t>
        </is>
      </c>
      <c r="F287" s="4" t="inlineStr">
        <is>
          <t>直線運動</t>
        </is>
      </c>
      <c r="G287" s="4" t="n"/>
      <c r="H287" s="4" t="inlineStr">
        <is>
          <t>112</t>
        </is>
      </c>
      <c r="I287" s="4" t="inlineStr">
        <is>
          <t>學校課程計畫</t>
        </is>
      </c>
      <c r="J287" s="5" t="inlineStr">
        <is>
          <t>https://oldcsjh.kl.edu.tw/docs/file/421/112_1_%E9%AB%98%E4%BA%8C%E9%81%B8%E4%BF%AE%E7%89%A9%E7%90%86%E6%95%99%E5%AD%B8%E8%A8%88%E7%95%AB.docx</t>
        </is>
      </c>
      <c r="K287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8">
      <c r="A288" s="4" t="inlineStr">
        <is>
          <t>龍騰</t>
        </is>
      </c>
      <c r="B288" s="4" t="inlineStr">
        <is>
          <t>高中</t>
        </is>
      </c>
      <c r="C288" s="4" t="inlineStr">
        <is>
          <t>11</t>
        </is>
      </c>
      <c r="D288" s="4" t="inlineStr">
        <is>
          <t>選修物理I</t>
        </is>
      </c>
      <c r="E288" s="4" t="inlineStr">
        <is>
          <t>物理</t>
        </is>
      </c>
      <c r="F288" s="4" t="inlineStr">
        <is>
          <t>平面運動</t>
        </is>
      </c>
      <c r="G288" s="4" t="n"/>
      <c r="H288" s="4" t="inlineStr">
        <is>
          <t>112</t>
        </is>
      </c>
      <c r="I288" s="4" t="inlineStr">
        <is>
          <t>學校課程計畫</t>
        </is>
      </c>
      <c r="J288" s="5" t="inlineStr">
        <is>
          <t>https://oldcsjh.kl.edu.tw/docs/file/421/112_1_%E9%AB%98%E4%BA%8C%E9%81%B8%E4%BF%AE%E7%89%A9%E7%90%86%E6%95%99%E5%AD%B8%E8%A8%88%E7%95%AB.docx</t>
        </is>
      </c>
      <c r="K288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9">
      <c r="A289" s="4" t="inlineStr">
        <is>
          <t>龍騰</t>
        </is>
      </c>
      <c r="B289" s="4" t="inlineStr">
        <is>
          <t>高中</t>
        </is>
      </c>
      <c r="C289" s="4" t="inlineStr">
        <is>
          <t>11</t>
        </is>
      </c>
      <c r="D289" s="4" t="inlineStr">
        <is>
          <t>選修物理I</t>
        </is>
      </c>
      <c r="E289" s="4" t="inlineStr">
        <is>
          <t>物理</t>
        </is>
      </c>
      <c r="F289" s="4" t="inlineStr">
        <is>
          <t>牛頓運動定律</t>
        </is>
      </c>
      <c r="G289" s="4" t="n"/>
      <c r="H289" s="4" t="inlineStr">
        <is>
          <t>112</t>
        </is>
      </c>
      <c r="I289" s="4" t="inlineStr">
        <is>
          <t>學校課程計畫</t>
        </is>
      </c>
      <c r="J289" s="5" t="inlineStr">
        <is>
          <t>https://oldcsjh.kl.edu.tw/docs/file/421/112_1_%E9%AB%98%E4%BA%8C%E9%81%B8%E4%BF%AE%E7%89%A9%E7%90%86%E6%95%99%E5%AD%B8%E8%A8%88%E7%95%AB.docx</t>
        </is>
      </c>
      <c r="K289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0">
      <c r="A290" s="4" t="inlineStr">
        <is>
          <t>龍騰</t>
        </is>
      </c>
      <c r="B290" s="4" t="inlineStr">
        <is>
          <t>高中</t>
        </is>
      </c>
      <c r="C290" s="4" t="inlineStr">
        <is>
          <t>11</t>
        </is>
      </c>
      <c r="D290" s="4" t="inlineStr">
        <is>
          <t>選修物理I</t>
        </is>
      </c>
      <c r="E290" s="4" t="inlineStr">
        <is>
          <t>物理</t>
        </is>
      </c>
      <c r="F290" s="4" t="inlineStr">
        <is>
          <t>週期運動</t>
        </is>
      </c>
      <c r="G290" s="4" t="n"/>
      <c r="H290" s="4" t="inlineStr">
        <is>
          <t>112</t>
        </is>
      </c>
      <c r="I290" s="4" t="inlineStr">
        <is>
          <t>學校課程計畫</t>
        </is>
      </c>
      <c r="J290" s="5" t="inlineStr">
        <is>
          <t>https://oldcsjh.kl.edu.tw/docs/file/421/112_1_%E9%AB%98%E4%BA%8C%E9%81%B8%E4%BF%AE%E7%89%A9%E7%90%86%E6%95%99%E5%AD%B8%E8%A8%88%E7%95%AB.docx</t>
        </is>
      </c>
      <c r="K290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1">
      <c r="A291" s="4" t="inlineStr">
        <is>
          <t>龍騰</t>
        </is>
      </c>
      <c r="B291" s="4" t="inlineStr">
        <is>
          <t>高中</t>
        </is>
      </c>
      <c r="C291" s="4" t="inlineStr">
        <is>
          <t>11</t>
        </is>
      </c>
      <c r="D291" s="4" t="inlineStr">
        <is>
          <t>選修物理I</t>
        </is>
      </c>
      <c r="E291" s="4" t="inlineStr">
        <is>
          <t>物理</t>
        </is>
      </c>
      <c r="F291" s="4" t="inlineStr">
        <is>
          <t>萬有引力</t>
        </is>
      </c>
      <c r="G291" s="4" t="n"/>
      <c r="H291" s="4" t="inlineStr">
        <is>
          <t>112</t>
        </is>
      </c>
      <c r="I291" s="4" t="inlineStr">
        <is>
          <t>學校課程計畫</t>
        </is>
      </c>
      <c r="J291" s="5" t="inlineStr">
        <is>
          <t>https://oldcsjh.kl.edu.tw/docs/file/421/112_1_%E9%AB%98%E4%BA%8C%E9%81%B8%E4%BF%AE%E7%89%A9%E7%90%86%E6%95%99%E5%AD%B8%E8%A8%88%E7%95%AB.docx</t>
        </is>
      </c>
      <c r="K291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2">
      <c r="A292" s="4" t="inlineStr">
        <is>
          <t>龍騰</t>
        </is>
      </c>
      <c r="B292" s="4" t="inlineStr">
        <is>
          <t>高中</t>
        </is>
      </c>
      <c r="C292" s="4" t="inlineStr">
        <is>
          <t>11</t>
        </is>
      </c>
      <c r="D292" s="4" t="inlineStr">
        <is>
          <t>選修物理I</t>
        </is>
      </c>
      <c r="E292" s="4" t="inlineStr">
        <is>
          <t>物理</t>
        </is>
      </c>
      <c r="F292" s="4" t="inlineStr">
        <is>
          <t>（佐證）直線運動、週期性運動、萬有引力、測量與不確定度（實驗單元）</t>
        </is>
      </c>
      <c r="G292" s="4" t="n"/>
      <c r="H292" s="4" t="inlineStr">
        <is>
          <t>113</t>
        </is>
      </c>
      <c r="I292" s="4" t="inlineStr">
        <is>
          <t>學校課程計畫</t>
        </is>
      </c>
      <c r="J292" s="5" t="inlineStr">
        <is>
          <t>https://www.hs.ntnu.edu.tw/static/webroot/G162269151451663/application/NW172662319529837.pdf</t>
        </is>
      </c>
      <c r="K292" s="4" t="inlineStr">
        <is>
          <t>師大附中113學年度第1學期選修物理第一冊進度表，採龍騰版；僅見單元名稱，沒有章號；章節文字取自搜尋引擎對來源內容的摘要，請以原檔核對</t>
        </is>
      </c>
    </row>
    <row r="293">
      <c r="A293" s="6" t="inlineStr">
        <is>
          <t>龍騰</t>
        </is>
      </c>
      <c r="B293" s="6" t="inlineStr">
        <is>
          <t>高中</t>
        </is>
      </c>
      <c r="C293" s="6" t="inlineStr">
        <is>
          <t>11</t>
        </is>
      </c>
      <c r="D293" s="6" t="inlineStr">
        <is>
          <t>選修物理II</t>
        </is>
      </c>
      <c r="E293" s="6" t="inlineStr">
        <is>
          <t>物理</t>
        </is>
      </c>
      <c r="F293" s="6" t="n"/>
      <c r="G293" s="6" t="n"/>
      <c r="H293" s="6" t="n"/>
      <c r="I293" s="6" t="inlineStr">
        <is>
          <t>學校課程計畫</t>
        </is>
      </c>
      <c r="J293" s="7" t="inlineStr">
        <is>
          <t>https://schoolday.dcsh.tp.edu.tw/sites/schoolday/files/teach_plan/113-1/%E5%BB%96%E5%AE%87%E6%96%B0-%E5%8A%9B%E5%AD%B8%E4%B8%80-206%2C%20209.docx</t>
        </is>
      </c>
      <c r="K293" s="6" t="inlineStr">
        <is>
          <t>未查到章節；大直高中113-1只寫「採用龍騰版選修物理(I.II)…包含力學與熱學」，未列單元</t>
        </is>
      </c>
    </row>
    <row r="294">
      <c r="A294" s="4" t="inlineStr">
        <is>
          <t>龍騰</t>
        </is>
      </c>
      <c r="B294" s="4" t="inlineStr">
        <is>
          <t>高中</t>
        </is>
      </c>
      <c r="C294" s="4" t="inlineStr">
        <is>
          <t>12</t>
        </is>
      </c>
      <c r="D294" s="4" t="inlineStr">
        <is>
          <t>選修物理III</t>
        </is>
      </c>
      <c r="E294" s="4" t="inlineStr">
        <is>
          <t>物理</t>
        </is>
      </c>
      <c r="F294" s="4" t="inlineStr">
        <is>
          <t>波動</t>
        </is>
      </c>
      <c r="G294" s="4" t="n"/>
      <c r="H294" s="4" t="inlineStr">
        <is>
          <t>110</t>
        </is>
      </c>
      <c r="I294" s="4" t="inlineStr">
        <is>
          <t>學校課程計畫</t>
        </is>
      </c>
      <c r="J294" s="5" t="inlineStr">
        <is>
          <t>https://schoolday.dcsh.tp.edu.tw/sites/schoolday/files/teach_plan/110-2/h271-%E7%89%A9%E7%90%86-306.docx</t>
        </is>
      </c>
      <c r="K294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5">
      <c r="A295" s="4" t="inlineStr">
        <is>
          <t>龍騰</t>
        </is>
      </c>
      <c r="B295" s="4" t="inlineStr">
        <is>
          <t>高中</t>
        </is>
      </c>
      <c r="C295" s="4" t="inlineStr">
        <is>
          <t>12</t>
        </is>
      </c>
      <c r="D295" s="4" t="inlineStr">
        <is>
          <t>選修物理III</t>
        </is>
      </c>
      <c r="E295" s="4" t="inlineStr">
        <is>
          <t>物理</t>
        </is>
      </c>
      <c r="F295" s="4" t="inlineStr">
        <is>
          <t>聲波</t>
        </is>
      </c>
      <c r="G295" s="4" t="n"/>
      <c r="H295" s="4" t="inlineStr">
        <is>
          <t>110</t>
        </is>
      </c>
      <c r="I295" s="4" t="inlineStr">
        <is>
          <t>學校課程計畫</t>
        </is>
      </c>
      <c r="J295" s="5" t="inlineStr">
        <is>
          <t>https://schoolday.dcsh.tp.edu.tw/sites/schoolday/files/teach_plan/110-2/h271-%E7%89%A9%E7%90%86-306.docx</t>
        </is>
      </c>
      <c r="K295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6">
      <c r="A296" s="4" t="inlineStr">
        <is>
          <t>龍騰</t>
        </is>
      </c>
      <c r="B296" s="4" t="inlineStr">
        <is>
          <t>高中</t>
        </is>
      </c>
      <c r="C296" s="4" t="inlineStr">
        <is>
          <t>12</t>
        </is>
      </c>
      <c r="D296" s="4" t="inlineStr">
        <is>
          <t>選修物理III</t>
        </is>
      </c>
      <c r="E296" s="4" t="inlineStr">
        <is>
          <t>物理</t>
        </is>
      </c>
      <c r="F296" s="4" t="inlineStr">
        <is>
          <t>幾何光學</t>
        </is>
      </c>
      <c r="G296" s="4" t="n"/>
      <c r="H296" s="4" t="inlineStr">
        <is>
          <t>110</t>
        </is>
      </c>
      <c r="I296" s="4" t="inlineStr">
        <is>
          <t>學校課程計畫</t>
        </is>
      </c>
      <c r="J296" s="5" t="inlineStr">
        <is>
          <t>https://schoolday.dcsh.tp.edu.tw/sites/schoolday/files/teach_plan/110-2/h271-%E7%89%A9%E7%90%86-306.docx</t>
        </is>
      </c>
      <c r="K296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7">
      <c r="A297" s="4" t="inlineStr">
        <is>
          <t>龍騰</t>
        </is>
      </c>
      <c r="B297" s="4" t="inlineStr">
        <is>
          <t>高中</t>
        </is>
      </c>
      <c r="C297" s="4" t="inlineStr">
        <is>
          <t>12</t>
        </is>
      </c>
      <c r="D297" s="4" t="inlineStr">
        <is>
          <t>選修物理III</t>
        </is>
      </c>
      <c r="E297" s="4" t="inlineStr">
        <is>
          <t>物理</t>
        </is>
      </c>
      <c r="F297" s="4" t="inlineStr">
        <is>
          <t>物理光學</t>
        </is>
      </c>
      <c r="G297" s="4" t="n"/>
      <c r="H297" s="4" t="inlineStr">
        <is>
          <t>110</t>
        </is>
      </c>
      <c r="I297" s="4" t="inlineStr">
        <is>
          <t>學校課程計畫</t>
        </is>
      </c>
      <c r="J297" s="5" t="inlineStr">
        <is>
          <t>https://schoolday.dcsh.tp.edu.tw/sites/schoolday/files/teach_plan/110-2/h271-%E7%89%A9%E7%90%86-306.docx</t>
        </is>
      </c>
      <c r="K297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8">
      <c r="A298" s="4" t="inlineStr">
        <is>
          <t>龍騰</t>
        </is>
      </c>
      <c r="B298" s="4" t="inlineStr">
        <is>
          <t>高中</t>
        </is>
      </c>
      <c r="C298" s="4" t="inlineStr">
        <is>
          <t>12</t>
        </is>
      </c>
      <c r="D298" s="4" t="inlineStr">
        <is>
          <t>選修物理IV</t>
        </is>
      </c>
      <c r="E298" s="4" t="inlineStr">
        <is>
          <t>物理</t>
        </is>
      </c>
      <c r="F298" s="4" t="inlineStr">
        <is>
          <t>靜電學</t>
        </is>
      </c>
      <c r="G298" s="4" t="n"/>
      <c r="H298" s="4" t="inlineStr">
        <is>
          <t>113</t>
        </is>
      </c>
      <c r="I298" s="4" t="inlineStr">
        <is>
          <t>學校課程計畫</t>
        </is>
      </c>
      <c r="J298" s="5" t="inlineStr">
        <is>
          <t>https://schoolday.dcsh.tp.edu.tw/sites/schoolday/files/teach_plan/113-1/%E9%BB%83%E4%BF%A1%E9%9B%84-%E7%89%A9%E7%90%86-310.docx</t>
        </is>
      </c>
      <c r="K298" s="4" t="inlineStr">
        <is>
          <t>大直高中113學年度第1學期（黃信雄，H310）：採用龍騰版選修物理(III.IV)，內容包含波動、聲波、幾何光學、物理光學、靜電學。來源把III、IV合併列出；因另一份來源寫III共4章（波動至物理光學），推定靜電學屬IV。IV其餘章節未查到；章節文字取自搜尋引擎對來源內容的摘要，請以原檔核對</t>
        </is>
      </c>
    </row>
    <row r="299">
      <c r="A299" s="6" t="inlineStr">
        <is>
          <t>龍騰</t>
        </is>
      </c>
      <c r="B299" s="6" t="inlineStr">
        <is>
          <t>高中</t>
        </is>
      </c>
      <c r="C299" s="6" t="n"/>
      <c r="D299" s="6" t="inlineStr">
        <is>
          <t>基礎物理（一）</t>
        </is>
      </c>
      <c r="E299" s="6" t="inlineStr">
        <is>
          <t>物理</t>
        </is>
      </c>
      <c r="F299" s="6" t="n"/>
      <c r="G299" s="6" t="n"/>
      <c r="H299" s="6" t="n"/>
      <c r="I299" s="6" t="inlineStr">
        <is>
          <t>其他</t>
        </is>
      </c>
      <c r="J299" s="6" t="n"/>
      <c r="K299" s="6" t="inlineStr">
        <is>
          <t>未查到；只找到大直高中102學年度（99課綱舊版）龍騰版基礎物理九章的資料，不是現行版，因此沒有採用</t>
        </is>
      </c>
    </row>
    <row r="300">
      <c r="A300" s="6" t="inlineStr">
        <is>
          <t>龍騰</t>
        </is>
      </c>
      <c r="B300" s="6" t="inlineStr">
        <is>
          <t>高中</t>
        </is>
      </c>
      <c r="C300" s="6" t="n"/>
      <c r="D300" s="6" t="inlineStr">
        <is>
          <t>選修物理V</t>
        </is>
      </c>
      <c r="E300" s="6" t="inlineStr">
        <is>
          <t>物理</t>
        </is>
      </c>
      <c r="F300" s="6" t="n"/>
      <c r="G300" s="6" t="n"/>
      <c r="H300" s="6" t="n"/>
      <c r="I300" s="6" t="inlineStr">
        <is>
          <t>其他</t>
        </is>
      </c>
      <c r="J300" s="6" t="n"/>
      <c r="K300" s="6" t="inlineStr">
        <is>
          <t>未查到</t>
        </is>
      </c>
    </row>
    <row r="301">
      <c r="A301" s="4" t="inlineStr">
        <is>
          <t>龍騰</t>
        </is>
      </c>
      <c r="B301" s="4" t="inlineStr">
        <is>
          <t>高中</t>
        </is>
      </c>
      <c r="C301" s="4" t="inlineStr">
        <is>
          <t>10</t>
        </is>
      </c>
      <c r="D301" s="4" t="inlineStr">
        <is>
          <t>化學（全）</t>
        </is>
      </c>
      <c r="E301" s="4" t="inlineStr">
        <is>
          <t>化學</t>
        </is>
      </c>
      <c r="F301" s="4" t="inlineStr">
        <is>
          <t>第1章（章名未見）</t>
        </is>
      </c>
      <c r="G301" s="4" t="inlineStr">
        <is>
          <t>1-1 物質的分類；1-2 原子與分子；1-3 原子量與莫耳數；1-4 原子結構與元素週期表</t>
        </is>
      </c>
      <c r="H301" s="4" t="inlineStr">
        <is>
          <t>113</t>
        </is>
      </c>
      <c r="I301" s="4" t="inlineStr">
        <is>
          <t>學校課程計畫</t>
        </is>
      </c>
      <c r="J301" s="5" t="inlineStr">
        <is>
          <t>https://www.hs.ntnu.edu.tw/static/webroot/G162269151451663/application/NW172662311667323.pdf</t>
        </is>
      </c>
      <c r="K301" s="4" t="inlineStr">
        <is>
          <t>師大附中113學年度第1學期高一進度表，課程名稱：化學(全)，教科書版本：龍騰；章名未見；摘要只到第7週；未查到115/114學年度資料；章節文字取自搜尋引擎對來源內容的摘要，請以原檔核對</t>
        </is>
      </c>
    </row>
    <row r="302">
      <c r="A302" s="4" t="inlineStr">
        <is>
          <t>龍騰</t>
        </is>
      </c>
      <c r="B302" s="4" t="inlineStr">
        <is>
          <t>高中</t>
        </is>
      </c>
      <c r="C302" s="4" t="inlineStr">
        <is>
          <t>10</t>
        </is>
      </c>
      <c r="D302" s="4" t="inlineStr">
        <is>
          <t>化學（全）</t>
        </is>
      </c>
      <c r="E302" s="4" t="inlineStr">
        <is>
          <t>化學</t>
        </is>
      </c>
      <c r="F302" s="4" t="inlineStr">
        <is>
          <t>第2章（章名未見）</t>
        </is>
      </c>
      <c r="G302" s="4" t="inlineStr">
        <is>
          <t>2-1 化學鍵；2-3 化學反應與化學計量</t>
        </is>
      </c>
      <c r="H302" s="4" t="inlineStr">
        <is>
          <t>113</t>
        </is>
      </c>
      <c r="I302" s="4" t="inlineStr">
        <is>
          <t>學校課程計畫</t>
        </is>
      </c>
      <c r="J302" s="5" t="inlineStr">
        <is>
          <t>https://www.hs.ntnu.edu.tw/static/webroot/G162269151451663/application/NW172662311667323.pdf</t>
        </is>
      </c>
      <c r="K302" s="4" t="inlineStr">
        <is>
          <t>師大附中113學年度第1學期高一進度表，課程名稱：化學(全)，教科書版本：龍騰；章名未見；摘要只到第7週；未查到115/114學年度資料；章節文字取自搜尋引擎對來源內容的摘要，請以原檔核對；「2-3 化學反應與化學計量」出自龍騰化學課程地圖說明頁 https://www.ltedu.com.tw/Web/Sharefile/EDM/curriculum-map/ghs/chem/index.html ；2-2未見</t>
        </is>
      </c>
    </row>
    <row r="303">
      <c r="A303" s="6" t="inlineStr">
        <is>
          <t>龍騰</t>
        </is>
      </c>
      <c r="B303" s="6" t="inlineStr">
        <is>
          <t>高中</t>
        </is>
      </c>
      <c r="C303" s="6" t="n"/>
      <c r="D303" s="6" t="inlineStr">
        <is>
          <t>基礎化學（三）</t>
        </is>
      </c>
      <c r="E303" s="6" t="inlineStr">
        <is>
          <t>化學</t>
        </is>
      </c>
      <c r="F303" s="6" t="n"/>
      <c r="G303" s="6" t="n"/>
      <c r="H303" s="6" t="n"/>
      <c r="I303" s="6" t="inlineStr">
        <is>
          <t>其他</t>
        </is>
      </c>
      <c r="J303" s="6" t="n"/>
      <c r="K303" s="6" t="inlineStr">
        <is>
          <t>未查到</t>
        </is>
      </c>
    </row>
    <row r="304">
      <c r="A304" s="6" t="inlineStr">
        <is>
          <t>龍騰</t>
        </is>
      </c>
      <c r="B304" s="6" t="inlineStr">
        <is>
          <t>高中</t>
        </is>
      </c>
      <c r="C304" s="6" t="n"/>
      <c r="D304" s="6" t="inlineStr">
        <is>
          <t>基礎化學（二）</t>
        </is>
      </c>
      <c r="E304" s="6" t="inlineStr">
        <is>
          <t>化學</t>
        </is>
      </c>
      <c r="F304" s="6" t="n"/>
      <c r="G304" s="6" t="n"/>
      <c r="H304" s="6" t="n"/>
      <c r="I304" s="6" t="inlineStr">
        <is>
          <t>其他</t>
        </is>
      </c>
      <c r="J304" s="6" t="n"/>
      <c r="K304" s="6" t="inlineStr">
        <is>
          <t>未查到</t>
        </is>
      </c>
    </row>
    <row r="305">
      <c r="A305" s="6" t="inlineStr">
        <is>
          <t>龍騰</t>
        </is>
      </c>
      <c r="B305" s="6" t="inlineStr">
        <is>
          <t>高中</t>
        </is>
      </c>
      <c r="C305" s="6" t="n"/>
      <c r="D305" s="6" t="inlineStr">
        <is>
          <t>選修化學I</t>
        </is>
      </c>
      <c r="E305" s="6" t="inlineStr">
        <is>
          <t>化學</t>
        </is>
      </c>
      <c r="F305" s="6" t="n"/>
      <c r="G305" s="6" t="n"/>
      <c r="H305" s="6" t="n"/>
      <c r="I305" s="6" t="inlineStr">
        <is>
          <t>其他</t>
        </is>
      </c>
      <c r="J305" s="6" t="n"/>
      <c r="K305" s="6" t="inlineStr">
        <is>
          <t>未查到</t>
        </is>
      </c>
    </row>
    <row r="306">
      <c r="A306" s="6" t="inlineStr">
        <is>
          <t>龍騰</t>
        </is>
      </c>
      <c r="B306" s="6" t="inlineStr">
        <is>
          <t>高中</t>
        </is>
      </c>
      <c r="C306" s="6" t="n"/>
      <c r="D306" s="6" t="inlineStr">
        <is>
          <t>選修化學II</t>
        </is>
      </c>
      <c r="E306" s="6" t="inlineStr">
        <is>
          <t>化學</t>
        </is>
      </c>
      <c r="F306" s="6" t="n"/>
      <c r="G306" s="6" t="n"/>
      <c r="H306" s="6" t="n"/>
      <c r="I306" s="6" t="inlineStr">
        <is>
          <t>其他</t>
        </is>
      </c>
      <c r="J306" s="6" t="n"/>
      <c r="K306" s="6" t="inlineStr">
        <is>
          <t>未查到</t>
        </is>
      </c>
    </row>
    <row r="307">
      <c r="A307" s="6" t="inlineStr">
        <is>
          <t>龍騰</t>
        </is>
      </c>
      <c r="B307" s="6" t="inlineStr">
        <is>
          <t>高中</t>
        </is>
      </c>
      <c r="C307" s="6" t="n"/>
      <c r="D307" s="6" t="inlineStr">
        <is>
          <t>選修化學III</t>
        </is>
      </c>
      <c r="E307" s="6" t="inlineStr">
        <is>
          <t>化學</t>
        </is>
      </c>
      <c r="F307" s="6" t="n"/>
      <c r="G307" s="6" t="n"/>
      <c r="H307" s="6" t="n"/>
      <c r="I307" s="6" t="inlineStr">
        <is>
          <t>其他</t>
        </is>
      </c>
      <c r="J307" s="6" t="n"/>
      <c r="K307" s="6" t="inlineStr">
        <is>
          <t>未查到</t>
        </is>
      </c>
    </row>
    <row r="308">
      <c r="A308" s="6" t="inlineStr">
        <is>
          <t>龍騰</t>
        </is>
      </c>
      <c r="B308" s="6" t="inlineStr">
        <is>
          <t>高中</t>
        </is>
      </c>
      <c r="C308" s="6" t="n"/>
      <c r="D308" s="6" t="inlineStr">
        <is>
          <t>選修化學IV</t>
        </is>
      </c>
      <c r="E308" s="6" t="inlineStr">
        <is>
          <t>化學</t>
        </is>
      </c>
      <c r="F308" s="6" t="n"/>
      <c r="G308" s="6" t="n"/>
      <c r="H308" s="6" t="n"/>
      <c r="I308" s="6" t="inlineStr">
        <is>
          <t>其他</t>
        </is>
      </c>
      <c r="J308" s="6" t="n"/>
      <c r="K308" s="6" t="inlineStr">
        <is>
          <t>未查到</t>
        </is>
      </c>
    </row>
    <row r="309">
      <c r="A309" s="6" t="inlineStr">
        <is>
          <t>龍騰</t>
        </is>
      </c>
      <c r="B309" s="6" t="inlineStr">
        <is>
          <t>高中</t>
        </is>
      </c>
      <c r="C309" s="6" t="n"/>
      <c r="D309" s="6" t="inlineStr">
        <is>
          <t>選修化學V</t>
        </is>
      </c>
      <c r="E309" s="6" t="inlineStr">
        <is>
          <t>化學</t>
        </is>
      </c>
      <c r="F309" s="6" t="n"/>
      <c r="G309" s="6" t="n"/>
      <c r="H309" s="6" t="n"/>
      <c r="I309" s="6" t="inlineStr">
        <is>
          <t>其他</t>
        </is>
      </c>
      <c r="J309" s="6" t="n"/>
      <c r="K309" s="6" t="inlineStr">
        <is>
          <t>未查到</t>
        </is>
      </c>
    </row>
    <row r="310">
      <c r="A310" s="4" t="inlineStr">
        <is>
          <t>龍騰</t>
        </is>
      </c>
      <c r="B310" s="4" t="inlineStr">
        <is>
          <t>高中</t>
        </is>
      </c>
      <c r="C310" s="4" t="inlineStr">
        <is>
          <t>10</t>
        </is>
      </c>
      <c r="D310" s="4" t="inlineStr">
        <is>
          <t>基礎地球科學</t>
        </is>
      </c>
      <c r="E310" s="4" t="inlineStr">
        <is>
          <t>地球科學</t>
        </is>
      </c>
      <c r="F310" s="4" t="inlineStr">
        <is>
          <t>第1章（章名未見）</t>
        </is>
      </c>
      <c r="G310" s="4" t="inlineStr">
        <is>
          <t>1-1 地球的起源；1-2 大氣與海洋的演變；1-3 探索地球的歷史</t>
        </is>
      </c>
      <c r="H310" s="4" t="inlineStr">
        <is>
          <t>114</t>
        </is>
      </c>
      <c r="I310" s="4" t="inlineStr">
        <is>
          <t>學校課程計畫</t>
        </is>
      </c>
      <c r="J310" s="5" t="inlineStr">
        <is>
          <t>https://www.hs.ntnu.edu.tw/static/webroot/G162269151451663/application/NW175876360256029.pdf</t>
        </is>
      </c>
      <c r="K310" s="4" t="inlineStr">
        <is>
          <t>師大附中114學年度第1學期地球科學進度表，課程名稱：基礎地球科學，教科書版本：龍騰；年級欄填「一」；章名未見；摘要只到第6週，第3章以後未見；未查到115學年度資料；章節文字取自搜尋引擎對來源內容的摘要，請以原檔核對</t>
        </is>
      </c>
    </row>
    <row r="311">
      <c r="A311" s="4" t="inlineStr">
        <is>
          <t>龍騰</t>
        </is>
      </c>
      <c r="B311" s="4" t="inlineStr">
        <is>
          <t>高中</t>
        </is>
      </c>
      <c r="C311" s="4" t="inlineStr">
        <is>
          <t>10</t>
        </is>
      </c>
      <c r="D311" s="4" t="inlineStr">
        <is>
          <t>基礎地球科學</t>
        </is>
      </c>
      <c r="E311" s="4" t="inlineStr">
        <is>
          <t>地球科學</t>
        </is>
      </c>
      <c r="F311" s="4" t="inlineStr">
        <is>
          <t>第2章（章名未見）</t>
        </is>
      </c>
      <c r="G311" s="4" t="inlineStr">
        <is>
          <t>2-1 地震波與地球內部分層；2-2 地表與地殼的變動；2-3 地震災害</t>
        </is>
      </c>
      <c r="H311" s="4" t="inlineStr">
        <is>
          <t>114</t>
        </is>
      </c>
      <c r="I311" s="4" t="inlineStr">
        <is>
          <t>學校課程計畫</t>
        </is>
      </c>
      <c r="J311" s="5" t="inlineStr">
        <is>
          <t>https://www.hs.ntnu.edu.tw/static/webroot/G162269151451663/application/NW175876360256029.pdf</t>
        </is>
      </c>
      <c r="K311" s="4" t="inlineStr">
        <is>
          <t>師大附中114學年度第1學期地球科學進度表，課程名稱：基礎地球科學，教科書版本：龍騰；年級欄填「一」；章名未見；摘要只到第6週，第3章以後未見；未查到115學年度資料；章節文字取自搜尋引擎對來源內容的摘要，請以原檔核對</t>
        </is>
      </c>
    </row>
    <row r="312">
      <c r="A312" s="4" t="inlineStr">
        <is>
          <t>龍騰</t>
        </is>
      </c>
      <c r="B312" s="4" t="inlineStr">
        <is>
          <t>高中</t>
        </is>
      </c>
      <c r="C312" s="4" t="inlineStr">
        <is>
          <t>10</t>
        </is>
      </c>
      <c r="D312" s="4" t="inlineStr">
        <is>
          <t>基礎地球科學</t>
        </is>
      </c>
      <c r="E312" s="4" t="inlineStr">
        <is>
          <t>地球科學</t>
        </is>
      </c>
      <c r="F312" s="4" t="inlineStr">
        <is>
          <t>（來源列教學主題，沒有章號）</t>
        </is>
      </c>
      <c r="G312" s="4" t="inlineStr">
        <is>
          <t>地球的歷史；固體地球的結構與組成；大氣；海洋；地球與太空；氣候變遷之影響與調適；永續發展與資源的利用</t>
        </is>
      </c>
      <c r="H312" s="4" t="inlineStr">
        <is>
          <t>113</t>
        </is>
      </c>
      <c r="I312" s="4" t="inlineStr">
        <is>
          <t>學校課程計畫</t>
        </is>
      </c>
      <c r="J312" s="5" t="inlineStr">
        <is>
          <t>https://oldcsjh.kl.edu.tw/docs/file/451/113_1_%E9%AB%98%E4%B8%80%E5%9C%B0%E7%90%83%E7%A7%91%E5%AD%B8%E6%95%99%E5%AD%B8%E8%A8%88%E7%95%AB.docx</t>
        </is>
      </c>
      <c r="K312" s="4" t="inlineStr">
        <is>
          <t>基隆市立中山高中113學年度第1學期高一地球科學教學計畫，採龍騰版；只列七大教學主題，不一定等於課本章名；章節文字取自搜尋引擎對來源內容的摘要，請以原檔核對</t>
        </is>
      </c>
    </row>
    <row r="313">
      <c r="A313" s="6" t="inlineStr">
        <is>
          <t>龍騰</t>
        </is>
      </c>
      <c r="B313" s="6" t="inlineStr">
        <is>
          <t>高中</t>
        </is>
      </c>
      <c r="C313" s="6" t="n"/>
      <c r="D313" s="6" t="inlineStr">
        <is>
          <t>基礎地球科學（二）</t>
        </is>
      </c>
      <c r="E313" s="6" t="inlineStr">
        <is>
          <t>地球科學</t>
        </is>
      </c>
      <c r="F313" s="6" t="n"/>
      <c r="G313" s="6" t="n"/>
      <c r="H313" s="6" t="n"/>
      <c r="I313" s="6" t="inlineStr">
        <is>
          <t>其他</t>
        </is>
      </c>
      <c r="J313" s="6" t="n"/>
      <c r="K313" s="6" t="inlineStr">
        <is>
          <t>未查到</t>
        </is>
      </c>
    </row>
    <row r="314">
      <c r="A314" s="6" t="inlineStr">
        <is>
          <t>龍騰</t>
        </is>
      </c>
      <c r="B314" s="6" t="inlineStr">
        <is>
          <t>高中</t>
        </is>
      </c>
      <c r="C314" s="6" t="n"/>
      <c r="D314" s="6" t="inlineStr">
        <is>
          <t>選修地球科學I</t>
        </is>
      </c>
      <c r="E314" s="6" t="inlineStr">
        <is>
          <t>地球科學</t>
        </is>
      </c>
      <c r="F314" s="6" t="n"/>
      <c r="G314" s="6" t="n"/>
      <c r="H314" s="6" t="n"/>
      <c r="I314" s="6" t="inlineStr">
        <is>
          <t>其他</t>
        </is>
      </c>
      <c r="J314" s="6" t="n"/>
      <c r="K314" s="6" t="inlineStr">
        <is>
          <t>未查到</t>
        </is>
      </c>
    </row>
    <row r="315">
      <c r="A315" s="6" t="inlineStr">
        <is>
          <t>龍騰</t>
        </is>
      </c>
      <c r="B315" s="6" t="inlineStr">
        <is>
          <t>高中</t>
        </is>
      </c>
      <c r="C315" s="6" t="n"/>
      <c r="D315" s="6" t="inlineStr">
        <is>
          <t>選修地球科學II</t>
        </is>
      </c>
      <c r="E315" s="6" t="inlineStr">
        <is>
          <t>地球科學</t>
        </is>
      </c>
      <c r="F315" s="6" t="n"/>
      <c r="G315" s="6" t="n"/>
      <c r="H315" s="6" t="n"/>
      <c r="I315" s="6" t="inlineStr">
        <is>
          <t>其他</t>
        </is>
      </c>
      <c r="J315" s="6" t="n"/>
      <c r="K315" s="6" t="inlineStr">
        <is>
          <t>未查到</t>
        </is>
      </c>
    </row>
    <row r="316">
      <c r="A316" s="6" t="inlineStr">
        <is>
          <t>龍騰</t>
        </is>
      </c>
      <c r="B316" s="6" t="inlineStr">
        <is>
          <t>高中</t>
        </is>
      </c>
      <c r="C316" s="6" t="n"/>
      <c r="D316" s="6" t="inlineStr">
        <is>
          <t>選修地球科學III</t>
        </is>
      </c>
      <c r="E316" s="6" t="inlineStr">
        <is>
          <t>地球科學</t>
        </is>
      </c>
      <c r="F316" s="6" t="n"/>
      <c r="G316" s="6" t="n"/>
      <c r="H316" s="6" t="n"/>
      <c r="I316" s="6" t="inlineStr">
        <is>
          <t>其他</t>
        </is>
      </c>
      <c r="J316" s="6" t="n"/>
      <c r="K316" s="6" t="inlineStr">
        <is>
          <t>未查到</t>
        </is>
      </c>
    </row>
    <row r="317">
      <c r="A317" s="6" t="inlineStr">
        <is>
          <t>龍騰</t>
        </is>
      </c>
      <c r="B317" s="6" t="inlineStr">
        <is>
          <t>高中</t>
        </is>
      </c>
      <c r="C317" s="6" t="n"/>
      <c r="D317" s="6" t="inlineStr">
        <is>
          <t>選修地球科學IV</t>
        </is>
      </c>
      <c r="E317" s="6" t="inlineStr">
        <is>
          <t>地球科學</t>
        </is>
      </c>
      <c r="F317" s="6" t="n"/>
      <c r="G317" s="6" t="n"/>
      <c r="H317" s="6" t="n"/>
      <c r="I317" s="6" t="inlineStr">
        <is>
          <t>其他</t>
        </is>
      </c>
      <c r="J317" s="6" t="n"/>
      <c r="K317" s="6" t="inlineStr">
        <is>
          <t>未查到</t>
        </is>
      </c>
    </row>
    <row r="318">
      <c r="A318" s="4" t="inlineStr">
        <is>
          <t>龍騰</t>
        </is>
      </c>
      <c r="B318" s="4" t="inlineStr">
        <is>
          <t>高中</t>
        </is>
      </c>
      <c r="C318" s="4" t="inlineStr">
        <is>
          <t>10</t>
        </is>
      </c>
      <c r="D318" s="4" t="inlineStr">
        <is>
          <t>第一冊</t>
        </is>
      </c>
      <c r="E318" s="4" t="inlineStr">
        <is>
          <t>歷史</t>
        </is>
      </c>
      <c r="F318" s="4" t="inlineStr">
        <is>
          <t>第1章 臺灣的原住民族</t>
        </is>
      </c>
      <c r="G318" s="4" t="n"/>
      <c r="H318" s="4" t="n"/>
      <c r="I318" s="4" t="inlineStr">
        <is>
          <t>出版商頁面</t>
        </is>
      </c>
      <c r="J318" s="5" t="inlineStr">
        <is>
          <t>https://www.ltedu.com.tw/web/prodDetail.aspx?ID=9753</t>
        </is>
      </c>
      <c r="K318" s="4" t="inlineStr">
        <is>
          <t>第一篇 多元族群社會的形成；產品頁未標學年度；來源未標示學年度（108課綱現行版產品資料），無法確認為115或114學年度</t>
        </is>
      </c>
    </row>
    <row r="319">
      <c r="A319" s="4" t="inlineStr">
        <is>
          <t>龍騰</t>
        </is>
      </c>
      <c r="B319" s="4" t="inlineStr">
        <is>
          <t>高中</t>
        </is>
      </c>
      <c r="C319" s="4" t="inlineStr">
        <is>
          <t>10</t>
        </is>
      </c>
      <c r="D319" s="4" t="inlineStr">
        <is>
          <t>第一冊</t>
        </is>
      </c>
      <c r="E319" s="4" t="inlineStr">
        <is>
          <t>歷史</t>
        </is>
      </c>
      <c r="F319" s="4" t="inlineStr">
        <is>
          <t>第2章 移民社會的形成</t>
        </is>
      </c>
      <c r="G319" s="4" t="n"/>
      <c r="H319" s="4" t="n"/>
      <c r="I319" s="4" t="inlineStr">
        <is>
          <t>出版商頁面</t>
        </is>
      </c>
      <c r="J319" s="5" t="inlineStr">
        <is>
          <t>https://www.ltedu.com.tw/web/prodDetail.aspx?ID=9753</t>
        </is>
      </c>
      <c r="K319" s="4" t="inlineStr">
        <is>
          <t>第一篇 多元族群社會的形成；產品頁未標學年度；來源未標示學年度（108課綱現行版產品資料），無法確認為115或114學年度</t>
        </is>
      </c>
    </row>
    <row r="320">
      <c r="A320" s="4" t="inlineStr">
        <is>
          <t>龍騰</t>
        </is>
      </c>
      <c r="B320" s="4" t="inlineStr">
        <is>
          <t>高中</t>
        </is>
      </c>
      <c r="C320" s="4" t="inlineStr">
        <is>
          <t>10</t>
        </is>
      </c>
      <c r="D320" s="4" t="inlineStr">
        <is>
          <t>第一冊</t>
        </is>
      </c>
      <c r="E320" s="4" t="inlineStr">
        <is>
          <t>歷史</t>
        </is>
      </c>
      <c r="F320" s="4" t="inlineStr">
        <is>
          <t>第3章 帝國的邊陲</t>
        </is>
      </c>
      <c r="G320" s="4" t="n"/>
      <c r="H320" s="4" t="n"/>
      <c r="I320" s="4" t="inlineStr">
        <is>
          <t>出版商頁面</t>
        </is>
      </c>
      <c r="J320" s="5" t="inlineStr">
        <is>
          <t>https://www.ltedu.com.tw/web/prodDetail.aspx?ID=9753</t>
        </is>
      </c>
      <c r="K320" s="4" t="inlineStr">
        <is>
          <t>第二篇 現代國家的形塑；產品頁未標學年度；來源未標示學年度（108課綱現行版產品資料），無法確認為115或114學年度</t>
        </is>
      </c>
    </row>
    <row r="321">
      <c r="A321" s="4" t="inlineStr">
        <is>
          <t>龍騰</t>
        </is>
      </c>
      <c r="B321" s="4" t="inlineStr">
        <is>
          <t>高中</t>
        </is>
      </c>
      <c r="C321" s="4" t="inlineStr">
        <is>
          <t>10</t>
        </is>
      </c>
      <c r="D321" s="4" t="inlineStr">
        <is>
          <t>第一冊</t>
        </is>
      </c>
      <c r="E321" s="4" t="inlineStr">
        <is>
          <t>歷史</t>
        </is>
      </c>
      <c r="F321" s="4" t="inlineStr">
        <is>
          <t>第4章 臺澎金馬一體化</t>
        </is>
      </c>
      <c r="G321" s="4" t="n"/>
      <c r="H321" s="4" t="n"/>
      <c r="I321" s="4" t="inlineStr">
        <is>
          <t>出版商頁面</t>
        </is>
      </c>
      <c r="J321" s="5" t="inlineStr">
        <is>
          <t>https://www.ltedu.com.tw/web/prodDetail.aspx?ID=9753</t>
        </is>
      </c>
      <c r="K321" s="4" t="inlineStr">
        <is>
          <t>第二篇 現代國家的形塑；產品頁未標學年度；來源未標示學年度（108課綱現行版產品資料），無法確認為115或114學年度</t>
        </is>
      </c>
    </row>
    <row r="322">
      <c r="A322" s="4" t="inlineStr">
        <is>
          <t>龍騰</t>
        </is>
      </c>
      <c r="B322" s="4" t="inlineStr">
        <is>
          <t>高中</t>
        </is>
      </c>
      <c r="C322" s="4" t="inlineStr">
        <is>
          <t>10</t>
        </is>
      </c>
      <c r="D322" s="4" t="inlineStr">
        <is>
          <t>第一冊</t>
        </is>
      </c>
      <c r="E322" s="4" t="inlineStr">
        <is>
          <t>歷史</t>
        </is>
      </c>
      <c r="F322" s="4" t="inlineStr">
        <is>
          <t>第5章 十六至十九世紀臺灣的經濟活動</t>
        </is>
      </c>
      <c r="G322" s="4" t="n"/>
      <c r="H322" s="4" t="n"/>
      <c r="I322" s="4" t="inlineStr">
        <is>
          <t>出版商頁面</t>
        </is>
      </c>
      <c r="J322" s="5" t="inlineStr">
        <is>
          <t>https://www.ltedu.com.tw/web/prodDetail.aspx?ID=9753</t>
        </is>
      </c>
      <c r="K322" s="4" t="inlineStr">
        <is>
          <t>第三篇 經濟與文化的多樣性；產品頁未標學年度；來源未標示學年度（108課綱現行版產品資料），無法確認為115或114學年度</t>
        </is>
      </c>
    </row>
    <row r="323">
      <c r="A323" s="4" t="inlineStr">
        <is>
          <t>龍騰</t>
        </is>
      </c>
      <c r="B323" s="4" t="inlineStr">
        <is>
          <t>高中</t>
        </is>
      </c>
      <c r="C323" s="4" t="inlineStr">
        <is>
          <t>10</t>
        </is>
      </c>
      <c r="D323" s="4" t="inlineStr">
        <is>
          <t>第一冊</t>
        </is>
      </c>
      <c r="E323" s="4" t="inlineStr">
        <is>
          <t>歷史</t>
        </is>
      </c>
      <c r="F323" s="4" t="inlineStr">
        <is>
          <t>第6章 二十世紀臺灣的經濟發展</t>
        </is>
      </c>
      <c r="G323" s="4" t="n"/>
      <c r="H323" s="4" t="n"/>
      <c r="I323" s="4" t="inlineStr">
        <is>
          <t>出版商頁面</t>
        </is>
      </c>
      <c r="J323" s="5" t="inlineStr">
        <is>
          <t>https://www.ltedu.com.tw/web/prodDetail.aspx?ID=9753</t>
        </is>
      </c>
      <c r="K323" s="4" t="inlineStr">
        <is>
          <t>第三篇 經濟與文化的多樣性；產品頁未標學年度；來源未標示學年度（108課綱現行版產品資料），無法確認為115或114學年度</t>
        </is>
      </c>
    </row>
    <row r="324">
      <c r="A324" s="4" t="inlineStr">
        <is>
          <t>龍騰</t>
        </is>
      </c>
      <c r="B324" s="4" t="inlineStr">
        <is>
          <t>高中</t>
        </is>
      </c>
      <c r="C324" s="4" t="inlineStr">
        <is>
          <t>10</t>
        </is>
      </c>
      <c r="D324" s="4" t="inlineStr">
        <is>
          <t>第一冊</t>
        </is>
      </c>
      <c r="E324" s="4" t="inlineStr">
        <is>
          <t>歷史</t>
        </is>
      </c>
      <c r="F324" s="4" t="inlineStr">
        <is>
          <t>第7章 文學、藝術發展與信仰</t>
        </is>
      </c>
      <c r="G324" s="4" t="n"/>
      <c r="H324" s="4" t="n"/>
      <c r="I324" s="4" t="inlineStr">
        <is>
          <t>出版商頁面</t>
        </is>
      </c>
      <c r="J324" s="5" t="inlineStr">
        <is>
          <t>https://www.ltedu.com.tw/web/prodDetail.aspx?ID=9753</t>
        </is>
      </c>
      <c r="K324" s="4" t="inlineStr">
        <is>
          <t>第三篇 經濟與文化的多樣性；產品頁未標學年度；來源未標示學年度（108課綱現行版產品資料），無法確認為115或114學年度</t>
        </is>
      </c>
    </row>
    <row r="325">
      <c r="A325" s="4" t="inlineStr">
        <is>
          <t>龍騰</t>
        </is>
      </c>
      <c r="B325" s="4" t="inlineStr">
        <is>
          <t>高中</t>
        </is>
      </c>
      <c r="C325" s="4" t="inlineStr">
        <is>
          <t>10</t>
        </is>
      </c>
      <c r="D325" s="4" t="inlineStr">
        <is>
          <t>第二冊</t>
        </is>
      </c>
      <c r="E325" s="4" t="inlineStr">
        <is>
          <t>歷史</t>
        </is>
      </c>
      <c r="F325" s="4" t="inlineStr">
        <is>
          <t>第1章 傳統政治權威的形塑</t>
        </is>
      </c>
      <c r="G325" s="4" t="inlineStr">
        <is>
          <t>第3節 東亞各國政治權威的建立</t>
        </is>
      </c>
      <c r="H325" s="4" t="n"/>
      <c r="I325" s="4" t="inlineStr">
        <is>
          <t>出版商頁面</t>
        </is>
      </c>
      <c r="J325" s="5" t="inlineStr">
        <is>
          <t>https://ltedu.com.tw/web/prodDetail.aspx?1=&amp;ID=9861</t>
        </is>
      </c>
      <c r="K325" s="4" t="inlineStr">
        <is>
          <t>第一篇 國家與社會；節名僅見第3節（引自龍騰學測模擬題出處標示）；產品頁未標學年度；來源未標示學年度（108課綱現行版產品資料），無法確認為115或114學年度</t>
        </is>
      </c>
    </row>
    <row r="326">
      <c r="A326" s="4" t="inlineStr">
        <is>
          <t>龍騰</t>
        </is>
      </c>
      <c r="B326" s="4" t="inlineStr">
        <is>
          <t>高中</t>
        </is>
      </c>
      <c r="C326" s="4" t="inlineStr">
        <is>
          <t>10</t>
        </is>
      </c>
      <c r="D326" s="4" t="inlineStr">
        <is>
          <t>第二冊</t>
        </is>
      </c>
      <c r="E326" s="4" t="inlineStr">
        <is>
          <t>歷史</t>
        </is>
      </c>
      <c r="F326" s="4" t="inlineStr">
        <is>
          <t>第2章 國家統治與社會結構</t>
        </is>
      </c>
      <c r="G326" s="4" t="n"/>
      <c r="H326" s="4" t="n"/>
      <c r="I326" s="4" t="inlineStr">
        <is>
          <t>出版商頁面</t>
        </is>
      </c>
      <c r="J326" s="5" t="inlineStr">
        <is>
          <t>https://ltedu.com.tw/web/prodDetail.aspx?1=&amp;ID=9861</t>
        </is>
      </c>
      <c r="K326" s="4" t="inlineStr">
        <is>
          <t>第一篇 國家與社會；產品頁未標學年度；來源未標示學年度（108課綱現行版產品資料），無法確認為115或114學年度</t>
        </is>
      </c>
    </row>
    <row r="327">
      <c r="A327" s="4" t="inlineStr">
        <is>
          <t>龍騰</t>
        </is>
      </c>
      <c r="B327" s="4" t="inlineStr">
        <is>
          <t>高中</t>
        </is>
      </c>
      <c r="C327" s="4" t="inlineStr">
        <is>
          <t>10</t>
        </is>
      </c>
      <c r="D327" s="4" t="inlineStr">
        <is>
          <t>第二冊</t>
        </is>
      </c>
      <c r="E327" s="4" t="inlineStr">
        <is>
          <t>歷史</t>
        </is>
      </c>
      <c r="F327" s="4" t="inlineStr">
        <is>
          <t>第3章 近代以前的人群移動與交流</t>
        </is>
      </c>
      <c r="G327" s="4" t="inlineStr">
        <is>
          <t>第2節 十四至十八世紀的東亞人群移動</t>
        </is>
      </c>
      <c r="H327" s="4" t="n"/>
      <c r="I327" s="4" t="inlineStr">
        <is>
          <t>出版商頁面</t>
        </is>
      </c>
      <c r="J327" s="5" t="inlineStr">
        <is>
          <t>https://ltedu.com.tw/web/prodDetail.aspx?1=&amp;ID=9861</t>
        </is>
      </c>
      <c r="K327" s="4" t="inlineStr">
        <is>
          <t>第二篇 人群的移動與交流；節名僅見第2節；產品頁未標學年度；來源未標示學年度（108課綱現行版產品資料），無法確認為115或114學年度</t>
        </is>
      </c>
    </row>
    <row r="328">
      <c r="A328" s="4" t="inlineStr">
        <is>
          <t>龍騰</t>
        </is>
      </c>
      <c r="B328" s="4" t="inlineStr">
        <is>
          <t>高中</t>
        </is>
      </c>
      <c r="C328" s="4" t="inlineStr">
        <is>
          <t>10</t>
        </is>
      </c>
      <c r="D328" s="4" t="inlineStr">
        <is>
          <t>第二冊</t>
        </is>
      </c>
      <c r="E328" s="4" t="inlineStr">
        <is>
          <t>歷史</t>
        </is>
      </c>
      <c r="F328" s="4" t="inlineStr">
        <is>
          <t>第4章 近代以後的東亞人群移動及影響</t>
        </is>
      </c>
      <c r="G328" s="4" t="inlineStr">
        <is>
          <t>第1節 近代華人的移動</t>
        </is>
      </c>
      <c r="H328" s="4" t="n"/>
      <c r="I328" s="4" t="inlineStr">
        <is>
          <t>出版商頁面</t>
        </is>
      </c>
      <c r="J328" s="5" t="inlineStr">
        <is>
          <t>https://ltedu.com.tw/web/prodDetail.aspx?1=&amp;ID=9861</t>
        </is>
      </c>
      <c r="K328" s="4" t="inlineStr">
        <is>
          <t>第二篇 人群的移動與交流；節名僅見第1節；產品頁未標學年度；來源未標示學年度（108課綱現行版產品資料），無法確認為115或114學年度</t>
        </is>
      </c>
    </row>
    <row r="329">
      <c r="A329" s="4" t="inlineStr">
        <is>
          <t>龍騰</t>
        </is>
      </c>
      <c r="B329" s="4" t="inlineStr">
        <is>
          <t>高中</t>
        </is>
      </c>
      <c r="C329" s="4" t="inlineStr">
        <is>
          <t>10</t>
        </is>
      </c>
      <c r="D329" s="4" t="inlineStr">
        <is>
          <t>第二冊</t>
        </is>
      </c>
      <c r="E329" s="4" t="inlineStr">
        <is>
          <t>歷史</t>
        </is>
      </c>
      <c r="F329" s="4" t="inlineStr">
        <is>
          <t>第5章 邁向現代化的東亞</t>
        </is>
      </c>
      <c r="G329" s="4" t="n"/>
      <c r="H329" s="4" t="n"/>
      <c r="I329" s="4" t="inlineStr">
        <is>
          <t>出版商頁面</t>
        </is>
      </c>
      <c r="J329" s="5" t="inlineStr">
        <is>
          <t>https://ltedu.com.tw/web/prodDetail.aspx?1=&amp;ID=9861</t>
        </is>
      </c>
      <c r="K329" s="4" t="inlineStr">
        <is>
          <t>第三篇 現代化的歷程；產品頁未標學年度；來源未標示學年度（108課綱現行版產品資料），無法確認為115或114學年度</t>
        </is>
      </c>
    </row>
    <row r="330">
      <c r="A330" s="4" t="inlineStr">
        <is>
          <t>龍騰</t>
        </is>
      </c>
      <c r="B330" s="4" t="inlineStr">
        <is>
          <t>高中</t>
        </is>
      </c>
      <c r="C330" s="4" t="inlineStr">
        <is>
          <t>10</t>
        </is>
      </c>
      <c r="D330" s="4" t="inlineStr">
        <is>
          <t>第二冊</t>
        </is>
      </c>
      <c r="E330" s="4" t="inlineStr">
        <is>
          <t>歷史</t>
        </is>
      </c>
      <c r="F330" s="4" t="inlineStr">
        <is>
          <t>第6章 近代東亞局勢的發展</t>
        </is>
      </c>
      <c r="G330" s="4" t="inlineStr">
        <is>
          <t>第2節 共產主義在東亞的發展</t>
        </is>
      </c>
      <c r="H330" s="4" t="n"/>
      <c r="I330" s="4" t="inlineStr">
        <is>
          <t>出版商頁面</t>
        </is>
      </c>
      <c r="J330" s="5" t="inlineStr">
        <is>
          <t>https://ltedu.com.tw/web/prodDetail.aspx?1=&amp;ID=9861</t>
        </is>
      </c>
      <c r="K330" s="4" t="inlineStr">
        <is>
          <t>第三篇 現代化的歷程；節名僅見第2節；產品頁未標學年度；來源未標示學年度（108課綱現行版產品資料），無法確認為115或114學年度</t>
        </is>
      </c>
    </row>
    <row r="331">
      <c r="A331" s="4" t="inlineStr">
        <is>
          <t>龍騰</t>
        </is>
      </c>
      <c r="B331" s="4" t="inlineStr">
        <is>
          <t>高中</t>
        </is>
      </c>
      <c r="C331" s="4" t="inlineStr">
        <is>
          <t>11</t>
        </is>
      </c>
      <c r="D331" s="4" t="inlineStr">
        <is>
          <t>第三冊</t>
        </is>
      </c>
      <c r="E331" s="4" t="inlineStr">
        <is>
          <t>歷史</t>
        </is>
      </c>
      <c r="F331" s="4" t="inlineStr">
        <is>
          <t>第1章 古代文化與基督教傳統</t>
        </is>
      </c>
      <c r="G331" s="4" t="n"/>
      <c r="H331" s="4" t="n"/>
      <c r="I331" s="4" t="inlineStr">
        <is>
          <t>出版商頁面</t>
        </is>
      </c>
      <c r="J331" s="5" t="inlineStr">
        <is>
          <t>https://www.ltedu.com.tw/web/prodDetail.aspx?ID=10020</t>
        </is>
      </c>
      <c r="K331" s="4" t="inlineStr">
        <is>
          <t>第一篇 歐洲文化與現代世界；產品頁註明供二年級採用；未標學年度；來源未標示學年度（108課綱現行版產品資料），無法確認為115或114學年度</t>
        </is>
      </c>
    </row>
    <row r="332">
      <c r="A332" s="4" t="inlineStr">
        <is>
          <t>龍騰</t>
        </is>
      </c>
      <c r="B332" s="4" t="inlineStr">
        <is>
          <t>高中</t>
        </is>
      </c>
      <c r="C332" s="4" t="inlineStr">
        <is>
          <t>11</t>
        </is>
      </c>
      <c r="D332" s="4" t="inlineStr">
        <is>
          <t>第三冊</t>
        </is>
      </c>
      <c r="E332" s="4" t="inlineStr">
        <is>
          <t>歷史</t>
        </is>
      </c>
      <c r="F332" s="4" t="inlineStr">
        <is>
          <t>第2章 個人、自由、理性</t>
        </is>
      </c>
      <c r="G332" s="4" t="n"/>
      <c r="H332" s="4" t="n"/>
      <c r="I332" s="4" t="inlineStr">
        <is>
          <t>出版商頁面</t>
        </is>
      </c>
      <c r="J332" s="5" t="inlineStr">
        <is>
          <t>https://www.ltedu.com.tw/web/prodDetail.aspx?ID=10020</t>
        </is>
      </c>
      <c r="K332" s="4" t="inlineStr">
        <is>
          <t>第一篇 歐洲文化與現代世界；未標學年度；來源未標示學年度（108課綱現行版產品資料），無法確認為115或114學年度</t>
        </is>
      </c>
    </row>
    <row r="333">
      <c r="A333" s="4" t="inlineStr">
        <is>
          <t>龍騰</t>
        </is>
      </c>
      <c r="B333" s="4" t="inlineStr">
        <is>
          <t>高中</t>
        </is>
      </c>
      <c r="C333" s="4" t="inlineStr">
        <is>
          <t>11</t>
        </is>
      </c>
      <c r="D333" s="4" t="inlineStr">
        <is>
          <t>第三冊</t>
        </is>
      </c>
      <c r="E333" s="4" t="inlineStr">
        <is>
          <t>歷史</t>
        </is>
      </c>
      <c r="F333" s="4" t="inlineStr">
        <is>
          <t>第3章 伊斯蘭與世界</t>
        </is>
      </c>
      <c r="G333" s="4" t="n"/>
      <c r="H333" s="4" t="n"/>
      <c r="I333" s="4" t="inlineStr">
        <is>
          <t>出版商頁面</t>
        </is>
      </c>
      <c r="J333" s="5" t="inlineStr">
        <is>
          <t>https://www.ltedu.com.tw/web/prodDetail.aspx?ID=10020</t>
        </is>
      </c>
      <c r="K333" s="4" t="inlineStr">
        <is>
          <t>第二篇 文化的交會與多元世界的發展；未標學年度；來源未標示學年度（108課綱現行版產品資料），無法確認為115或114學年度</t>
        </is>
      </c>
    </row>
    <row r="334">
      <c r="A334" s="4" t="inlineStr">
        <is>
          <t>龍騰</t>
        </is>
      </c>
      <c r="B334" s="4" t="inlineStr">
        <is>
          <t>高中</t>
        </is>
      </c>
      <c r="C334" s="4" t="inlineStr">
        <is>
          <t>11</t>
        </is>
      </c>
      <c r="D334" s="4" t="inlineStr">
        <is>
          <t>第三冊</t>
        </is>
      </c>
      <c r="E334" s="4" t="inlineStr">
        <is>
          <t>歷史</t>
        </is>
      </c>
      <c r="F334" s="4" t="inlineStr">
        <is>
          <t>第4章 西方與世界的交流</t>
        </is>
      </c>
      <c r="G334" s="4" t="n"/>
      <c r="H334" s="4" t="n"/>
      <c r="I334" s="4" t="inlineStr">
        <is>
          <t>出版商頁面</t>
        </is>
      </c>
      <c r="J334" s="5" t="inlineStr">
        <is>
          <t>https://www.ltedu.com.tw/web/prodDetail.aspx?ID=10020</t>
        </is>
      </c>
      <c r="K334" s="4" t="inlineStr">
        <is>
          <t>第二篇 文化的交會與多元世界的發展；未標學年度；來源未標示學年度（108課綱現行版產品資料），無法確認為115或114學年度</t>
        </is>
      </c>
    </row>
    <row r="335">
      <c r="A335" s="4" t="inlineStr">
        <is>
          <t>龍騰</t>
        </is>
      </c>
      <c r="B335" s="4" t="inlineStr">
        <is>
          <t>高中</t>
        </is>
      </c>
      <c r="C335" s="4" t="inlineStr">
        <is>
          <t>11</t>
        </is>
      </c>
      <c r="D335" s="4" t="inlineStr">
        <is>
          <t>第三冊</t>
        </is>
      </c>
      <c r="E335" s="4" t="inlineStr">
        <is>
          <t>歷史</t>
        </is>
      </c>
      <c r="F335" s="4" t="inlineStr">
        <is>
          <t>第5章 世界大戰與冷戰局勢</t>
        </is>
      </c>
      <c r="G335" s="4" t="n"/>
      <c r="H335" s="4" t="n"/>
      <c r="I335" s="4" t="inlineStr">
        <is>
          <t>出版商頁面</t>
        </is>
      </c>
      <c r="J335" s="5" t="inlineStr">
        <is>
          <t>https://www.ltedu.com.tw/web/prodDetail.aspx?ID=10020</t>
        </is>
      </c>
      <c r="K335" s="4" t="inlineStr">
        <is>
          <t>第三篇 世界變遷與現代性；未標學年度；來源未標示學年度（108課綱現行版產品資料），無法確認為115或114學年度</t>
        </is>
      </c>
    </row>
    <row r="336">
      <c r="A336" s="4" t="inlineStr">
        <is>
          <t>龍騰</t>
        </is>
      </c>
      <c r="B336" s="4" t="inlineStr">
        <is>
          <t>高中</t>
        </is>
      </c>
      <c r="C336" s="4" t="inlineStr">
        <is>
          <t>11</t>
        </is>
      </c>
      <c r="D336" s="4" t="inlineStr">
        <is>
          <t>第三冊</t>
        </is>
      </c>
      <c r="E336" s="4" t="inlineStr">
        <is>
          <t>歷史</t>
        </is>
      </c>
      <c r="F336" s="4" t="inlineStr">
        <is>
          <t>第6章 歷史、當代與未來</t>
        </is>
      </c>
      <c r="G336" s="4" t="n"/>
      <c r="H336" s="4" t="n"/>
      <c r="I336" s="4" t="inlineStr">
        <is>
          <t>出版商頁面</t>
        </is>
      </c>
      <c r="J336" s="5" t="inlineStr">
        <is>
          <t>https://www.ltedu.com.tw/web/prodDetail.aspx?ID=10020</t>
        </is>
      </c>
      <c r="K336" s="4" t="inlineStr">
        <is>
          <t>第三篇 世界變遷與現代性；未標學年度；來源未標示學年度（108課綱現行版產品資料），無法確認為115或114學年度</t>
        </is>
      </c>
    </row>
    <row r="337">
      <c r="A337" s="4" t="inlineStr">
        <is>
          <t>龍騰</t>
        </is>
      </c>
      <c r="B337" s="4" t="inlineStr">
        <is>
          <t>高中</t>
        </is>
      </c>
      <c r="C337" s="4" t="inlineStr">
        <is>
          <t>11</t>
        </is>
      </c>
      <c r="D337" s="4" t="inlineStr">
        <is>
          <t>選修歷史Ⅲ 探究與實作</t>
        </is>
      </c>
      <c r="E337" s="4" t="inlineStr">
        <is>
          <t>歷史</t>
        </is>
      </c>
      <c r="F337" s="4" t="inlineStr">
        <is>
          <t>第1章 史料證據：掌握探索的資訊</t>
        </is>
      </c>
      <c r="G337" s="4" t="n"/>
      <c r="H337" s="4" t="n"/>
      <c r="I337" s="4" t="inlineStr">
        <is>
          <t>出版商頁面</t>
        </is>
      </c>
      <c r="J337" s="5" t="inlineStr">
        <is>
          <t>https://www.ltedu.com.tw/web/prodDetail.aspx?ID=10022</t>
        </is>
      </c>
      <c r="K337" s="4" t="inlineStr">
        <is>
          <t>即「探究與實作：歷史學探究」；另有導論、實作引導1–3、結語；產品頁註明供二年級採用；未標學年度；來源未標示學年度（108課綱現行版產品資料），無法確認為115或114學年度</t>
        </is>
      </c>
    </row>
    <row r="338">
      <c r="A338" s="4" t="inlineStr">
        <is>
          <t>龍騰</t>
        </is>
      </c>
      <c r="B338" s="4" t="inlineStr">
        <is>
          <t>高中</t>
        </is>
      </c>
      <c r="C338" s="4" t="inlineStr">
        <is>
          <t>11</t>
        </is>
      </c>
      <c r="D338" s="4" t="inlineStr">
        <is>
          <t>選修歷史Ⅲ 探究與實作</t>
        </is>
      </c>
      <c r="E338" s="4" t="inlineStr">
        <is>
          <t>歷史</t>
        </is>
      </c>
      <c r="F338" s="4" t="inlineStr">
        <is>
          <t>第2章 時序觀念：走過時間的長河</t>
        </is>
      </c>
      <c r="G338" s="4" t="n"/>
      <c r="H338" s="4" t="n"/>
      <c r="I338" s="4" t="inlineStr">
        <is>
          <t>出版商頁面</t>
        </is>
      </c>
      <c r="J338" s="5" t="inlineStr">
        <is>
          <t>https://www.ltedu.com.tw/web/prodDetail.aspx?ID=10022</t>
        </is>
      </c>
      <c r="K338" s="4" t="inlineStr">
        <is>
          <t>未標學年度；來源未標示學年度（108課綱現行版產品資料），無法確認為115或114學年度</t>
        </is>
      </c>
    </row>
    <row r="339">
      <c r="A339" s="4" t="inlineStr">
        <is>
          <t>龍騰</t>
        </is>
      </c>
      <c r="B339" s="4" t="inlineStr">
        <is>
          <t>高中</t>
        </is>
      </c>
      <c r="C339" s="4" t="inlineStr">
        <is>
          <t>11</t>
        </is>
      </c>
      <c r="D339" s="4" t="inlineStr">
        <is>
          <t>選修歷史Ⅲ 探究與實作</t>
        </is>
      </c>
      <c r="E339" s="4" t="inlineStr">
        <is>
          <t>歷史</t>
        </is>
      </c>
      <c r="F339" s="4" t="inlineStr">
        <is>
          <t>第3章 歷史理解：回到當時的脈絡</t>
        </is>
      </c>
      <c r="G339" s="4" t="n"/>
      <c r="H339" s="4" t="n"/>
      <c r="I339" s="4" t="inlineStr">
        <is>
          <t>出版商頁面</t>
        </is>
      </c>
      <c r="J339" s="5" t="inlineStr">
        <is>
          <t>https://www.ltedu.com.tw/web/prodDetail.aspx?ID=10022</t>
        </is>
      </c>
      <c r="K339" s="4" t="inlineStr">
        <is>
          <t>未標學年度；來源未標示學年度（108課綱現行版產品資料），無法確認為115或114學年度</t>
        </is>
      </c>
    </row>
    <row r="340">
      <c r="A340" s="4" t="inlineStr">
        <is>
          <t>龍騰</t>
        </is>
      </c>
      <c r="B340" s="4" t="inlineStr">
        <is>
          <t>高中</t>
        </is>
      </c>
      <c r="C340" s="4" t="inlineStr">
        <is>
          <t>11</t>
        </is>
      </c>
      <c r="D340" s="4" t="inlineStr">
        <is>
          <t>選修歷史Ⅲ 探究與實作</t>
        </is>
      </c>
      <c r="E340" s="4" t="inlineStr">
        <is>
          <t>歷史</t>
        </is>
      </c>
      <c r="F340" s="4" t="inlineStr">
        <is>
          <t>第4章 歷史解釋：註記旅人的發現</t>
        </is>
      </c>
      <c r="G340" s="4" t="n"/>
      <c r="H340" s="4" t="n"/>
      <c r="I340" s="4" t="inlineStr">
        <is>
          <t>出版商頁面</t>
        </is>
      </c>
      <c r="J340" s="5" t="inlineStr">
        <is>
          <t>https://www.ltedu.com.tw/web/prodDetail.aspx?ID=10022</t>
        </is>
      </c>
      <c r="K340" s="4" t="inlineStr">
        <is>
          <t>未標學年度；來源未標示學年度（108課綱現行版產品資料），無法確認為115或114學年度</t>
        </is>
      </c>
    </row>
    <row r="341">
      <c r="A341" s="4" t="inlineStr">
        <is>
          <t>龍騰</t>
        </is>
      </c>
      <c r="B341" s="4" t="inlineStr">
        <is>
          <t>高中</t>
        </is>
      </c>
      <c r="C341" s="4" t="inlineStr">
        <is>
          <t>12</t>
        </is>
      </c>
      <c r="D341" s="4" t="inlineStr">
        <is>
          <t>選修歷史Ⅰ 族群、性別與國家的歷史</t>
        </is>
      </c>
      <c r="E341" s="4" t="inlineStr">
        <is>
          <t>歷史</t>
        </is>
      </c>
      <c r="F341" s="4" t="inlineStr">
        <is>
          <t>第一章 原住民族</t>
        </is>
      </c>
      <c r="G341" s="4" t="inlineStr">
        <is>
          <t>第1節 原住民族的社會與文化；第2節 原住民與外來者的互動；第3節 原住民族的權利復振運動</t>
        </is>
      </c>
      <c r="H341" s="4" t="n"/>
      <c r="I341" s="4" t="inlineStr">
        <is>
          <t>出版商頁面</t>
        </is>
      </c>
      <c r="J341" s="5" t="inlineStr">
        <is>
          <t>https://www.ltedu.com.tw/web/prodDetail.aspx?ID=10317</t>
        </is>
      </c>
      <c r="K341" s="4" t="inlineStr">
        <is>
          <t>第一篇 原住民、移民與殖民；節名見於教學講義摘要；未標學年度；來源未標示學年度（108課綱現行版產品資料），無法確認為115或114學年度</t>
        </is>
      </c>
    </row>
    <row r="342">
      <c r="A342" s="4" t="inlineStr">
        <is>
          <t>龍騰</t>
        </is>
      </c>
      <c r="B342" s="4" t="inlineStr">
        <is>
          <t>高中</t>
        </is>
      </c>
      <c r="C342" s="4" t="inlineStr">
        <is>
          <t>12</t>
        </is>
      </c>
      <c r="D342" s="4" t="inlineStr">
        <is>
          <t>選修歷史Ⅰ 族群、性別與國家的歷史</t>
        </is>
      </c>
      <c r="E342" s="4" t="inlineStr">
        <is>
          <t>歷史</t>
        </is>
      </c>
      <c r="F342" s="4" t="inlineStr">
        <is>
          <t>第二章 移民與殖民</t>
        </is>
      </c>
      <c r="G342" s="4" t="n"/>
      <c r="H342" s="4" t="n"/>
      <c r="I342" s="4" t="inlineStr">
        <is>
          <t>出版商頁面</t>
        </is>
      </c>
      <c r="J342" s="5" t="inlineStr">
        <is>
          <t>https://www.ltedu.com.tw/web/prodDetail.aspx?ID=10317</t>
        </is>
      </c>
      <c r="K342" s="4" t="inlineStr">
        <is>
          <t>第一篇 原住民、移民與殖民；未標學年度；來源未標示學年度（108課綱現行版產品資料），無法確認為115或114學年度</t>
        </is>
      </c>
    </row>
    <row r="343">
      <c r="A343" s="4" t="inlineStr">
        <is>
          <t>龍騰</t>
        </is>
      </c>
      <c r="B343" s="4" t="inlineStr">
        <is>
          <t>高中</t>
        </is>
      </c>
      <c r="C343" s="4" t="inlineStr">
        <is>
          <t>12</t>
        </is>
      </c>
      <c r="D343" s="4" t="inlineStr">
        <is>
          <t>選修歷史Ⅰ 族群、性別與國家的歷史</t>
        </is>
      </c>
      <c r="E343" s="4" t="inlineStr">
        <is>
          <t>歷史</t>
        </is>
      </c>
      <c r="F343" s="4" t="inlineStr">
        <is>
          <t>第三章 性別與社會</t>
        </is>
      </c>
      <c r="G343" s="4" t="n"/>
      <c r="H343" s="4" t="n"/>
      <c r="I343" s="4" t="inlineStr">
        <is>
          <t>出版商頁面</t>
        </is>
      </c>
      <c r="J343" s="5" t="inlineStr">
        <is>
          <t>https://www.ltedu.com.tw/web/prodDetail.aspx?ID=10317</t>
        </is>
      </c>
      <c r="K343" s="4" t="inlineStr">
        <is>
          <t>第二篇 性別與歷史；未標學年度；來源未標示學年度（108課綱現行版產品資料），無法確認為115或114學年度</t>
        </is>
      </c>
    </row>
    <row r="344">
      <c r="A344" s="4" t="inlineStr">
        <is>
          <t>龍騰</t>
        </is>
      </c>
      <c r="B344" s="4" t="inlineStr">
        <is>
          <t>高中</t>
        </is>
      </c>
      <c r="C344" s="4" t="inlineStr">
        <is>
          <t>12</t>
        </is>
      </c>
      <c r="D344" s="4" t="inlineStr">
        <is>
          <t>選修歷史Ⅰ 族群、性別與國家的歷史</t>
        </is>
      </c>
      <c r="E344" s="4" t="inlineStr">
        <is>
          <t>歷史</t>
        </is>
      </c>
      <c r="F344" s="4" t="inlineStr">
        <is>
          <t>第四章 女性與政治</t>
        </is>
      </c>
      <c r="G344" s="4" t="n"/>
      <c r="H344" s="4" t="n"/>
      <c r="I344" s="4" t="inlineStr">
        <is>
          <t>出版商頁面</t>
        </is>
      </c>
      <c r="J344" s="5" t="inlineStr">
        <is>
          <t>https://www.ltedu.com.tw/web/prodDetail.aspx?ID=10317</t>
        </is>
      </c>
      <c r="K344" s="4" t="inlineStr">
        <is>
          <t>第二篇 性別與歷史；未標學年度；來源未標示學年度（108課綱現行版產品資料），無法確認為115或114學年度</t>
        </is>
      </c>
    </row>
    <row r="345">
      <c r="A345" s="4" t="inlineStr">
        <is>
          <t>龍騰</t>
        </is>
      </c>
      <c r="B345" s="4" t="inlineStr">
        <is>
          <t>高中</t>
        </is>
      </c>
      <c r="C345" s="4" t="inlineStr">
        <is>
          <t>12</t>
        </is>
      </c>
      <c r="D345" s="4" t="inlineStr">
        <is>
          <t>選修歷史Ⅰ 族群、性別與國家的歷史</t>
        </is>
      </c>
      <c r="E345" s="4" t="inlineStr">
        <is>
          <t>歷史</t>
        </is>
      </c>
      <c r="F345" s="4" t="inlineStr">
        <is>
          <t>第五章 戰爭與歷史傷痛</t>
        </is>
      </c>
      <c r="G345" s="4" t="n"/>
      <c r="H345" s="4" t="n"/>
      <c r="I345" s="4" t="inlineStr">
        <is>
          <t>出版商頁面</t>
        </is>
      </c>
      <c r="J345" s="5" t="inlineStr">
        <is>
          <t>https://www.ltedu.com.tw/web/prodDetail.aspx?ID=10317</t>
        </is>
      </c>
      <c r="K345" s="4" t="inlineStr">
        <is>
          <t>第三篇 現代戰爭與國家暴力；未標學年度；來源未標示學年度（108課綱現行版產品資料），無法確認為115或114學年度</t>
        </is>
      </c>
    </row>
    <row r="346">
      <c r="A346" s="4" t="inlineStr">
        <is>
          <t>龍騰</t>
        </is>
      </c>
      <c r="B346" s="4" t="inlineStr">
        <is>
          <t>高中</t>
        </is>
      </c>
      <c r="C346" s="4" t="inlineStr">
        <is>
          <t>12</t>
        </is>
      </c>
      <c r="D346" s="4" t="inlineStr">
        <is>
          <t>選修歷史Ⅰ 族群、性別與國家的歷史</t>
        </is>
      </c>
      <c r="E346" s="4" t="inlineStr">
        <is>
          <t>歷史</t>
        </is>
      </c>
      <c r="F346" s="4" t="inlineStr">
        <is>
          <t>第六章 國家暴力與轉型正義</t>
        </is>
      </c>
      <c r="G346" s="4" t="n"/>
      <c r="H346" s="4" t="n"/>
      <c r="I346" s="4" t="inlineStr">
        <is>
          <t>出版商頁面</t>
        </is>
      </c>
      <c r="J346" s="5" t="inlineStr">
        <is>
          <t>https://www.ltedu.com.tw/web/prodDetail.aspx?ID=10317</t>
        </is>
      </c>
      <c r="K346" s="4" t="inlineStr">
        <is>
          <t>第三篇 現代戰爭與國家暴力；第六章章名僅見於搜尋摘要（摘要稱為整理），待核對；未標學年度；來源未標示學年度（108課綱現行版產品資料），無法確認為115或114學年度</t>
        </is>
      </c>
    </row>
    <row r="347">
      <c r="A347" s="4" t="inlineStr">
        <is>
          <t>龍騰</t>
        </is>
      </c>
      <c r="B347" s="4" t="inlineStr">
        <is>
          <t>高中</t>
        </is>
      </c>
      <c r="C347" s="4" t="inlineStr">
        <is>
          <t>12</t>
        </is>
      </c>
      <c r="D347" s="4" t="inlineStr">
        <is>
          <t>選修歷史Ⅱ 科技、環境與藝術的歷史</t>
        </is>
      </c>
      <c r="E347" s="4" t="inlineStr">
        <is>
          <t>歷史</t>
        </is>
      </c>
      <c r="F347" s="4" t="inlineStr">
        <is>
          <t>第1章 疾病與醫療</t>
        </is>
      </c>
      <c r="G347" s="4" t="n"/>
      <c r="H347" s="4" t="n"/>
      <c r="I347" s="4" t="inlineStr">
        <is>
          <t>出版商頁面</t>
        </is>
      </c>
      <c r="J347" s="5" t="inlineStr">
        <is>
          <t>https://www.ltedu.com.tw/Web/mobile2/prodlist2.aspx?ID=10552&amp;SourceType=Subject&amp;SbjSubjectDesc=%E6%AD%B7%E5%8F%B2</t>
        </is>
      </c>
      <c r="K347" s="4" t="inlineStr">
        <is>
          <t>章名取自同書學習卷產品頁（各回對應課本章次）；未標學年度；來源未標示學年度（108課綱現行版產品資料），無法確認為115或114學年度</t>
        </is>
      </c>
    </row>
    <row r="348">
      <c r="A348" s="4" t="inlineStr">
        <is>
          <t>龍騰</t>
        </is>
      </c>
      <c r="B348" s="4" t="inlineStr">
        <is>
          <t>高中</t>
        </is>
      </c>
      <c r="C348" s="4" t="inlineStr">
        <is>
          <t>12</t>
        </is>
      </c>
      <c r="D348" s="4" t="inlineStr">
        <is>
          <t>選修歷史Ⅱ 科技、環境與藝術的歷史</t>
        </is>
      </c>
      <c r="E348" s="4" t="inlineStr">
        <is>
          <t>歷史</t>
        </is>
      </c>
      <c r="F348" s="4" t="inlineStr">
        <is>
          <t>第2章 科技與社會</t>
        </is>
      </c>
      <c r="G348" s="4" t="n"/>
      <c r="H348" s="4" t="n"/>
      <c r="I348" s="4" t="inlineStr">
        <is>
          <t>出版商頁面</t>
        </is>
      </c>
      <c r="J348" s="5" t="inlineStr">
        <is>
          <t>https://www.ltedu.com.tw/Web/mobile2/prodlist2.aspx?ID=10552&amp;SourceType=Subject&amp;SbjSubjectDesc=%E6%AD%B7%E5%8F%B2</t>
        </is>
      </c>
      <c r="K348" s="4" t="inlineStr">
        <is>
          <t>章名取自同書學習卷產品頁；未標學年度；來源未標示學年度（108課綱現行版產品資料），無法確認為115或114學年度</t>
        </is>
      </c>
    </row>
    <row r="349">
      <c r="A349" s="4" t="inlineStr">
        <is>
          <t>龍騰</t>
        </is>
      </c>
      <c r="B349" s="4" t="inlineStr">
        <is>
          <t>高中</t>
        </is>
      </c>
      <c r="C349" s="4" t="inlineStr">
        <is>
          <t>12</t>
        </is>
      </c>
      <c r="D349" s="4" t="inlineStr">
        <is>
          <t>選修歷史Ⅱ 科技、環境與藝術的歷史</t>
        </is>
      </c>
      <c r="E349" s="4" t="inlineStr">
        <is>
          <t>歷史</t>
        </is>
      </c>
      <c r="F349" s="4" t="inlineStr">
        <is>
          <t>第3章 物種與文明</t>
        </is>
      </c>
      <c r="G349" s="4" t="n"/>
      <c r="H349" s="4" t="n"/>
      <c r="I349" s="4" t="inlineStr">
        <is>
          <t>出版商頁面</t>
        </is>
      </c>
      <c r="J349" s="5" t="inlineStr">
        <is>
          <t>https://www.ltedu.com.tw/Web/mobile2/prodlist2.aspx?ID=10552&amp;SourceType=Subject&amp;SbjSubjectDesc=%E6%AD%B7%E5%8F%B2</t>
        </is>
      </c>
      <c r="K349" s="4" t="inlineStr">
        <is>
          <t>章名取自同書學習卷產品頁；未標學年度；來源未標示學年度（108課綱現行版產品資料），無法確認為115或114學年度</t>
        </is>
      </c>
    </row>
    <row r="350">
      <c r="A350" s="4" t="inlineStr">
        <is>
          <t>龍騰</t>
        </is>
      </c>
      <c r="B350" s="4" t="inlineStr">
        <is>
          <t>高中</t>
        </is>
      </c>
      <c r="C350" s="4" t="inlineStr">
        <is>
          <t>12</t>
        </is>
      </c>
      <c r="D350" s="4" t="inlineStr">
        <is>
          <t>選修歷史Ⅱ 科技、環境與藝術的歷史</t>
        </is>
      </c>
      <c r="E350" s="4" t="inlineStr">
        <is>
          <t>歷史</t>
        </is>
      </c>
      <c r="F350" s="4" t="inlineStr">
        <is>
          <t>第4章 文明與環境</t>
        </is>
      </c>
      <c r="G350" s="4" t="n"/>
      <c r="H350" s="4" t="n"/>
      <c r="I350" s="4" t="inlineStr">
        <is>
          <t>出版商頁面</t>
        </is>
      </c>
      <c r="J350" s="5" t="inlineStr">
        <is>
          <t>https://www.ltedu.com.tw/Web/mobile2/prodlist2.aspx?ID=10552&amp;SourceType=Subject&amp;SbjSubjectDesc=%E6%AD%B7%E5%8F%B2</t>
        </is>
      </c>
      <c r="K350" s="4" t="inlineStr">
        <is>
          <t>章名取自同書學習卷產品頁；未標學年度；來源未標示學年度（108課綱現行版產品資料），無法確認為115或114學年度</t>
        </is>
      </c>
    </row>
    <row r="351">
      <c r="A351" s="4" t="inlineStr">
        <is>
          <t>龍騰</t>
        </is>
      </c>
      <c r="B351" s="4" t="inlineStr">
        <is>
          <t>高中</t>
        </is>
      </c>
      <c r="C351" s="4" t="inlineStr">
        <is>
          <t>12</t>
        </is>
      </c>
      <c r="D351" s="4" t="inlineStr">
        <is>
          <t>選修歷史Ⅱ 科技、環境與藝術的歷史</t>
        </is>
      </c>
      <c r="E351" s="4" t="inlineStr">
        <is>
          <t>歷史</t>
        </is>
      </c>
      <c r="F351" s="4" t="inlineStr">
        <is>
          <t>第5章 藝術與人文</t>
        </is>
      </c>
      <c r="G351" s="4" t="n"/>
      <c r="H351" s="4" t="n"/>
      <c r="I351" s="4" t="inlineStr">
        <is>
          <t>出版商頁面</t>
        </is>
      </c>
      <c r="J351" s="5" t="inlineStr">
        <is>
          <t>https://www.ltedu.com.tw/Web/mobile2/prodlist2.aspx?ID=10552&amp;SourceType=Subject&amp;SbjSubjectDesc=%E6%AD%B7%E5%8F%B2</t>
        </is>
      </c>
      <c r="K351" s="4" t="inlineStr">
        <is>
          <t>章名取自同書學習卷產品頁；未標學年度；來源未標示學年度（108課綱現行版產品資料），無法確認為115或114學年度</t>
        </is>
      </c>
    </row>
    <row r="352">
      <c r="A352" s="4" t="inlineStr">
        <is>
          <t>龍騰</t>
        </is>
      </c>
      <c r="B352" s="4" t="inlineStr">
        <is>
          <t>高中</t>
        </is>
      </c>
      <c r="C352" s="4" t="inlineStr">
        <is>
          <t>12</t>
        </is>
      </c>
      <c r="D352" s="4" t="inlineStr">
        <is>
          <t>選修歷史Ⅱ 科技、環境與藝術的歷史</t>
        </is>
      </c>
      <c r="E352" s="4" t="inlineStr">
        <is>
          <t>歷史</t>
        </is>
      </c>
      <c r="F352" s="4" t="inlineStr">
        <is>
          <t>第6章 文化與生活</t>
        </is>
      </c>
      <c r="G352" s="4" t="n"/>
      <c r="H352" s="4" t="n"/>
      <c r="I352" s="4" t="inlineStr">
        <is>
          <t>出版商頁面</t>
        </is>
      </c>
      <c r="J352" s="5" t="inlineStr">
        <is>
          <t>https://www.ltedu.com.tw/Web/mobile2/prodlist2.aspx?ID=10552&amp;SourceType=Subject&amp;SbjSubjectDesc=%E6%AD%B7%E5%8F%B2</t>
        </is>
      </c>
      <c r="K352" s="4" t="inlineStr">
        <is>
          <t>章名取自同書學習卷產品頁；未標學年度；來源未標示學年度（108課綱現行版產品資料），無法確認為115或114學年度</t>
        </is>
      </c>
    </row>
    <row r="353">
      <c r="A353" s="4" t="inlineStr">
        <is>
          <t>龍騰</t>
        </is>
      </c>
      <c r="B353" s="4" t="inlineStr">
        <is>
          <t>高中</t>
        </is>
      </c>
      <c r="C353" s="4" t="inlineStr">
        <is>
          <t>10</t>
        </is>
      </c>
      <c r="D353" s="4" t="inlineStr">
        <is>
          <t>第一冊</t>
        </is>
      </c>
      <c r="E353" s="4" t="inlineStr">
        <is>
          <t>地理</t>
        </is>
      </c>
      <c r="F353" s="4" t="inlineStr">
        <is>
          <t>第一章 為什麼要學地理</t>
        </is>
      </c>
      <c r="G353" s="4" t="inlineStr">
        <is>
          <t>第一節 地理學的研究內涵；第二節 地理學的研究方法；地理探究：解決問題的策略與步驟</t>
        </is>
      </c>
      <c r="H353" s="4" t="n"/>
      <c r="I353" s="4" t="inlineStr">
        <is>
          <t>出版商頁面</t>
        </is>
      </c>
      <c r="J353" s="5" t="inlineStr">
        <is>
          <t>https://www.ltedu.com.tw/web/prodDetail.aspx?ID=10431</t>
        </is>
      </c>
      <c r="K353" s="4" t="inlineStr">
        <is>
          <t>書號68001；產品頁未標學年度；來源未標示學年度（108課綱現行版產品資料），無法確認為115或114學年度</t>
        </is>
      </c>
    </row>
    <row r="354">
      <c r="A354" s="4" t="inlineStr">
        <is>
          <t>龍騰</t>
        </is>
      </c>
      <c r="B354" s="4" t="inlineStr">
        <is>
          <t>高中</t>
        </is>
      </c>
      <c r="C354" s="4" t="inlineStr">
        <is>
          <t>10</t>
        </is>
      </c>
      <c r="D354" s="4" t="inlineStr">
        <is>
          <t>第一冊</t>
        </is>
      </c>
      <c r="E354" s="4" t="inlineStr">
        <is>
          <t>地理</t>
        </is>
      </c>
      <c r="F354" s="4" t="inlineStr">
        <is>
          <t>第二章 地圖</t>
        </is>
      </c>
      <c r="G354" s="4" t="inlineStr">
        <is>
          <t>第一節 地圖的本質與要素；第二節 地圖投影；第三節 地圖的種類；地理探究：地圖量測與判讀</t>
        </is>
      </c>
      <c r="H354" s="4" t="n"/>
      <c r="I354" s="4" t="inlineStr">
        <is>
          <t>出版商頁面</t>
        </is>
      </c>
      <c r="J354" s="5" t="inlineStr">
        <is>
          <t>https://www.ltedu.com.tw/web/prodDetail.aspx?ID=10431</t>
        </is>
      </c>
      <c r="K354" s="4" t="inlineStr">
        <is>
          <t>產品頁未標學年度；來源未標示學年度（108課綱現行版產品資料），無法確認為115或114學年度</t>
        </is>
      </c>
    </row>
    <row r="355">
      <c r="A355" s="4" t="inlineStr">
        <is>
          <t>龍騰</t>
        </is>
      </c>
      <c r="B355" s="4" t="inlineStr">
        <is>
          <t>高中</t>
        </is>
      </c>
      <c r="C355" s="4" t="inlineStr">
        <is>
          <t>10</t>
        </is>
      </c>
      <c r="D355" s="4" t="inlineStr">
        <is>
          <t>第一冊</t>
        </is>
      </c>
      <c r="E355" s="4" t="inlineStr">
        <is>
          <t>地理</t>
        </is>
      </c>
      <c r="F355" s="4" t="inlineStr">
        <is>
          <t>第三章 地理資訊</t>
        </is>
      </c>
      <c r="G355" s="4" t="inlineStr">
        <is>
          <t>第一節 地理資訊的組成；第二節 地理資訊系統的功能；地理探究：如何租好屋？</t>
        </is>
      </c>
      <c r="H355" s="4" t="n"/>
      <c r="I355" s="4" t="inlineStr">
        <is>
          <t>出版商頁面</t>
        </is>
      </c>
      <c r="J355" s="5" t="inlineStr">
        <is>
          <t>https://www.ltedu.com.tw/web/prodDetail.aspx?ID=10431</t>
        </is>
      </c>
      <c r="K355" s="4" t="inlineStr">
        <is>
          <t>產品頁未標學年度；來源未標示學年度（108課綱現行版產品資料），無法確認為115或114學年度</t>
        </is>
      </c>
    </row>
    <row r="356">
      <c r="A356" s="4" t="inlineStr">
        <is>
          <t>龍騰</t>
        </is>
      </c>
      <c r="B356" s="4" t="inlineStr">
        <is>
          <t>高中</t>
        </is>
      </c>
      <c r="C356" s="4" t="inlineStr">
        <is>
          <t>10</t>
        </is>
      </c>
      <c r="D356" s="4" t="inlineStr">
        <is>
          <t>第一冊</t>
        </is>
      </c>
      <c r="E356" s="4" t="inlineStr">
        <is>
          <t>地理</t>
        </is>
      </c>
      <c r="F356" s="4" t="inlineStr">
        <is>
          <t>第四章 地形系統</t>
        </is>
      </c>
      <c r="G356" s="4" t="inlineStr">
        <is>
          <t>第一節 地形系統與營力；第二節 流水、冰河塑造的地形與辨識；第三節 風、波浪塑造的地形與辨識；地理探究：地形與人類生活</t>
        </is>
      </c>
      <c r="H356" s="4" t="n"/>
      <c r="I356" s="4" t="inlineStr">
        <is>
          <t>出版商頁面</t>
        </is>
      </c>
      <c r="J356" s="5" t="inlineStr">
        <is>
          <t>https://www.ltedu.com.tw/web/prodDetail.aspx?ID=10431</t>
        </is>
      </c>
      <c r="K356" s="4" t="inlineStr">
        <is>
          <t>產品頁未標學年度；來源未標示學年度（108課綱現行版產品資料），無法確認為115或114學年度</t>
        </is>
      </c>
    </row>
    <row r="357">
      <c r="A357" s="4" t="inlineStr">
        <is>
          <t>龍騰</t>
        </is>
      </c>
      <c r="B357" s="4" t="inlineStr">
        <is>
          <t>高中</t>
        </is>
      </c>
      <c r="C357" s="4" t="inlineStr">
        <is>
          <t>10</t>
        </is>
      </c>
      <c r="D357" s="4" t="inlineStr">
        <is>
          <t>第一冊</t>
        </is>
      </c>
      <c r="E357" s="4" t="inlineStr">
        <is>
          <t>地理</t>
        </is>
      </c>
      <c r="F357" s="4" t="inlineStr">
        <is>
          <t>第五章 氣候系統</t>
        </is>
      </c>
      <c r="G357" s="4" t="inlineStr">
        <is>
          <t>第一節 氣候要素；第二節 大氣環流與洋流系統；第三節 氣候類型與自然景觀帶（一）；第四節 氣候類型與自然景觀帶（二）；地理探究：氣候、水資源與人類生活</t>
        </is>
      </c>
      <c r="H357" s="4" t="n"/>
      <c r="I357" s="4" t="inlineStr">
        <is>
          <t>出版商頁面</t>
        </is>
      </c>
      <c r="J357" s="5" t="inlineStr">
        <is>
          <t>https://www.ltedu.com.tw/web/prodDetail.aspx?ID=10431</t>
        </is>
      </c>
      <c r="K357" s="4" t="inlineStr">
        <is>
          <t>搜尋摘要只顯示到第五章，第五章之後是否還有其他章未查到；產品頁未標學年度；來源未標示學年度（108課綱現行版產品資料），無法確認為115或114學年度</t>
        </is>
      </c>
    </row>
    <row r="358">
      <c r="A358" s="6" t="inlineStr">
        <is>
          <t>龍騰</t>
        </is>
      </c>
      <c r="B358" s="6" t="inlineStr">
        <is>
          <t>高中</t>
        </is>
      </c>
      <c r="C358" s="6" t="inlineStr">
        <is>
          <t>10</t>
        </is>
      </c>
      <c r="D358" s="6" t="inlineStr">
        <is>
          <t>第二冊</t>
        </is>
      </c>
      <c r="E358" s="6" t="inlineStr">
        <is>
          <t>地理</t>
        </is>
      </c>
      <c r="F358" s="6" t="n"/>
      <c r="G358" s="6" t="n"/>
      <c r="H358" s="6" t="n"/>
      <c r="I358" s="6" t="n"/>
      <c r="J358" s="6" t="n"/>
      <c r="K358" s="6" t="inlineStr">
        <is>
          <t>未查到（WebSearch 額度用盡，未及搜尋）</t>
        </is>
      </c>
    </row>
    <row r="359">
      <c r="A359" s="6" t="inlineStr">
        <is>
          <t>龍騰</t>
        </is>
      </c>
      <c r="B359" s="6" t="inlineStr">
        <is>
          <t>高中</t>
        </is>
      </c>
      <c r="C359" s="6" t="inlineStr">
        <is>
          <t>11</t>
        </is>
      </c>
      <c r="D359" s="6" t="inlineStr">
        <is>
          <t>第三冊</t>
        </is>
      </c>
      <c r="E359" s="6" t="inlineStr">
        <is>
          <t>地理</t>
        </is>
      </c>
      <c r="F359" s="6" t="n"/>
      <c r="G359" s="6" t="n"/>
      <c r="H359" s="6" t="n"/>
      <c r="I359" s="6" t="n"/>
      <c r="J359" s="6" t="n"/>
      <c r="K359" s="6" t="inlineStr">
        <is>
          <t>未查到（WebSearch 額度用盡，未及搜尋）</t>
        </is>
      </c>
    </row>
    <row r="360">
      <c r="A360" s="6" t="inlineStr">
        <is>
          <t>龍騰</t>
        </is>
      </c>
      <c r="B360" s="6" t="inlineStr">
        <is>
          <t>高中</t>
        </is>
      </c>
      <c r="C360" s="6" t="n"/>
      <c r="D360" s="6" t="inlineStr">
        <is>
          <t>加深加廣選修 探究與實作：地理與人文社會科學研究</t>
        </is>
      </c>
      <c r="E360" s="6" t="inlineStr">
        <is>
          <t>地理</t>
        </is>
      </c>
      <c r="F360" s="6" t="n"/>
      <c r="G360" s="6" t="n"/>
      <c r="H360" s="6" t="n"/>
      <c r="I360" s="6" t="n"/>
      <c r="J360" s="6" t="n"/>
      <c r="K360" s="6" t="inlineStr">
        <is>
          <t>未查到（WebSearch 額度用盡，未及搜尋）</t>
        </is>
      </c>
    </row>
    <row r="361">
      <c r="A361" s="6" t="inlineStr">
        <is>
          <t>龍騰</t>
        </is>
      </c>
      <c r="B361" s="6" t="inlineStr">
        <is>
          <t>高中</t>
        </is>
      </c>
      <c r="C361" s="6" t="n"/>
      <c r="D361" s="6" t="inlineStr">
        <is>
          <t>加深加廣選修 空間資訊科技</t>
        </is>
      </c>
      <c r="E361" s="6" t="inlineStr">
        <is>
          <t>地理</t>
        </is>
      </c>
      <c r="F361" s="6" t="n"/>
      <c r="G361" s="6" t="n"/>
      <c r="H361" s="6" t="n"/>
      <c r="I361" s="6" t="n"/>
      <c r="J361" s="6" t="n"/>
      <c r="K361" s="6" t="inlineStr">
        <is>
          <t>未查到（WebSearch 額度用盡，未及搜尋）</t>
        </is>
      </c>
    </row>
    <row r="362">
      <c r="A362" s="6" t="inlineStr">
        <is>
          <t>龍騰</t>
        </is>
      </c>
      <c r="B362" s="6" t="inlineStr">
        <is>
          <t>高中</t>
        </is>
      </c>
      <c r="C362" s="6" t="n"/>
      <c r="D362" s="6" t="inlineStr">
        <is>
          <t>選修地理Ⅱ 社會環境議題</t>
        </is>
      </c>
      <c r="E362" s="6" t="inlineStr">
        <is>
          <t>地理</t>
        </is>
      </c>
      <c r="F362" s="6" t="n"/>
      <c r="G362" s="6" t="n"/>
      <c r="H362" s="6" t="n"/>
      <c r="I362" s="6" t="inlineStr">
        <is>
          <t>出版商頁面</t>
        </is>
      </c>
      <c r="J362" s="7" t="inlineStr">
        <is>
          <t>https://www.ltedu.com.tw/Web/prodDetail.aspx?ID=10322</t>
        </is>
      </c>
      <c r="K362" s="6" t="inlineStr">
        <is>
          <t>僅確認龍騰有「選修地理Ⅱ(全)社會環境議題」（學習卷產品頁），章節未查到；來源未標示學年度（108課綱現行版產品資料），無法確認為115或114學年度</t>
        </is>
      </c>
    </row>
    <row r="363">
      <c r="A363" s="4" t="inlineStr">
        <is>
          <t>龍騰</t>
        </is>
      </c>
      <c r="B363" s="4" t="inlineStr">
        <is>
          <t>高中</t>
        </is>
      </c>
      <c r="C363" s="4" t="inlineStr">
        <is>
          <t>10</t>
        </is>
      </c>
      <c r="D363" s="4" t="inlineStr">
        <is>
          <t>第一冊</t>
        </is>
      </c>
      <c r="E363" s="4" t="inlineStr">
        <is>
          <t>公民與社會</t>
        </is>
      </c>
      <c r="F363" s="4" t="inlineStr">
        <is>
          <t>公民身分與普世人權</t>
        </is>
      </c>
      <c r="G363" s="4" t="n"/>
      <c r="H363" s="4" t="n"/>
      <c r="I363" s="4" t="inlineStr">
        <is>
          <t>出版商頁面</t>
        </is>
      </c>
      <c r="J363" s="5" t="inlineStr">
        <is>
          <t>https://www.ltedu.com.tw/web/prodDetail.aspx?ID=10349</t>
        </is>
      </c>
      <c r="K363" s="4" t="inlineStr">
        <is>
          <t>公民與社會1（乙版）；摘要未顯示章次編號，以下七章依產品頁列出順序排列；節名未取得；未標學年度；來源未標示學年度（108課綱現行版產品資料），無法確認為115或114學年度</t>
        </is>
      </c>
    </row>
    <row r="364">
      <c r="A364" s="4" t="inlineStr">
        <is>
          <t>龍騰</t>
        </is>
      </c>
      <c r="B364" s="4" t="inlineStr">
        <is>
          <t>高中</t>
        </is>
      </c>
      <c r="C364" s="4" t="inlineStr">
        <is>
          <t>10</t>
        </is>
      </c>
      <c r="D364" s="4" t="inlineStr">
        <is>
          <t>第一冊</t>
        </is>
      </c>
      <c r="E364" s="4" t="inlineStr">
        <is>
          <t>公民與社會</t>
        </is>
      </c>
      <c r="F364" s="4" t="inlineStr">
        <is>
          <t>國家主權與認同</t>
        </is>
      </c>
      <c r="G364" s="4" t="n"/>
      <c r="H364" s="4" t="n"/>
      <c r="I364" s="4" t="inlineStr">
        <is>
          <t>出版商頁面</t>
        </is>
      </c>
      <c r="J364" s="5" t="inlineStr">
        <is>
          <t>https://www.ltedu.com.tw/web/prodDetail.aspx?ID=10349</t>
        </is>
      </c>
      <c r="K364" s="4" t="inlineStr">
        <is>
          <t>公民與社會1（乙版）；章次編號未見；來源未標示學年度（108課綱現行版產品資料），無法確認為115或114學年度</t>
        </is>
      </c>
    </row>
    <row r="365">
      <c r="A365" s="4" t="inlineStr">
        <is>
          <t>龍騰</t>
        </is>
      </c>
      <c r="B365" s="4" t="inlineStr">
        <is>
          <t>高中</t>
        </is>
      </c>
      <c r="C365" s="4" t="inlineStr">
        <is>
          <t>10</t>
        </is>
      </c>
      <c r="D365" s="4" t="inlineStr">
        <is>
          <t>第一冊</t>
        </is>
      </c>
      <c r="E365" s="4" t="inlineStr">
        <is>
          <t>公民與社會</t>
        </is>
      </c>
      <c r="F365" s="4" t="inlineStr">
        <is>
          <t>政府組成與運作</t>
        </is>
      </c>
      <c r="G365" s="4" t="n"/>
      <c r="H365" s="4" t="n"/>
      <c r="I365" s="4" t="inlineStr">
        <is>
          <t>出版商頁面</t>
        </is>
      </c>
      <c r="J365" s="5" t="inlineStr">
        <is>
          <t>https://www.ltedu.com.tw/web/prodDetail.aspx?ID=10349</t>
        </is>
      </c>
      <c r="K365" s="4" t="inlineStr">
        <is>
          <t>公民與社會1（乙版）；章次編號未見；來源未標示學年度（108課綱現行版產品資料），無法確認為115或114學年度</t>
        </is>
      </c>
    </row>
    <row r="366">
      <c r="A366" s="4" t="inlineStr">
        <is>
          <t>龍騰</t>
        </is>
      </c>
      <c r="B366" s="4" t="inlineStr">
        <is>
          <t>高中</t>
        </is>
      </c>
      <c r="C366" s="4" t="inlineStr">
        <is>
          <t>10</t>
        </is>
      </c>
      <c r="D366" s="4" t="inlineStr">
        <is>
          <t>第一冊</t>
        </is>
      </c>
      <c r="E366" s="4" t="inlineStr">
        <is>
          <t>公民與社會</t>
        </is>
      </c>
      <c r="F366" s="4" t="inlineStr">
        <is>
          <t>公民參與及民主治理</t>
        </is>
      </c>
      <c r="G366" s="4" t="n"/>
      <c r="H366" s="4" t="n"/>
      <c r="I366" s="4" t="inlineStr">
        <is>
          <t>出版商頁面</t>
        </is>
      </c>
      <c r="J366" s="5" t="inlineStr">
        <is>
          <t>https://www.ltedu.com.tw/web/prodDetail.aspx?ID=10349</t>
        </is>
      </c>
      <c r="K366" s="4" t="inlineStr">
        <is>
          <t>公民與社會1（乙版）；章次編號未見；來源未標示學年度（108課綱現行版產品資料），無法確認為115或114學年度</t>
        </is>
      </c>
    </row>
    <row r="367">
      <c r="A367" s="4" t="inlineStr">
        <is>
          <t>龍騰</t>
        </is>
      </c>
      <c r="B367" s="4" t="inlineStr">
        <is>
          <t>高中</t>
        </is>
      </c>
      <c r="C367" s="4" t="inlineStr">
        <is>
          <t>10</t>
        </is>
      </c>
      <c r="D367" s="4" t="inlineStr">
        <is>
          <t>第一冊</t>
        </is>
      </c>
      <c r="E367" s="4" t="inlineStr">
        <is>
          <t>公民與社會</t>
        </is>
      </c>
      <c r="F367" s="4" t="inlineStr">
        <is>
          <t>媒體與公共生活</t>
        </is>
      </c>
      <c r="G367" s="4" t="n"/>
      <c r="H367" s="4" t="n"/>
      <c r="I367" s="4" t="inlineStr">
        <is>
          <t>出版商頁面</t>
        </is>
      </c>
      <c r="J367" s="5" t="inlineStr">
        <is>
          <t>https://www.ltedu.com.tw/web/prodDetail.aspx?ID=10349</t>
        </is>
      </c>
      <c r="K367" s="4" t="inlineStr">
        <is>
          <t>公民與社會1（乙版）；章次編號未見；來源未標示學年度（108課綱現行版產品資料），無法確認為115或114學年度</t>
        </is>
      </c>
    </row>
    <row r="368">
      <c r="A368" s="4" t="inlineStr">
        <is>
          <t>龍騰</t>
        </is>
      </c>
      <c r="B368" s="4" t="inlineStr">
        <is>
          <t>高中</t>
        </is>
      </c>
      <c r="C368" s="4" t="inlineStr">
        <is>
          <t>10</t>
        </is>
      </c>
      <c r="D368" s="4" t="inlineStr">
        <is>
          <t>第一冊</t>
        </is>
      </c>
      <c r="E368" s="4" t="inlineStr">
        <is>
          <t>公民與社會</t>
        </is>
      </c>
      <c r="F368" s="4" t="inlineStr">
        <is>
          <t>公平正義與文化</t>
        </is>
      </c>
      <c r="G368" s="4" t="n"/>
      <c r="H368" s="4" t="n"/>
      <c r="I368" s="4" t="inlineStr">
        <is>
          <t>出版商頁面</t>
        </is>
      </c>
      <c r="J368" s="5" t="inlineStr">
        <is>
          <t>https://www.ltedu.com.tw/web/prodDetail.aspx?ID=10349</t>
        </is>
      </c>
      <c r="K368" s="4" t="inlineStr">
        <is>
          <t>公民與社會1（乙版）；章次編號未見；來源未標示學年度（108課綱現行版產品資料），無法確認為115或114學年度</t>
        </is>
      </c>
    </row>
    <row r="369">
      <c r="A369" s="4" t="inlineStr">
        <is>
          <t>龍騰</t>
        </is>
      </c>
      <c r="B369" s="4" t="inlineStr">
        <is>
          <t>高中</t>
        </is>
      </c>
      <c r="C369" s="4" t="inlineStr">
        <is>
          <t>10</t>
        </is>
      </c>
      <c r="D369" s="4" t="inlineStr">
        <is>
          <t>第一冊</t>
        </is>
      </c>
      <c r="E369" s="4" t="inlineStr">
        <is>
          <t>公民與社會</t>
        </is>
      </c>
      <c r="F369" s="4" t="inlineStr">
        <is>
          <t>社會安全制度</t>
        </is>
      </c>
      <c r="G369" s="4" t="n"/>
      <c r="H369" s="4" t="n"/>
      <c r="I369" s="4" t="inlineStr">
        <is>
          <t>出版商頁面</t>
        </is>
      </c>
      <c r="J369" s="5" t="inlineStr">
        <is>
          <t>https://www.ltedu.com.tw/web/prodDetail.aspx?ID=10349</t>
        </is>
      </c>
      <c r="K369" s="4" t="inlineStr">
        <is>
          <t>公民與社會1（乙版）；章次編號未見；來源未標示學年度（108課綱現行版產品資料），無法確認為115或114學年度</t>
        </is>
      </c>
    </row>
    <row r="370">
      <c r="A370" s="4" t="inlineStr">
        <is>
          <t>龍騰</t>
        </is>
      </c>
      <c r="B370" s="4" t="inlineStr">
        <is>
          <t>高中</t>
        </is>
      </c>
      <c r="C370" s="4" t="inlineStr">
        <is>
          <t>10</t>
        </is>
      </c>
      <c r="D370" s="4" t="inlineStr">
        <is>
          <t>第二冊</t>
        </is>
      </c>
      <c r="E370" s="4" t="inlineStr">
        <is>
          <t>公民與社會</t>
        </is>
      </c>
      <c r="F370" s="4" t="inlineStr">
        <is>
          <t>第1章 社會規範與法治建立</t>
        </is>
      </c>
      <c r="G370" s="4" t="n"/>
      <c r="H370" s="4" t="n"/>
      <c r="I370" s="4" t="inlineStr">
        <is>
          <t>出版商頁面</t>
        </is>
      </c>
      <c r="J370" s="5" t="inlineStr">
        <is>
          <t>https://www.ltedu.com.tw/Web/mobile2/prodlist2.aspx?ID=10390&amp;SourceType=Subject&amp;SbjSubjectDesc=%E5%85%AC%E6%B0%91%E8%88%87%E7%A4%BE%E6%9C%83</t>
        </is>
      </c>
      <c r="K370" s="4" t="inlineStr">
        <is>
          <t>公民與社會2（乙版），書號69012；摘要僅以概述方式提及內容（社會規範、規範改變、立法程序與法律解釋），未逐字取得節名；未標學年度；來源未標示學年度（108課綱現行版產品資料），無法確認為115或114學年度</t>
        </is>
      </c>
    </row>
    <row r="371">
      <c r="A371" s="4" t="inlineStr">
        <is>
          <t>龍騰</t>
        </is>
      </c>
      <c r="B371" s="4" t="inlineStr">
        <is>
          <t>高中</t>
        </is>
      </c>
      <c r="C371" s="4" t="inlineStr">
        <is>
          <t>10</t>
        </is>
      </c>
      <c r="D371" s="4" t="inlineStr">
        <is>
          <t>第二冊</t>
        </is>
      </c>
      <c r="E371" s="4" t="inlineStr">
        <is>
          <t>公民與社會</t>
        </is>
      </c>
      <c r="F371" s="4" t="inlineStr">
        <is>
          <t>第2章 憲法與權利保障</t>
        </is>
      </c>
      <c r="G371" s="4" t="n"/>
      <c r="H371" s="4" t="n"/>
      <c r="I371" s="4" t="inlineStr">
        <is>
          <t>出版商頁面</t>
        </is>
      </c>
      <c r="J371" s="5" t="inlineStr">
        <is>
          <t>https://www.ltedu.com.tw/Web/mobile2/prodlist2.aspx?ID=10390&amp;SourceType=Subject&amp;SbjSubjectDesc=%E5%85%AC%E6%B0%91%E8%88%87%E7%A4%BE%E6%9C%83</t>
        </is>
      </c>
      <c r="K371" s="4" t="inlineStr">
        <is>
          <t>公民與社會2（乙版）；節名未逐字取得；來源未標示學年度（108課綱現行版產品資料），無法確認為115或114學年度</t>
        </is>
      </c>
    </row>
    <row r="372">
      <c r="A372" s="4" t="inlineStr">
        <is>
          <t>龍騰</t>
        </is>
      </c>
      <c r="B372" s="4" t="inlineStr">
        <is>
          <t>高中</t>
        </is>
      </c>
      <c r="C372" s="4" t="inlineStr">
        <is>
          <t>10</t>
        </is>
      </c>
      <c r="D372" s="4" t="inlineStr">
        <is>
          <t>第二冊</t>
        </is>
      </c>
      <c r="E372" s="4" t="inlineStr">
        <is>
          <t>公民與社會</t>
        </is>
      </c>
      <c r="F372" s="4" t="inlineStr">
        <is>
          <t>第3章 生活中的行政法</t>
        </is>
      </c>
      <c r="G372" s="4" t="n"/>
      <c r="H372" s="4" t="n"/>
      <c r="I372" s="4" t="inlineStr">
        <is>
          <t>出版商頁面</t>
        </is>
      </c>
      <c r="J372" s="5" t="inlineStr">
        <is>
          <t>https://www.ltedu.com.tw/Web/mobile2/prodlist2.aspx?ID=10390&amp;SourceType=Subject&amp;SbjSubjectDesc=%E5%85%AC%E6%B0%91%E8%88%87%E7%A4%BE%E6%9C%83</t>
        </is>
      </c>
      <c r="K372" s="4" t="inlineStr">
        <is>
          <t>公民與社會2（乙版）；節名未逐字取得；來源未標示學年度（108課綱現行版產品資料），無法確認為115或114學年度</t>
        </is>
      </c>
    </row>
    <row r="373">
      <c r="A373" s="4" t="inlineStr">
        <is>
          <t>龍騰</t>
        </is>
      </c>
      <c r="B373" s="4" t="inlineStr">
        <is>
          <t>高中</t>
        </is>
      </c>
      <c r="C373" s="4" t="inlineStr">
        <is>
          <t>10</t>
        </is>
      </c>
      <c r="D373" s="4" t="inlineStr">
        <is>
          <t>第二冊</t>
        </is>
      </c>
      <c r="E373" s="4" t="inlineStr">
        <is>
          <t>公民與社會</t>
        </is>
      </c>
      <c r="F373" s="4" t="inlineStr">
        <is>
          <t>第4章 刑罰與犯罪追訴</t>
        </is>
      </c>
      <c r="G373" s="4" t="n"/>
      <c r="H373" s="4" t="n"/>
      <c r="I373" s="4" t="inlineStr">
        <is>
          <t>出版商頁面</t>
        </is>
      </c>
      <c r="J373" s="5" t="inlineStr">
        <is>
          <t>https://www.ltedu.com.tw/Web/mobile2/prodlist2.aspx?ID=10390&amp;SourceType=Subject&amp;SbjSubjectDesc=%E5%85%AC%E6%B0%91%E8%88%87%E7%A4%BE%E6%9C%83</t>
        </is>
      </c>
      <c r="K373" s="4" t="inlineStr">
        <is>
          <t>公民與社會2（乙版）；節名未逐字取得；來源未標示學年度（108課綱現行版產品資料），無法確認為115或114學年度</t>
        </is>
      </c>
    </row>
    <row r="374">
      <c r="A374" s="4" t="inlineStr">
        <is>
          <t>龍騰</t>
        </is>
      </c>
      <c r="B374" s="4" t="inlineStr">
        <is>
          <t>高中</t>
        </is>
      </c>
      <c r="C374" s="4" t="inlineStr">
        <is>
          <t>11</t>
        </is>
      </c>
      <c r="D374" s="4" t="inlineStr">
        <is>
          <t>第三冊</t>
        </is>
      </c>
      <c r="E374" s="4" t="inlineStr">
        <is>
          <t>公民與社會</t>
        </is>
      </c>
      <c r="F374" s="4" t="inlineStr">
        <is>
          <t>CH1 契約自由與財產權保障</t>
        </is>
      </c>
      <c r="G374" s="4" t="n"/>
      <c r="H374" s="4" t="n"/>
      <c r="I374" s="4" t="inlineStr">
        <is>
          <t>出版商頁面</t>
        </is>
      </c>
      <c r="J374" s="5" t="inlineStr">
        <is>
          <t>https://www.ltedu.com.tw/Web/Sharefile/EDM/curriculum-map/ghs/civ/index.html</t>
        </is>
      </c>
      <c r="K374" s="4" t="inlineStr">
        <is>
          <t>取自龍騰公民課程地圖，該頁註明細節仍待審定公布，可能不是現行乙版定本；未查到公民與社會3（乙版）課本產品頁；來源未標示學年度（108課綱現行版產品資料），無法確認為115或114學年度</t>
        </is>
      </c>
    </row>
    <row r="375">
      <c r="A375" s="4" t="inlineStr">
        <is>
          <t>龍騰</t>
        </is>
      </c>
      <c r="B375" s="4" t="inlineStr">
        <is>
          <t>高中</t>
        </is>
      </c>
      <c r="C375" s="4" t="inlineStr">
        <is>
          <t>11</t>
        </is>
      </c>
      <c r="D375" s="4" t="inlineStr">
        <is>
          <t>第三冊</t>
        </is>
      </c>
      <c r="E375" s="4" t="inlineStr">
        <is>
          <t>公民與社會</t>
        </is>
      </c>
      <c r="F375" s="4" t="inlineStr">
        <is>
          <t>CH2 市場與交易</t>
        </is>
      </c>
      <c r="G375" s="4" t="n"/>
      <c r="H375" s="4" t="n"/>
      <c r="I375" s="4" t="inlineStr">
        <is>
          <t>出版商頁面</t>
        </is>
      </c>
      <c r="J375" s="5" t="inlineStr">
        <is>
          <t>https://www.ltedu.com.tw/Web/Sharefile/EDM/curriculum-map/ghs/civ/index.html</t>
        </is>
      </c>
      <c r="K375" s="4" t="inlineStr">
        <is>
          <t>取自課程地圖（待審定版），待核對；來源未標示學年度（108課綱現行版產品資料），無法確認為115或114學年度</t>
        </is>
      </c>
    </row>
    <row r="376">
      <c r="A376" s="4" t="inlineStr">
        <is>
          <t>龍騰</t>
        </is>
      </c>
      <c r="B376" s="4" t="inlineStr">
        <is>
          <t>高中</t>
        </is>
      </c>
      <c r="C376" s="4" t="inlineStr">
        <is>
          <t>11</t>
        </is>
      </c>
      <c r="D376" s="4" t="inlineStr">
        <is>
          <t>第三冊</t>
        </is>
      </c>
      <c r="E376" s="4" t="inlineStr">
        <is>
          <t>公民與社會</t>
        </is>
      </c>
      <c r="F376" s="4" t="inlineStr">
        <is>
          <t>CH3 市場機能與政府管制</t>
        </is>
      </c>
      <c r="G376" s="4" t="n"/>
      <c r="H376" s="4" t="n"/>
      <c r="I376" s="4" t="inlineStr">
        <is>
          <t>出版商頁面</t>
        </is>
      </c>
      <c r="J376" s="5" t="inlineStr">
        <is>
          <t>https://www.ltedu.com.tw/Web/Sharefile/EDM/curriculum-map/ghs/civ/index.html</t>
        </is>
      </c>
      <c r="K376" s="4" t="inlineStr">
        <is>
          <t>取自課程地圖（待審定版），待核對；來源未標示學年度（108課綱現行版產品資料），無法確認為115或114學年度</t>
        </is>
      </c>
    </row>
    <row r="377">
      <c r="A377" s="4" t="inlineStr">
        <is>
          <t>龍騰</t>
        </is>
      </c>
      <c r="B377" s="4" t="inlineStr">
        <is>
          <t>高中</t>
        </is>
      </c>
      <c r="C377" s="4" t="inlineStr">
        <is>
          <t>11</t>
        </is>
      </c>
      <c r="D377" s="4" t="inlineStr">
        <is>
          <t>第三冊</t>
        </is>
      </c>
      <c r="E377" s="4" t="inlineStr">
        <is>
          <t>公民與社會</t>
        </is>
      </c>
      <c r="F377" s="4" t="inlineStr">
        <is>
          <t>CH4 市場失靈與外部性</t>
        </is>
      </c>
      <c r="G377" s="4" t="n"/>
      <c r="H377" s="4" t="n"/>
      <c r="I377" s="4" t="inlineStr">
        <is>
          <t>出版商頁面</t>
        </is>
      </c>
      <c r="J377" s="5" t="inlineStr">
        <is>
          <t>https://www.ltedu.com.tw/Web/Sharefile/EDM/curriculum-map/ghs/civ/index.html</t>
        </is>
      </c>
      <c r="K377" s="4" t="inlineStr">
        <is>
          <t>取自課程地圖（待審定版），待核對；來源未標示學年度（108課綱現行版產品資料），無法確認為115或114學年度</t>
        </is>
      </c>
    </row>
    <row r="378">
      <c r="A378" s="4" t="inlineStr">
        <is>
          <t>龍騰</t>
        </is>
      </c>
      <c r="B378" s="4" t="inlineStr">
        <is>
          <t>高中</t>
        </is>
      </c>
      <c r="C378" s="4" t="inlineStr">
        <is>
          <t>11</t>
        </is>
      </c>
      <c r="D378" s="4" t="inlineStr">
        <is>
          <t>第三冊</t>
        </is>
      </c>
      <c r="E378" s="4" t="inlineStr">
        <is>
          <t>公民與社會</t>
        </is>
      </c>
      <c r="F378" s="4" t="inlineStr">
        <is>
          <t>CH5 所得與貿易</t>
        </is>
      </c>
      <c r="G378" s="4" t="n"/>
      <c r="H378" s="4" t="n"/>
      <c r="I378" s="4" t="inlineStr">
        <is>
          <t>出版商頁面</t>
        </is>
      </c>
      <c r="J378" s="5" t="inlineStr">
        <is>
          <t>https://www.ltedu.com.tw/Web/Sharefile/EDM/curriculum-map/ghs/civ/index.html</t>
        </is>
      </c>
      <c r="K378" s="4" t="inlineStr">
        <is>
          <t>取自課程地圖（待審定版），待核對；來源未標示學年度（108課綱現行版產品資料），無法確認為115或114學年度</t>
        </is>
      </c>
    </row>
    <row r="379">
      <c r="A379" s="4" t="inlineStr">
        <is>
          <t>龍騰</t>
        </is>
      </c>
      <c r="B379" s="4" t="inlineStr">
        <is>
          <t>高中</t>
        </is>
      </c>
      <c r="C379" s="4" t="inlineStr">
        <is>
          <t>11</t>
        </is>
      </c>
      <c r="D379" s="4" t="inlineStr">
        <is>
          <t>第三冊</t>
        </is>
      </c>
      <c r="E379" s="4" t="inlineStr">
        <is>
          <t>公民與社會</t>
        </is>
      </c>
      <c r="F379" s="4" t="inlineStr">
        <is>
          <t>CH6 全球化與永續發展</t>
        </is>
      </c>
      <c r="G379" s="4" t="n"/>
      <c r="H379" s="4" t="n"/>
      <c r="I379" s="4" t="inlineStr">
        <is>
          <t>出版商頁面</t>
        </is>
      </c>
      <c r="J379" s="5" t="inlineStr">
        <is>
          <t>https://www.ltedu.com.tw/Web/Sharefile/EDM/curriculum-map/ghs/civ/index.html</t>
        </is>
      </c>
      <c r="K379" s="4" t="inlineStr">
        <is>
          <t>取自課程地圖（待審定版），待核對；來源未標示學年度（108課綱現行版產品資料），無法確認為115或114學年度</t>
        </is>
      </c>
    </row>
    <row r="380">
      <c r="A380" s="6" t="inlineStr">
        <is>
          <t>龍騰</t>
        </is>
      </c>
      <c r="B380" s="6" t="inlineStr">
        <is>
          <t>高中</t>
        </is>
      </c>
      <c r="C380" s="6" t="n"/>
      <c r="D380" s="6" t="inlineStr">
        <is>
          <t>加深加廣選修 探究與實作：公共議題與社會探究</t>
        </is>
      </c>
      <c r="E380" s="6" t="inlineStr">
        <is>
          <t>公民與社會</t>
        </is>
      </c>
      <c r="F380" s="6" t="n"/>
      <c r="G380" s="6" t="n"/>
      <c r="H380" s="6" t="n"/>
      <c r="I380" s="6" t="n"/>
      <c r="J380" s="6" t="n"/>
      <c r="K380" s="6" t="inlineStr">
        <is>
          <t>未查到（WebSearch 額度用盡，未及搜尋）</t>
        </is>
      </c>
    </row>
    <row r="381">
      <c r="A381" s="6" t="inlineStr">
        <is>
          <t>龍騰</t>
        </is>
      </c>
      <c r="B381" s="6" t="inlineStr">
        <is>
          <t>高中</t>
        </is>
      </c>
      <c r="C381" s="6" t="n"/>
      <c r="D381" s="6" t="inlineStr">
        <is>
          <t>加深加廣選修 民主政治與法律</t>
        </is>
      </c>
      <c r="E381" s="6" t="inlineStr">
        <is>
          <t>公民與社會</t>
        </is>
      </c>
      <c r="F381" s="6" t="n"/>
      <c r="G381" s="6" t="n"/>
      <c r="H381" s="6" t="n"/>
      <c r="I381" s="6" t="n"/>
      <c r="J381" s="6" t="n"/>
      <c r="K381" s="6" t="inlineStr">
        <is>
          <t>未查到（另見「選修公民Ⅰ（社會篇）」「選修公民Ⅱ（政治篇）」列，冊名與本課程對應關係未證實）</t>
        </is>
      </c>
    </row>
    <row r="382">
      <c r="A382" s="6" t="inlineStr">
        <is>
          <t>龍騰</t>
        </is>
      </c>
      <c r="B382" s="6" t="inlineStr">
        <is>
          <t>高中</t>
        </is>
      </c>
      <c r="C382" s="6" t="n"/>
      <c r="D382" s="6" t="inlineStr">
        <is>
          <t>加深加廣選修 現代社會與經濟</t>
        </is>
      </c>
      <c r="E382" s="6" t="inlineStr">
        <is>
          <t>公民與社會</t>
        </is>
      </c>
      <c r="F382" s="6" t="n"/>
      <c r="G382" s="6" t="n"/>
      <c r="H382" s="6" t="n"/>
      <c r="I382" s="6" t="n"/>
      <c r="J382" s="6" t="n"/>
      <c r="K382" s="6" t="inlineStr">
        <is>
          <t>未查到（另見「選修公民Ⅰ（社會篇）」「選修公民Ⅱ（政治篇）」列，冊名與本課程對應關係未證實）</t>
        </is>
      </c>
    </row>
    <row r="383">
      <c r="A383" s="4" t="inlineStr">
        <is>
          <t>龍騰</t>
        </is>
      </c>
      <c r="B383" s="4" t="inlineStr">
        <is>
          <t>高中</t>
        </is>
      </c>
      <c r="C383" s="4" t="n"/>
      <c r="D383" s="4" t="inlineStr">
        <is>
          <t>選修公民Ⅰ（社會篇）</t>
        </is>
      </c>
      <c r="E383" s="4" t="inlineStr">
        <is>
          <t>公民與社會</t>
        </is>
      </c>
      <c r="F383" s="4" t="inlineStr">
        <is>
          <t>第1章 社會階層化</t>
        </is>
      </c>
      <c r="G383" s="4" t="inlineStr">
        <is>
          <t>社會階層與社會階層化</t>
        </is>
      </c>
      <c r="H383" s="4" t="n"/>
      <c r="I383" s="4" t="inlineStr">
        <is>
          <t>出版商頁面</t>
        </is>
      </c>
      <c r="J383" s="5" t="inlineStr">
        <is>
          <t>https://www.ltedu.com.tw/Web/Sharefile/EDM/curriculum-map/ghs/civ/map.pdf</t>
        </is>
      </c>
      <c r="K383" s="4" t="inlineStr">
        <is>
          <t>取自龍騰公民課程地圖PDF（舊版、排版錯亂），冊名以「選修I」標示，推測對應「現代社會與經濟」但未證實；節名為PDF擷取片段，待核對；來源未標示學年度（108課綱現行版產品資料），無法確認為115或114學年度</t>
        </is>
      </c>
    </row>
    <row r="384">
      <c r="A384" s="4" t="inlineStr">
        <is>
          <t>龍騰</t>
        </is>
      </c>
      <c r="B384" s="4" t="inlineStr">
        <is>
          <t>高中</t>
        </is>
      </c>
      <c r="C384" s="4" t="n"/>
      <c r="D384" s="4" t="inlineStr">
        <is>
          <t>選修公民Ⅰ（社會篇）</t>
        </is>
      </c>
      <c r="E384" s="4" t="inlineStr">
        <is>
          <t>公民與社會</t>
        </is>
      </c>
      <c r="F384" s="4" t="inlineStr">
        <is>
          <t>第3章 社會運動</t>
        </is>
      </c>
      <c r="G384" s="4" t="n"/>
      <c r="H384" s="4" t="n"/>
      <c r="I384" s="4" t="inlineStr">
        <is>
          <t>出版商頁面</t>
        </is>
      </c>
      <c r="J384" s="5" t="inlineStr">
        <is>
          <t>https://www.ltedu.com.tw/Web/Sharefile/EDM/curriculum-map/ghs/civ/map.pdf</t>
        </is>
      </c>
      <c r="K384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385">
      <c r="A385" s="4" t="inlineStr">
        <is>
          <t>龍騰</t>
        </is>
      </c>
      <c r="B385" s="4" t="inlineStr">
        <is>
          <t>高中</t>
        </is>
      </c>
      <c r="C385" s="4" t="n"/>
      <c r="D385" s="4" t="inlineStr">
        <is>
          <t>選修公民Ⅱ（政治篇）</t>
        </is>
      </c>
      <c r="E385" s="4" t="inlineStr">
        <is>
          <t>公民與社會</t>
        </is>
      </c>
      <c r="F385" s="4" t="inlineStr">
        <is>
          <t>第1章 民主政治的變遷與發展</t>
        </is>
      </c>
      <c r="G385" s="4" t="n"/>
      <c r="H385" s="4" t="n"/>
      <c r="I385" s="4" t="inlineStr">
        <is>
          <t>出版商頁面</t>
        </is>
      </c>
      <c r="J385" s="5" t="inlineStr">
        <is>
          <t>https://www.ltedu.com.tw/Web/Sharefile/EDM/curriculum-map/ghs/civ/map.pdf</t>
        </is>
      </c>
      <c r="K385" s="4" t="inlineStr">
        <is>
          <t>取自龍騰公民課程地圖PDF（舊版），推測對應「民主政治與法律」但未證實；待核對；來源未標示學年度（108課綱現行版產品資料），無法確認為115或114學年度</t>
        </is>
      </c>
    </row>
    <row r="386">
      <c r="A386" s="4" t="inlineStr">
        <is>
          <t>龍騰</t>
        </is>
      </c>
      <c r="B386" s="4" t="inlineStr">
        <is>
          <t>高中</t>
        </is>
      </c>
      <c r="C386" s="4" t="n"/>
      <c r="D386" s="4" t="inlineStr">
        <is>
          <t>選修公民Ⅱ（政治篇）</t>
        </is>
      </c>
      <c r="E386" s="4" t="inlineStr">
        <is>
          <t>公民與社會</t>
        </is>
      </c>
      <c r="F386" s="4" t="inlineStr">
        <is>
          <t>第2章 中國政治與區域和平</t>
        </is>
      </c>
      <c r="G386" s="4" t="n"/>
      <c r="H386" s="4" t="n"/>
      <c r="I386" s="4" t="inlineStr">
        <is>
          <t>出版商頁面</t>
        </is>
      </c>
      <c r="J386" s="5" t="inlineStr">
        <is>
          <t>https://www.ltedu.com.tw/Web/Sharefile/EDM/curriculum-map/ghs/civ/map.pdf</t>
        </is>
      </c>
      <c r="K386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387">
      <c r="A387" s="4" t="inlineStr">
        <is>
          <t>龍騰</t>
        </is>
      </c>
      <c r="B387" s="4" t="inlineStr">
        <is>
          <t>高中</t>
        </is>
      </c>
      <c r="C387" s="4" t="n"/>
      <c r="D387" s="4" t="inlineStr">
        <is>
          <t>選修公民Ⅱ（政治篇）</t>
        </is>
      </c>
      <c r="E387" s="4" t="inlineStr">
        <is>
          <t>公民與社會</t>
        </is>
      </c>
      <c r="F387" s="4" t="inlineStr">
        <is>
          <t>第3章 國際關係與世界秩序</t>
        </is>
      </c>
      <c r="G387" s="4" t="n"/>
      <c r="H387" s="4" t="n"/>
      <c r="I387" s="4" t="inlineStr">
        <is>
          <t>出版商頁面</t>
        </is>
      </c>
      <c r="J387" s="5" t="inlineStr">
        <is>
          <t>https://www.ltedu.com.tw/Web/Sharefile/EDM/curriculum-map/ghs/civ/map.pdf</t>
        </is>
      </c>
      <c r="K387" s="4" t="inlineStr">
        <is>
          <t>取自課程地圖PDF；待核對；來源未標示學年度（108課綱現行版產品資料），無法確認為115或114學年度</t>
        </is>
      </c>
    </row>
    <row r="388">
      <c r="A388" s="6" t="inlineStr">
        <is>
          <t>全華</t>
        </is>
      </c>
      <c r="B388" s="6" t="inlineStr">
        <is>
          <t>高中</t>
        </is>
      </c>
      <c r="C388" s="6" t="inlineStr">
        <is>
          <t>10</t>
        </is>
      </c>
      <c r="D388" s="6" t="inlineStr">
        <is>
          <t>第一冊</t>
        </is>
      </c>
      <c r="E388" s="6" t="inlineStr">
        <is>
          <t>國文</t>
        </is>
      </c>
      <c r="F388" s="6" t="n"/>
      <c r="G388" s="6" t="n"/>
      <c r="H388" s="6" t="n"/>
      <c r="I388" s="6" t="n"/>
      <c r="J388" s="6" t="n"/>
      <c r="K388" s="6" t="inlineStr">
        <is>
          <t>未查到</t>
        </is>
      </c>
    </row>
    <row r="389">
      <c r="A389" s="6" t="inlineStr">
        <is>
          <t>全華</t>
        </is>
      </c>
      <c r="B389" s="6" t="inlineStr">
        <is>
          <t>高中</t>
        </is>
      </c>
      <c r="C389" s="6" t="inlineStr">
        <is>
          <t>10</t>
        </is>
      </c>
      <c r="D389" s="6" t="inlineStr">
        <is>
          <t>第二冊</t>
        </is>
      </c>
      <c r="E389" s="6" t="inlineStr">
        <is>
          <t>國文</t>
        </is>
      </c>
      <c r="F389" s="6" t="n"/>
      <c r="G389" s="6" t="n"/>
      <c r="H389" s="6" t="n"/>
      <c r="I389" s="6" t="n"/>
      <c r="J389" s="6" t="n"/>
      <c r="K389" s="6" t="inlineStr">
        <is>
          <t>未查到</t>
        </is>
      </c>
    </row>
    <row r="390">
      <c r="A390" s="6" t="inlineStr">
        <is>
          <t>全華</t>
        </is>
      </c>
      <c r="B390" s="6" t="inlineStr">
        <is>
          <t>高中</t>
        </is>
      </c>
      <c r="C390" s="6" t="inlineStr">
        <is>
          <t>11</t>
        </is>
      </c>
      <c r="D390" s="6" t="inlineStr">
        <is>
          <t>第三冊</t>
        </is>
      </c>
      <c r="E390" s="6" t="inlineStr">
        <is>
          <t>國文</t>
        </is>
      </c>
      <c r="F390" s="6" t="n"/>
      <c r="G390" s="6" t="n"/>
      <c r="H390" s="6" t="n"/>
      <c r="I390" s="6" t="n"/>
      <c r="J390" s="6" t="n"/>
      <c r="K390" s="6" t="inlineStr">
        <is>
          <t>未查到</t>
        </is>
      </c>
    </row>
    <row r="391">
      <c r="A391" s="6" t="inlineStr">
        <is>
          <t>全華</t>
        </is>
      </c>
      <c r="B391" s="6" t="inlineStr">
        <is>
          <t>高中</t>
        </is>
      </c>
      <c r="C391" s="6" t="inlineStr">
        <is>
          <t>11</t>
        </is>
      </c>
      <c r="D391" s="6" t="inlineStr">
        <is>
          <t>第四冊</t>
        </is>
      </c>
      <c r="E391" s="6" t="inlineStr">
        <is>
          <t>國文</t>
        </is>
      </c>
      <c r="F391" s="6" t="n"/>
      <c r="G391" s="6" t="n"/>
      <c r="H391" s="6" t="n"/>
      <c r="I391" s="6" t="n"/>
      <c r="J391" s="6" t="n"/>
      <c r="K391" s="6" t="inlineStr">
        <is>
          <t>未查到</t>
        </is>
      </c>
    </row>
    <row r="392">
      <c r="A392" s="6" t="inlineStr">
        <is>
          <t>全華</t>
        </is>
      </c>
      <c r="B392" s="6" t="inlineStr">
        <is>
          <t>高中</t>
        </is>
      </c>
      <c r="C392" s="6" t="inlineStr">
        <is>
          <t>12</t>
        </is>
      </c>
      <c r="D392" s="6" t="inlineStr">
        <is>
          <t>第五冊</t>
        </is>
      </c>
      <c r="E392" s="6" t="inlineStr">
        <is>
          <t>國文</t>
        </is>
      </c>
      <c r="F392" s="6" t="n"/>
      <c r="G392" s="6" t="n"/>
      <c r="H392" s="6" t="n"/>
      <c r="I392" s="6" t="n"/>
      <c r="J392" s="6" t="n"/>
      <c r="K392" s="6" t="inlineStr">
        <is>
          <t>未查到</t>
        </is>
      </c>
    </row>
    <row r="393">
      <c r="A393" s="6" t="inlineStr">
        <is>
          <t>全華</t>
        </is>
      </c>
      <c r="B393" s="6" t="inlineStr">
        <is>
          <t>高中</t>
        </is>
      </c>
      <c r="C393" s="6" t="inlineStr">
        <is>
          <t>12</t>
        </is>
      </c>
      <c r="D393" s="6" t="inlineStr">
        <is>
          <t>第六冊</t>
        </is>
      </c>
      <c r="E393" s="6" t="inlineStr">
        <is>
          <t>國文</t>
        </is>
      </c>
      <c r="F393" s="6" t="n"/>
      <c r="G393" s="6" t="n"/>
      <c r="H393" s="6" t="n"/>
      <c r="I393" s="6" t="n"/>
      <c r="J393" s="6" t="n"/>
      <c r="K393" s="6" t="inlineStr">
        <is>
          <t>未查到</t>
        </is>
      </c>
    </row>
    <row r="394">
      <c r="A394" s="6" t="inlineStr">
        <is>
          <t>全華</t>
        </is>
      </c>
      <c r="B394" s="6" t="inlineStr">
        <is>
          <t>高中</t>
        </is>
      </c>
      <c r="C394" s="6" t="n"/>
      <c r="D394" s="6" t="inlineStr">
        <is>
          <t>加深加廣選修：各類文學選讀</t>
        </is>
      </c>
      <c r="E394" s="6" t="inlineStr">
        <is>
          <t>國文</t>
        </is>
      </c>
      <c r="F394" s="6" t="n"/>
      <c r="G394" s="6" t="n"/>
      <c r="H394" s="6" t="n"/>
      <c r="I394" s="6" t="n"/>
      <c r="J394" s="6" t="n"/>
      <c r="K394" s="6" t="inlineStr">
        <is>
          <t>未查到</t>
        </is>
      </c>
    </row>
    <row r="395">
      <c r="A395" s="6" t="inlineStr">
        <is>
          <t>全華</t>
        </is>
      </c>
      <c r="B395" s="6" t="inlineStr">
        <is>
          <t>高中</t>
        </is>
      </c>
      <c r="C395" s="6" t="n"/>
      <c r="D395" s="6" t="inlineStr">
        <is>
          <t>加深加廣選修：國學常識</t>
        </is>
      </c>
      <c r="E395" s="6" t="inlineStr">
        <is>
          <t>國文</t>
        </is>
      </c>
      <c r="F395" s="6" t="n"/>
      <c r="G395" s="6" t="n"/>
      <c r="H395" s="6" t="n"/>
      <c r="I395" s="6" t="n"/>
      <c r="J395" s="6" t="n"/>
      <c r="K395" s="6" t="inlineStr">
        <is>
          <t>未查到</t>
        </is>
      </c>
    </row>
    <row r="396">
      <c r="A396" s="6" t="inlineStr">
        <is>
          <t>全華</t>
        </is>
      </c>
      <c r="B396" s="6" t="inlineStr">
        <is>
          <t>高中</t>
        </is>
      </c>
      <c r="C396" s="6" t="n"/>
      <c r="D396" s="6" t="inlineStr">
        <is>
          <t>加深加廣選修：專題閱讀與研究</t>
        </is>
      </c>
      <c r="E396" s="6" t="inlineStr">
        <is>
          <t>國文</t>
        </is>
      </c>
      <c r="F396" s="6" t="n"/>
      <c r="G396" s="6" t="n"/>
      <c r="H396" s="6" t="n"/>
      <c r="I396" s="6" t="n"/>
      <c r="J396" s="6" t="n"/>
      <c r="K396" s="6" t="inlineStr">
        <is>
          <t>未查到</t>
        </is>
      </c>
    </row>
    <row r="397">
      <c r="A397" s="6" t="inlineStr">
        <is>
          <t>全華</t>
        </is>
      </c>
      <c r="B397" s="6" t="inlineStr">
        <is>
          <t>高中</t>
        </is>
      </c>
      <c r="C397" s="6" t="n"/>
      <c r="D397" s="6" t="inlineStr">
        <is>
          <t>加深加廣選修：語文表達及傳播應用</t>
        </is>
      </c>
      <c r="E397" s="6" t="inlineStr">
        <is>
          <t>國文</t>
        </is>
      </c>
      <c r="F397" s="6" t="n"/>
      <c r="G397" s="6" t="n"/>
      <c r="H397" s="6" t="n"/>
      <c r="I397" s="6" t="n"/>
      <c r="J397" s="6" t="n"/>
      <c r="K397" s="6" t="inlineStr">
        <is>
          <t>未查到</t>
        </is>
      </c>
    </row>
    <row r="398">
      <c r="A398" s="6" t="inlineStr">
        <is>
          <t>全華</t>
        </is>
      </c>
      <c r="B398" s="6" t="inlineStr">
        <is>
          <t>高中</t>
        </is>
      </c>
      <c r="C398" s="6" t="inlineStr">
        <is>
          <t>10</t>
        </is>
      </c>
      <c r="D398" s="6" t="inlineStr">
        <is>
          <t>第一冊</t>
        </is>
      </c>
      <c r="E398" s="6" t="inlineStr">
        <is>
          <t>英文</t>
        </is>
      </c>
      <c r="F398" s="6" t="n"/>
      <c r="G398" s="6" t="n"/>
      <c r="H398" s="6" t="n"/>
      <c r="I398" s="6" t="n"/>
      <c r="J398" s="6" t="n"/>
      <c r="K398" s="6" t="inlineStr">
        <is>
          <t>未查到</t>
        </is>
      </c>
    </row>
    <row r="399">
      <c r="A399" s="6" t="inlineStr">
        <is>
          <t>全華</t>
        </is>
      </c>
      <c r="B399" s="6" t="inlineStr">
        <is>
          <t>高中</t>
        </is>
      </c>
      <c r="C399" s="6" t="inlineStr">
        <is>
          <t>10</t>
        </is>
      </c>
      <c r="D399" s="6" t="inlineStr">
        <is>
          <t>第二冊</t>
        </is>
      </c>
      <c r="E399" s="6" t="inlineStr">
        <is>
          <t>英文</t>
        </is>
      </c>
      <c r="F399" s="6" t="n"/>
      <c r="G399" s="6" t="n"/>
      <c r="H399" s="6" t="n"/>
      <c r="I399" s="6" t="n"/>
      <c r="J399" s="6" t="n"/>
      <c r="K399" s="6" t="inlineStr">
        <is>
          <t>未查到</t>
        </is>
      </c>
    </row>
    <row r="400">
      <c r="A400" s="6" t="inlineStr">
        <is>
          <t>全華</t>
        </is>
      </c>
      <c r="B400" s="6" t="inlineStr">
        <is>
          <t>高中</t>
        </is>
      </c>
      <c r="C400" s="6" t="inlineStr">
        <is>
          <t>11</t>
        </is>
      </c>
      <c r="D400" s="6" t="inlineStr">
        <is>
          <t>第三冊</t>
        </is>
      </c>
      <c r="E400" s="6" t="inlineStr">
        <is>
          <t>英文</t>
        </is>
      </c>
      <c r="F400" s="6" t="n"/>
      <c r="G400" s="6" t="n"/>
      <c r="H400" s="6" t="n"/>
      <c r="I400" s="6" t="n"/>
      <c r="J400" s="6" t="n"/>
      <c r="K400" s="6" t="inlineStr">
        <is>
          <t>未查到</t>
        </is>
      </c>
    </row>
    <row r="401">
      <c r="A401" s="6" t="inlineStr">
        <is>
          <t>全華</t>
        </is>
      </c>
      <c r="B401" s="6" t="inlineStr">
        <is>
          <t>高中</t>
        </is>
      </c>
      <c r="C401" s="6" t="inlineStr">
        <is>
          <t>11</t>
        </is>
      </c>
      <c r="D401" s="6" t="inlineStr">
        <is>
          <t>第四冊</t>
        </is>
      </c>
      <c r="E401" s="6" t="inlineStr">
        <is>
          <t>英文</t>
        </is>
      </c>
      <c r="F401" s="6" t="n"/>
      <c r="G401" s="6" t="n"/>
      <c r="H401" s="6" t="n"/>
      <c r="I401" s="6" t="n"/>
      <c r="J401" s="6" t="n"/>
      <c r="K401" s="6" t="inlineStr">
        <is>
          <t>未查到</t>
        </is>
      </c>
    </row>
    <row r="402">
      <c r="A402" s="6" t="inlineStr">
        <is>
          <t>全華</t>
        </is>
      </c>
      <c r="B402" s="6" t="inlineStr">
        <is>
          <t>高中</t>
        </is>
      </c>
      <c r="C402" s="6" t="inlineStr">
        <is>
          <t>12</t>
        </is>
      </c>
      <c r="D402" s="6" t="inlineStr">
        <is>
          <t>第五冊</t>
        </is>
      </c>
      <c r="E402" s="6" t="inlineStr">
        <is>
          <t>英文</t>
        </is>
      </c>
      <c r="F402" s="6" t="n"/>
      <c r="G402" s="6" t="n"/>
      <c r="H402" s="6" t="n"/>
      <c r="I402" s="6" t="n"/>
      <c r="J402" s="6" t="n"/>
      <c r="K402" s="6" t="inlineStr">
        <is>
          <t>未查到</t>
        </is>
      </c>
    </row>
    <row r="403">
      <c r="A403" s="6" t="inlineStr">
        <is>
          <t>全華</t>
        </is>
      </c>
      <c r="B403" s="6" t="inlineStr">
        <is>
          <t>高中</t>
        </is>
      </c>
      <c r="C403" s="6" t="inlineStr">
        <is>
          <t>12</t>
        </is>
      </c>
      <c r="D403" s="6" t="inlineStr">
        <is>
          <t>第六冊</t>
        </is>
      </c>
      <c r="E403" s="6" t="inlineStr">
        <is>
          <t>英文</t>
        </is>
      </c>
      <c r="F403" s="6" t="n"/>
      <c r="G403" s="6" t="n"/>
      <c r="H403" s="6" t="n"/>
      <c r="I403" s="6" t="n"/>
      <c r="J403" s="6" t="n"/>
      <c r="K403" s="6" t="inlineStr">
        <is>
          <t>未查到</t>
        </is>
      </c>
    </row>
    <row r="404">
      <c r="A404" s="6" t="inlineStr">
        <is>
          <t>全華</t>
        </is>
      </c>
      <c r="B404" s="6" t="inlineStr">
        <is>
          <t>高中</t>
        </is>
      </c>
      <c r="C404" s="6" t="n"/>
      <c r="D404" s="6" t="inlineStr">
        <is>
          <t>加深加廣選修：英文閱讀與寫作</t>
        </is>
      </c>
      <c r="E404" s="6" t="inlineStr">
        <is>
          <t>英文</t>
        </is>
      </c>
      <c r="F404" s="6" t="n"/>
      <c r="G404" s="6" t="n"/>
      <c r="H404" s="6" t="n"/>
      <c r="I404" s="6" t="n"/>
      <c r="J404" s="6" t="n"/>
      <c r="K404" s="6" t="inlineStr">
        <is>
          <t>未查到</t>
        </is>
      </c>
    </row>
    <row r="405">
      <c r="A405" s="6" t="inlineStr">
        <is>
          <t>全華</t>
        </is>
      </c>
      <c r="B405" s="6" t="inlineStr">
        <is>
          <t>高中</t>
        </is>
      </c>
      <c r="C405" s="6" t="n"/>
      <c r="D405" s="6" t="inlineStr">
        <is>
          <t>加深加廣選修：英語聽講</t>
        </is>
      </c>
      <c r="E405" s="6" t="inlineStr">
        <is>
          <t>英文</t>
        </is>
      </c>
      <c r="F405" s="6" t="n"/>
      <c r="G405" s="6" t="n"/>
      <c r="H405" s="6" t="n"/>
      <c r="I405" s="6" t="n"/>
      <c r="J405" s="6" t="n"/>
      <c r="K405" s="6" t="inlineStr">
        <is>
          <t>未查到</t>
        </is>
      </c>
    </row>
    <row r="406">
      <c r="A406" s="6" t="inlineStr">
        <is>
          <t>全華</t>
        </is>
      </c>
      <c r="B406" s="6" t="inlineStr">
        <is>
          <t>高中</t>
        </is>
      </c>
      <c r="C406" s="6" t="inlineStr">
        <is>
          <t>10</t>
        </is>
      </c>
      <c r="D406" s="6" t="inlineStr">
        <is>
          <t>第一冊</t>
        </is>
      </c>
      <c r="E406" s="6" t="inlineStr">
        <is>
          <t>數學</t>
        </is>
      </c>
      <c r="F406" s="6" t="n"/>
      <c r="G406" s="6" t="n"/>
      <c r="H406" s="6" t="n"/>
      <c r="I406" s="6" t="n"/>
      <c r="J406" s="6" t="n"/>
      <c r="K406" s="6" t="inlineStr">
        <is>
          <t>未查到（搜尋僅見全華技術型高中數學B，非普高）</t>
        </is>
      </c>
    </row>
    <row r="407">
      <c r="A407" s="6" t="inlineStr">
        <is>
          <t>全華</t>
        </is>
      </c>
      <c r="B407" s="6" t="inlineStr">
        <is>
          <t>高中</t>
        </is>
      </c>
      <c r="C407" s="6" t="inlineStr">
        <is>
          <t>10</t>
        </is>
      </c>
      <c r="D407" s="6" t="inlineStr">
        <is>
          <t>第二冊</t>
        </is>
      </c>
      <c r="E407" s="6" t="inlineStr">
        <is>
          <t>數學</t>
        </is>
      </c>
      <c r="F407" s="6" t="n"/>
      <c r="G407" s="6" t="n"/>
      <c r="H407" s="6" t="n"/>
      <c r="I407" s="6" t="n"/>
      <c r="J407" s="6" t="n"/>
      <c r="K407" s="6" t="inlineStr">
        <is>
          <t>未查到</t>
        </is>
      </c>
    </row>
    <row r="408">
      <c r="A408" s="6" t="inlineStr">
        <is>
          <t>全華</t>
        </is>
      </c>
      <c r="B408" s="6" t="inlineStr">
        <is>
          <t>高中</t>
        </is>
      </c>
      <c r="C408" s="6" t="inlineStr">
        <is>
          <t>11</t>
        </is>
      </c>
      <c r="D408" s="6" t="inlineStr">
        <is>
          <t>第三冊A</t>
        </is>
      </c>
      <c r="E408" s="6" t="inlineStr">
        <is>
          <t>數學</t>
        </is>
      </c>
      <c r="F408" s="6" t="n"/>
      <c r="G408" s="6" t="n"/>
      <c r="H408" s="6" t="n"/>
      <c r="I408" s="6" t="n"/>
      <c r="J408" s="6" t="n"/>
      <c r="K408" s="6" t="inlineStr">
        <is>
          <t>未查到</t>
        </is>
      </c>
    </row>
    <row r="409">
      <c r="A409" s="6" t="inlineStr">
        <is>
          <t>全華</t>
        </is>
      </c>
      <c r="B409" s="6" t="inlineStr">
        <is>
          <t>高中</t>
        </is>
      </c>
      <c r="C409" s="6" t="inlineStr">
        <is>
          <t>11</t>
        </is>
      </c>
      <c r="D409" s="6" t="inlineStr">
        <is>
          <t>第三冊B</t>
        </is>
      </c>
      <c r="E409" s="6" t="inlineStr">
        <is>
          <t>數學</t>
        </is>
      </c>
      <c r="F409" s="6" t="n"/>
      <c r="G409" s="6" t="n"/>
      <c r="H409" s="6" t="n"/>
      <c r="I409" s="6" t="n"/>
      <c r="J409" s="6" t="n"/>
      <c r="K409" s="6" t="inlineStr">
        <is>
          <t>未查到</t>
        </is>
      </c>
    </row>
    <row r="410">
      <c r="A410" s="6" t="inlineStr">
        <is>
          <t>全華</t>
        </is>
      </c>
      <c r="B410" s="6" t="inlineStr">
        <is>
          <t>高中</t>
        </is>
      </c>
      <c r="C410" s="6" t="inlineStr">
        <is>
          <t>11</t>
        </is>
      </c>
      <c r="D410" s="6" t="inlineStr">
        <is>
          <t>第四冊A</t>
        </is>
      </c>
      <c r="E410" s="6" t="inlineStr">
        <is>
          <t>數學</t>
        </is>
      </c>
      <c r="F410" s="6" t="n"/>
      <c r="G410" s="6" t="n"/>
      <c r="H410" s="6" t="n"/>
      <c r="I410" s="6" t="n"/>
      <c r="J410" s="6" t="n"/>
      <c r="K410" s="6" t="inlineStr">
        <is>
          <t>未查到</t>
        </is>
      </c>
    </row>
    <row r="411">
      <c r="A411" s="6" t="inlineStr">
        <is>
          <t>全華</t>
        </is>
      </c>
      <c r="B411" s="6" t="inlineStr">
        <is>
          <t>高中</t>
        </is>
      </c>
      <c r="C411" s="6" t="inlineStr">
        <is>
          <t>11</t>
        </is>
      </c>
      <c r="D411" s="6" t="inlineStr">
        <is>
          <t>第四冊B</t>
        </is>
      </c>
      <c r="E411" s="6" t="inlineStr">
        <is>
          <t>數學</t>
        </is>
      </c>
      <c r="F411" s="6" t="n"/>
      <c r="G411" s="6" t="n"/>
      <c r="H411" s="6" t="n"/>
      <c r="I411" s="6" t="n"/>
      <c r="J411" s="6" t="n"/>
      <c r="K411" s="6" t="inlineStr">
        <is>
          <t>未查到</t>
        </is>
      </c>
    </row>
    <row r="412">
      <c r="A412" s="6" t="inlineStr">
        <is>
          <t>全華</t>
        </is>
      </c>
      <c r="B412" s="6" t="inlineStr">
        <is>
          <t>高中</t>
        </is>
      </c>
      <c r="C412" s="6" t="inlineStr">
        <is>
          <t>12</t>
        </is>
      </c>
      <c r="D412" s="6" t="inlineStr">
        <is>
          <t>數學乙上</t>
        </is>
      </c>
      <c r="E412" s="6" t="inlineStr">
        <is>
          <t>數學</t>
        </is>
      </c>
      <c r="F412" s="6" t="n"/>
      <c r="G412" s="6" t="n"/>
      <c r="H412" s="6" t="n"/>
      <c r="I412" s="6" t="n"/>
      <c r="J412" s="6" t="n"/>
      <c r="K412" s="6" t="inlineStr">
        <is>
          <t>未查到</t>
        </is>
      </c>
    </row>
    <row r="413">
      <c r="A413" s="6" t="inlineStr">
        <is>
          <t>全華</t>
        </is>
      </c>
      <c r="B413" s="6" t="inlineStr">
        <is>
          <t>高中</t>
        </is>
      </c>
      <c r="C413" s="6" t="inlineStr">
        <is>
          <t>12</t>
        </is>
      </c>
      <c r="D413" s="6" t="inlineStr">
        <is>
          <t>數學乙下</t>
        </is>
      </c>
      <c r="E413" s="6" t="inlineStr">
        <is>
          <t>數學</t>
        </is>
      </c>
      <c r="F413" s="6" t="n"/>
      <c r="G413" s="6" t="n"/>
      <c r="H413" s="6" t="n"/>
      <c r="I413" s="6" t="n"/>
      <c r="J413" s="6" t="n"/>
      <c r="K413" s="6" t="inlineStr">
        <is>
          <t>未查到</t>
        </is>
      </c>
    </row>
    <row r="414">
      <c r="A414" s="6" t="inlineStr">
        <is>
          <t>全華</t>
        </is>
      </c>
      <c r="B414" s="6" t="inlineStr">
        <is>
          <t>高中</t>
        </is>
      </c>
      <c r="C414" s="6" t="inlineStr">
        <is>
          <t>12</t>
        </is>
      </c>
      <c r="D414" s="6" t="inlineStr">
        <is>
          <t>數學甲上</t>
        </is>
      </c>
      <c r="E414" s="6" t="inlineStr">
        <is>
          <t>數學</t>
        </is>
      </c>
      <c r="F414" s="6" t="n"/>
      <c r="G414" s="6" t="n"/>
      <c r="H414" s="6" t="n"/>
      <c r="I414" s="6" t="n"/>
      <c r="J414" s="6" t="n"/>
      <c r="K414" s="6" t="inlineStr">
        <is>
          <t>未查到</t>
        </is>
      </c>
    </row>
    <row r="415">
      <c r="A415" s="6" t="inlineStr">
        <is>
          <t>全華</t>
        </is>
      </c>
      <c r="B415" s="6" t="inlineStr">
        <is>
          <t>高中</t>
        </is>
      </c>
      <c r="C415" s="6" t="inlineStr">
        <is>
          <t>12</t>
        </is>
      </c>
      <c r="D415" s="6" t="inlineStr">
        <is>
          <t>數學甲下</t>
        </is>
      </c>
      <c r="E415" s="6" t="inlineStr">
        <is>
          <t>數學</t>
        </is>
      </c>
      <c r="F415" s="6" t="n"/>
      <c r="G415" s="6" t="n"/>
      <c r="H415" s="6" t="n"/>
      <c r="I415" s="6" t="n"/>
      <c r="J415" s="6" t="n"/>
      <c r="K415" s="6" t="inlineStr">
        <is>
          <t>未查到</t>
        </is>
      </c>
    </row>
    <row r="416">
      <c r="A416" s="6" t="inlineStr">
        <is>
          <t>全華</t>
        </is>
      </c>
      <c r="B416" s="6" t="inlineStr">
        <is>
          <t>高中</t>
        </is>
      </c>
      <c r="C416" s="6" t="n"/>
      <c r="D416" s="6" t="inlineStr">
        <is>
          <t>基礎生物（一）</t>
        </is>
      </c>
      <c r="E416" s="6" t="inlineStr">
        <is>
          <t>生物</t>
        </is>
      </c>
      <c r="F416" s="6" t="n"/>
      <c r="G416" s="6" t="n"/>
      <c r="H416" s="6" t="n"/>
      <c r="I416" s="6" t="inlineStr">
        <is>
          <t>其他</t>
        </is>
      </c>
      <c r="J416" s="6" t="n"/>
      <c r="K416" s="6" t="inlineStr">
        <is>
          <t>未查到</t>
        </is>
      </c>
    </row>
    <row r="417">
      <c r="A417" s="6" t="inlineStr">
        <is>
          <t>全華</t>
        </is>
      </c>
      <c r="B417" s="6" t="inlineStr">
        <is>
          <t>高中</t>
        </is>
      </c>
      <c r="C417" s="6" t="n"/>
      <c r="D417" s="6" t="inlineStr">
        <is>
          <t>基礎生物（二）</t>
        </is>
      </c>
      <c r="E417" s="6" t="inlineStr">
        <is>
          <t>生物</t>
        </is>
      </c>
      <c r="F417" s="6" t="n"/>
      <c r="G417" s="6" t="n"/>
      <c r="H417" s="6" t="n"/>
      <c r="I417" s="6" t="inlineStr">
        <is>
          <t>其他</t>
        </is>
      </c>
      <c r="J417" s="6" t="n"/>
      <c r="K417" s="6" t="inlineStr">
        <is>
          <t>未查到</t>
        </is>
      </c>
    </row>
    <row r="418">
      <c r="A418" s="6" t="inlineStr">
        <is>
          <t>全華</t>
        </is>
      </c>
      <c r="B418" s="6" t="inlineStr">
        <is>
          <t>高中</t>
        </is>
      </c>
      <c r="C418" s="6" t="n"/>
      <c r="D418" s="6" t="inlineStr">
        <is>
          <t>選修生物I</t>
        </is>
      </c>
      <c r="E418" s="6" t="inlineStr">
        <is>
          <t>生物</t>
        </is>
      </c>
      <c r="F418" s="6" t="n"/>
      <c r="G418" s="6" t="n"/>
      <c r="H418" s="6" t="n"/>
      <c r="I418" s="6" t="inlineStr">
        <is>
          <t>其他</t>
        </is>
      </c>
      <c r="J418" s="6" t="n"/>
      <c r="K418" s="6" t="inlineStr">
        <is>
          <t>未查到</t>
        </is>
      </c>
    </row>
    <row r="419">
      <c r="A419" s="6" t="inlineStr">
        <is>
          <t>全華</t>
        </is>
      </c>
      <c r="B419" s="6" t="inlineStr">
        <is>
          <t>高中</t>
        </is>
      </c>
      <c r="C419" s="6" t="n"/>
      <c r="D419" s="6" t="inlineStr">
        <is>
          <t>選修生物II</t>
        </is>
      </c>
      <c r="E419" s="6" t="inlineStr">
        <is>
          <t>生物</t>
        </is>
      </c>
      <c r="F419" s="6" t="n"/>
      <c r="G419" s="6" t="n"/>
      <c r="H419" s="6" t="n"/>
      <c r="I419" s="6" t="inlineStr">
        <is>
          <t>其他</t>
        </is>
      </c>
      <c r="J419" s="6" t="n"/>
      <c r="K419" s="6" t="inlineStr">
        <is>
          <t>未查到</t>
        </is>
      </c>
    </row>
    <row r="420">
      <c r="A420" s="6" t="inlineStr">
        <is>
          <t>全華</t>
        </is>
      </c>
      <c r="B420" s="6" t="inlineStr">
        <is>
          <t>高中</t>
        </is>
      </c>
      <c r="C420" s="6" t="n"/>
      <c r="D420" s="6" t="inlineStr">
        <is>
          <t>選修生物III</t>
        </is>
      </c>
      <c r="E420" s="6" t="inlineStr">
        <is>
          <t>生物</t>
        </is>
      </c>
      <c r="F420" s="6" t="n"/>
      <c r="G420" s="6" t="n"/>
      <c r="H420" s="6" t="n"/>
      <c r="I420" s="6" t="inlineStr">
        <is>
          <t>其他</t>
        </is>
      </c>
      <c r="J420" s="6" t="n"/>
      <c r="K420" s="6" t="inlineStr">
        <is>
          <t>未查到</t>
        </is>
      </c>
    </row>
    <row r="421">
      <c r="A421" s="6" t="inlineStr">
        <is>
          <t>全華</t>
        </is>
      </c>
      <c r="B421" s="6" t="inlineStr">
        <is>
          <t>高中</t>
        </is>
      </c>
      <c r="C421" s="6" t="n"/>
      <c r="D421" s="6" t="inlineStr">
        <is>
          <t>選修生物IV</t>
        </is>
      </c>
      <c r="E421" s="6" t="inlineStr">
        <is>
          <t>生物</t>
        </is>
      </c>
      <c r="F421" s="6" t="n"/>
      <c r="G421" s="6" t="n"/>
      <c r="H421" s="6" t="n"/>
      <c r="I421" s="6" t="inlineStr">
        <is>
          <t>學校課程計畫</t>
        </is>
      </c>
      <c r="J421" s="7" t="inlineStr">
        <is>
          <t>https://www.pymhs.tyc.edu.tw/uploads/1677224026927kIufN9Qi.pdf</t>
        </is>
      </c>
      <c r="K421" s="6" t="inlineStr">
        <is>
          <t>未查到章節名稱；桃園陽明高中考試範圍表只寫「全華版選修生物IV 1-1～3-1」</t>
        </is>
      </c>
    </row>
    <row r="422">
      <c r="A422" s="6" t="inlineStr">
        <is>
          <t>全華</t>
        </is>
      </c>
      <c r="B422" s="6" t="inlineStr">
        <is>
          <t>高中</t>
        </is>
      </c>
      <c r="C422" s="6" t="n"/>
      <c r="D422" s="6" t="inlineStr">
        <is>
          <t>基礎物理（一）</t>
        </is>
      </c>
      <c r="E422" s="6" t="inlineStr">
        <is>
          <t>物理</t>
        </is>
      </c>
      <c r="F422" s="6" t="n"/>
      <c r="G422" s="6" t="n"/>
      <c r="H422" s="6" t="n"/>
      <c r="I422" s="6" t="inlineStr">
        <is>
          <t>其他</t>
        </is>
      </c>
      <c r="J422" s="6" t="n"/>
      <c r="K422" s="6" t="inlineStr">
        <is>
          <t>未查到</t>
        </is>
      </c>
    </row>
    <row r="423">
      <c r="A423" s="6" t="inlineStr">
        <is>
          <t>全華</t>
        </is>
      </c>
      <c r="B423" s="6" t="inlineStr">
        <is>
          <t>高中</t>
        </is>
      </c>
      <c r="C423" s="6" t="n"/>
      <c r="D423" s="6" t="inlineStr">
        <is>
          <t>選修物理I</t>
        </is>
      </c>
      <c r="E423" s="6" t="inlineStr">
        <is>
          <t>物理</t>
        </is>
      </c>
      <c r="F423" s="6" t="n"/>
      <c r="G423" s="6" t="n"/>
      <c r="H423" s="6" t="n"/>
      <c r="I423" s="6" t="inlineStr">
        <is>
          <t>其他</t>
        </is>
      </c>
      <c r="J423" s="6" t="n"/>
      <c r="K423" s="6" t="inlineStr">
        <is>
          <t>未查到</t>
        </is>
      </c>
    </row>
    <row r="424">
      <c r="A424" s="6" t="inlineStr">
        <is>
          <t>全華</t>
        </is>
      </c>
      <c r="B424" s="6" t="inlineStr">
        <is>
          <t>高中</t>
        </is>
      </c>
      <c r="C424" s="6" t="n"/>
      <c r="D424" s="6" t="inlineStr">
        <is>
          <t>選修物理II</t>
        </is>
      </c>
      <c r="E424" s="6" t="inlineStr">
        <is>
          <t>物理</t>
        </is>
      </c>
      <c r="F424" s="6" t="n"/>
      <c r="G424" s="6" t="n"/>
      <c r="H424" s="6" t="n"/>
      <c r="I424" s="6" t="inlineStr">
        <is>
          <t>其他</t>
        </is>
      </c>
      <c r="J424" s="6" t="n"/>
      <c r="K424" s="6" t="inlineStr">
        <is>
          <t>未查到</t>
        </is>
      </c>
    </row>
    <row r="425">
      <c r="A425" s="6" t="inlineStr">
        <is>
          <t>全華</t>
        </is>
      </c>
      <c r="B425" s="6" t="inlineStr">
        <is>
          <t>高中</t>
        </is>
      </c>
      <c r="C425" s="6" t="n"/>
      <c r="D425" s="6" t="inlineStr">
        <is>
          <t>選修物理III</t>
        </is>
      </c>
      <c r="E425" s="6" t="inlineStr">
        <is>
          <t>物理</t>
        </is>
      </c>
      <c r="F425" s="6" t="n"/>
      <c r="G425" s="6" t="n"/>
      <c r="H425" s="6" t="n"/>
      <c r="I425" s="6" t="inlineStr">
        <is>
          <t>其他</t>
        </is>
      </c>
      <c r="J425" s="6" t="n"/>
      <c r="K425" s="6" t="inlineStr">
        <is>
          <t>未查到</t>
        </is>
      </c>
    </row>
    <row r="426">
      <c r="A426" s="6" t="inlineStr">
        <is>
          <t>全華</t>
        </is>
      </c>
      <c r="B426" s="6" t="inlineStr">
        <is>
          <t>高中</t>
        </is>
      </c>
      <c r="C426" s="6" t="n"/>
      <c r="D426" s="6" t="inlineStr">
        <is>
          <t>選修物理IV</t>
        </is>
      </c>
      <c r="E426" s="6" t="inlineStr">
        <is>
          <t>物理</t>
        </is>
      </c>
      <c r="F426" s="6" t="n"/>
      <c r="G426" s="6" t="n"/>
      <c r="H426" s="6" t="n"/>
      <c r="I426" s="6" t="inlineStr">
        <is>
          <t>其他</t>
        </is>
      </c>
      <c r="J426" s="6" t="n"/>
      <c r="K426" s="6" t="inlineStr">
        <is>
          <t>未查到</t>
        </is>
      </c>
    </row>
    <row r="427">
      <c r="A427" s="6" t="inlineStr">
        <is>
          <t>全華</t>
        </is>
      </c>
      <c r="B427" s="6" t="inlineStr">
        <is>
          <t>高中</t>
        </is>
      </c>
      <c r="C427" s="6" t="n"/>
      <c r="D427" s="6" t="inlineStr">
        <is>
          <t>選修物理V</t>
        </is>
      </c>
      <c r="E427" s="6" t="inlineStr">
        <is>
          <t>物理</t>
        </is>
      </c>
      <c r="F427" s="6" t="n"/>
      <c r="G427" s="6" t="n"/>
      <c r="H427" s="6" t="n"/>
      <c r="I427" s="6" t="inlineStr">
        <is>
          <t>其他</t>
        </is>
      </c>
      <c r="J427" s="6" t="n"/>
      <c r="K427" s="6" t="inlineStr">
        <is>
          <t>未查到</t>
        </is>
      </c>
    </row>
    <row r="428">
      <c r="A428" s="6" t="inlineStr">
        <is>
          <t>全華</t>
        </is>
      </c>
      <c r="B428" s="6" t="inlineStr">
        <is>
          <t>高中</t>
        </is>
      </c>
      <c r="C428" s="6" t="n"/>
      <c r="D428" s="6" t="inlineStr">
        <is>
          <t>基礎化學（一）</t>
        </is>
      </c>
      <c r="E428" s="6" t="inlineStr">
        <is>
          <t>化學</t>
        </is>
      </c>
      <c r="F428" s="6" t="n"/>
      <c r="G428" s="6" t="n"/>
      <c r="H428" s="6" t="n"/>
      <c r="I428" s="6" t="inlineStr">
        <is>
          <t>其他</t>
        </is>
      </c>
      <c r="J428" s="6" t="n"/>
      <c r="K428" s="6" t="inlineStr">
        <is>
          <t>未查到</t>
        </is>
      </c>
    </row>
    <row r="429">
      <c r="A429" s="6" t="inlineStr">
        <is>
          <t>全華</t>
        </is>
      </c>
      <c r="B429" s="6" t="inlineStr">
        <is>
          <t>高中</t>
        </is>
      </c>
      <c r="C429" s="6" t="n"/>
      <c r="D429" s="6" t="inlineStr">
        <is>
          <t>基礎化學（三）</t>
        </is>
      </c>
      <c r="E429" s="6" t="inlineStr">
        <is>
          <t>化學</t>
        </is>
      </c>
      <c r="F429" s="6" t="n"/>
      <c r="G429" s="6" t="n"/>
      <c r="H429" s="6" t="n"/>
      <c r="I429" s="6" t="inlineStr">
        <is>
          <t>其他</t>
        </is>
      </c>
      <c r="J429" s="6" t="n"/>
      <c r="K429" s="6" t="inlineStr">
        <is>
          <t>未查到</t>
        </is>
      </c>
    </row>
    <row r="430">
      <c r="A430" s="6" t="inlineStr">
        <is>
          <t>全華</t>
        </is>
      </c>
      <c r="B430" s="6" t="inlineStr">
        <is>
          <t>高中</t>
        </is>
      </c>
      <c r="C430" s="6" t="n"/>
      <c r="D430" s="6" t="inlineStr">
        <is>
          <t>基礎化學（二）</t>
        </is>
      </c>
      <c r="E430" s="6" t="inlineStr">
        <is>
          <t>化學</t>
        </is>
      </c>
      <c r="F430" s="6" t="n"/>
      <c r="G430" s="6" t="n"/>
      <c r="H430" s="6" t="n"/>
      <c r="I430" s="6" t="inlineStr">
        <is>
          <t>其他</t>
        </is>
      </c>
      <c r="J430" s="6" t="n"/>
      <c r="K430" s="6" t="inlineStr">
        <is>
          <t>未查到</t>
        </is>
      </c>
    </row>
    <row r="431">
      <c r="A431" s="6" t="inlineStr">
        <is>
          <t>全華</t>
        </is>
      </c>
      <c r="B431" s="6" t="inlineStr">
        <is>
          <t>高中</t>
        </is>
      </c>
      <c r="C431" s="6" t="n"/>
      <c r="D431" s="6" t="inlineStr">
        <is>
          <t>選修化學I</t>
        </is>
      </c>
      <c r="E431" s="6" t="inlineStr">
        <is>
          <t>化學</t>
        </is>
      </c>
      <c r="F431" s="6" t="n"/>
      <c r="G431" s="6" t="n"/>
      <c r="H431" s="6" t="n"/>
      <c r="I431" s="6" t="inlineStr">
        <is>
          <t>其他</t>
        </is>
      </c>
      <c r="J431" s="6" t="n"/>
      <c r="K431" s="6" t="inlineStr">
        <is>
          <t>未查到</t>
        </is>
      </c>
    </row>
    <row r="432">
      <c r="A432" s="6" t="inlineStr">
        <is>
          <t>全華</t>
        </is>
      </c>
      <c r="B432" s="6" t="inlineStr">
        <is>
          <t>高中</t>
        </is>
      </c>
      <c r="C432" s="6" t="n"/>
      <c r="D432" s="6" t="inlineStr">
        <is>
          <t>選修化學II</t>
        </is>
      </c>
      <c r="E432" s="6" t="inlineStr">
        <is>
          <t>化學</t>
        </is>
      </c>
      <c r="F432" s="6" t="n"/>
      <c r="G432" s="6" t="n"/>
      <c r="H432" s="6" t="n"/>
      <c r="I432" s="6" t="inlineStr">
        <is>
          <t>其他</t>
        </is>
      </c>
      <c r="J432" s="6" t="n"/>
      <c r="K432" s="6" t="inlineStr">
        <is>
          <t>未查到</t>
        </is>
      </c>
    </row>
    <row r="433">
      <c r="A433" s="6" t="inlineStr">
        <is>
          <t>全華</t>
        </is>
      </c>
      <c r="B433" s="6" t="inlineStr">
        <is>
          <t>高中</t>
        </is>
      </c>
      <c r="C433" s="6" t="n"/>
      <c r="D433" s="6" t="inlineStr">
        <is>
          <t>選修化學III</t>
        </is>
      </c>
      <c r="E433" s="6" t="inlineStr">
        <is>
          <t>化學</t>
        </is>
      </c>
      <c r="F433" s="6" t="n"/>
      <c r="G433" s="6" t="n"/>
      <c r="H433" s="6" t="n"/>
      <c r="I433" s="6" t="inlineStr">
        <is>
          <t>其他</t>
        </is>
      </c>
      <c r="J433" s="6" t="n"/>
      <c r="K433" s="6" t="inlineStr">
        <is>
          <t>未查到</t>
        </is>
      </c>
    </row>
    <row r="434">
      <c r="A434" s="6" t="inlineStr">
        <is>
          <t>全華</t>
        </is>
      </c>
      <c r="B434" s="6" t="inlineStr">
        <is>
          <t>高中</t>
        </is>
      </c>
      <c r="C434" s="6" t="n"/>
      <c r="D434" s="6" t="inlineStr">
        <is>
          <t>選修化學IV</t>
        </is>
      </c>
      <c r="E434" s="6" t="inlineStr">
        <is>
          <t>化學</t>
        </is>
      </c>
      <c r="F434" s="6" t="n"/>
      <c r="G434" s="6" t="n"/>
      <c r="H434" s="6" t="n"/>
      <c r="I434" s="6" t="inlineStr">
        <is>
          <t>其他</t>
        </is>
      </c>
      <c r="J434" s="6" t="n"/>
      <c r="K434" s="6" t="inlineStr">
        <is>
          <t>未查到</t>
        </is>
      </c>
    </row>
    <row r="435">
      <c r="A435" s="6" t="inlineStr">
        <is>
          <t>全華</t>
        </is>
      </c>
      <c r="B435" s="6" t="inlineStr">
        <is>
          <t>高中</t>
        </is>
      </c>
      <c r="C435" s="6" t="n"/>
      <c r="D435" s="6" t="inlineStr">
        <is>
          <t>選修化學V</t>
        </is>
      </c>
      <c r="E435" s="6" t="inlineStr">
        <is>
          <t>化學</t>
        </is>
      </c>
      <c r="F435" s="6" t="n"/>
      <c r="G435" s="6" t="n"/>
      <c r="H435" s="6" t="n"/>
      <c r="I435" s="6" t="inlineStr">
        <is>
          <t>其他</t>
        </is>
      </c>
      <c r="J435" s="6" t="n"/>
      <c r="K435" s="6" t="inlineStr">
        <is>
          <t>未查到</t>
        </is>
      </c>
    </row>
    <row r="436">
      <c r="A436" s="6" t="inlineStr">
        <is>
          <t>全華</t>
        </is>
      </c>
      <c r="B436" s="6" t="inlineStr">
        <is>
          <t>高中</t>
        </is>
      </c>
      <c r="C436" s="6" t="n"/>
      <c r="D436" s="6" t="inlineStr">
        <is>
          <t>基礎地球科學（一）</t>
        </is>
      </c>
      <c r="E436" s="6" t="inlineStr">
        <is>
          <t>地球科學</t>
        </is>
      </c>
      <c r="F436" s="6" t="n"/>
      <c r="G436" s="6" t="n"/>
      <c r="H436" s="6" t="n"/>
      <c r="I436" s="6" t="inlineStr">
        <is>
          <t>其他</t>
        </is>
      </c>
      <c r="J436" s="6" t="n"/>
      <c r="K436" s="6" t="inlineStr">
        <is>
          <t>未查到</t>
        </is>
      </c>
    </row>
    <row r="437">
      <c r="A437" s="6" t="inlineStr">
        <is>
          <t>全華</t>
        </is>
      </c>
      <c r="B437" s="6" t="inlineStr">
        <is>
          <t>高中</t>
        </is>
      </c>
      <c r="C437" s="6" t="n"/>
      <c r="D437" s="6" t="inlineStr">
        <is>
          <t>基礎地球科學（二）</t>
        </is>
      </c>
      <c r="E437" s="6" t="inlineStr">
        <is>
          <t>地球科學</t>
        </is>
      </c>
      <c r="F437" s="6" t="n"/>
      <c r="G437" s="6" t="n"/>
      <c r="H437" s="6" t="n"/>
      <c r="I437" s="6" t="inlineStr">
        <is>
          <t>其他</t>
        </is>
      </c>
      <c r="J437" s="6" t="n"/>
      <c r="K437" s="6" t="inlineStr">
        <is>
          <t>未查到</t>
        </is>
      </c>
    </row>
    <row r="438">
      <c r="A438" s="6" t="inlineStr">
        <is>
          <t>全華</t>
        </is>
      </c>
      <c r="B438" s="6" t="inlineStr">
        <is>
          <t>高中</t>
        </is>
      </c>
      <c r="C438" s="6" t="n"/>
      <c r="D438" s="6" t="inlineStr">
        <is>
          <t>選修地球科學II</t>
        </is>
      </c>
      <c r="E438" s="6" t="inlineStr">
        <is>
          <t>地球科學</t>
        </is>
      </c>
      <c r="F438" s="6" t="n"/>
      <c r="G438" s="6" t="n"/>
      <c r="H438" s="6" t="n"/>
      <c r="I438" s="6" t="inlineStr">
        <is>
          <t>其他</t>
        </is>
      </c>
      <c r="J438" s="6" t="n"/>
      <c r="K438" s="6" t="inlineStr">
        <is>
          <t>未查到</t>
        </is>
      </c>
    </row>
    <row r="439">
      <c r="A439" s="6" t="inlineStr">
        <is>
          <t>全華</t>
        </is>
      </c>
      <c r="B439" s="6" t="inlineStr">
        <is>
          <t>高中</t>
        </is>
      </c>
      <c r="C439" s="6" t="n"/>
      <c r="D439" s="6" t="inlineStr">
        <is>
          <t>選修地球科學III</t>
        </is>
      </c>
      <c r="E439" s="6" t="inlineStr">
        <is>
          <t>地球科學</t>
        </is>
      </c>
      <c r="F439" s="6" t="n"/>
      <c r="G439" s="6" t="n"/>
      <c r="H439" s="6" t="n"/>
      <c r="I439" s="6" t="inlineStr">
        <is>
          <t>其他</t>
        </is>
      </c>
      <c r="J439" s="6" t="n"/>
      <c r="K439" s="6" t="inlineStr">
        <is>
          <t>未查到</t>
        </is>
      </c>
    </row>
    <row r="440">
      <c r="A440" s="6" t="inlineStr">
        <is>
          <t>全華</t>
        </is>
      </c>
      <c r="B440" s="6" t="inlineStr">
        <is>
          <t>高中</t>
        </is>
      </c>
      <c r="C440" s="6" t="n"/>
      <c r="D440" s="6" t="inlineStr">
        <is>
          <t>選修地球科學IV</t>
        </is>
      </c>
      <c r="E440" s="6" t="inlineStr">
        <is>
          <t>地球科學</t>
        </is>
      </c>
      <c r="F440" s="6" t="n"/>
      <c r="G440" s="6" t="n"/>
      <c r="H440" s="6" t="n"/>
      <c r="I440" s="6" t="inlineStr">
        <is>
          <t>其他</t>
        </is>
      </c>
      <c r="J440" s="6" t="n"/>
      <c r="K440" s="6" t="inlineStr">
        <is>
          <t>未查到</t>
        </is>
      </c>
    </row>
    <row r="441">
      <c r="A441" s="4" t="inlineStr">
        <is>
          <t>全華</t>
        </is>
      </c>
      <c r="B441" s="4" t="inlineStr">
        <is>
          <t>高中</t>
        </is>
      </c>
      <c r="C441" s="4" t="n"/>
      <c r="D441" s="4" t="inlineStr">
        <is>
          <t>選修地球科學（來源課程名：地球系統思維，未標冊次）</t>
        </is>
      </c>
      <c r="E441" s="4" t="inlineStr">
        <is>
          <t>地球科學</t>
        </is>
      </c>
      <c r="F441" s="4" t="inlineStr">
        <is>
          <t>（來源只列單元，沒有章號）</t>
        </is>
      </c>
      <c r="G441" s="4" t="inlineStr">
        <is>
          <t>古今天地觀；晝夜長度與季節變化；日月地相對運動與曆法</t>
        </is>
      </c>
      <c r="H441" s="4" t="inlineStr">
        <is>
          <t>113</t>
        </is>
      </c>
      <c r="I441" s="4" t="inlineStr">
        <is>
          <t>學校課程計畫</t>
        </is>
      </c>
      <c r="J441" s="5" t="inlineStr">
        <is>
          <t>https://www.hs.ntnu.edu.tw/static/webroot/G162269151451663/application/NW174253993646046.pdf</t>
        </is>
      </c>
      <c r="K441" s="4" t="inlineStr">
        <is>
          <t>師大附中113學年度第2學期進度表，課程名稱：選修地球科學/地球系統思維，教科書版本：全華；來源沒有寫冊次（I～IV），這裡暫列在選修地球科學I，請核實；摘要只到第6週；未查到115/114學年度資料；章節文字取自搜尋引擎對來源內容的摘要，請以原檔核對</t>
        </is>
      </c>
    </row>
    <row r="442">
      <c r="A442" s="6" t="inlineStr">
        <is>
          <t>全華</t>
        </is>
      </c>
      <c r="B442" s="6" t="inlineStr">
        <is>
          <t>高中</t>
        </is>
      </c>
      <c r="C442" s="6" t="inlineStr">
        <is>
          <t>10</t>
        </is>
      </c>
      <c r="D442" s="6" t="inlineStr">
        <is>
          <t>第一冊</t>
        </is>
      </c>
      <c r="E442" s="6" t="inlineStr">
        <is>
          <t>歷史</t>
        </is>
      </c>
      <c r="F442" s="6" t="n"/>
      <c r="G442" s="6" t="n"/>
      <c r="H442" s="6" t="n"/>
      <c r="I442" s="6" t="n"/>
      <c r="J442" s="6" t="n"/>
      <c r="K442" s="6" t="inlineStr">
        <is>
          <t>未查到（WebSearch 額度用盡前未能確認該出版商是否出版本冊）</t>
        </is>
      </c>
    </row>
    <row r="443">
      <c r="A443" s="6" t="inlineStr">
        <is>
          <t>全華</t>
        </is>
      </c>
      <c r="B443" s="6" t="inlineStr">
        <is>
          <t>高中</t>
        </is>
      </c>
      <c r="C443" s="6" t="inlineStr">
        <is>
          <t>10</t>
        </is>
      </c>
      <c r="D443" s="6" t="inlineStr">
        <is>
          <t>第二冊</t>
        </is>
      </c>
      <c r="E443" s="6" t="inlineStr">
        <is>
          <t>歷史</t>
        </is>
      </c>
      <c r="F443" s="6" t="n"/>
      <c r="G443" s="6" t="n"/>
      <c r="H443" s="6" t="n"/>
      <c r="I443" s="6" t="n"/>
      <c r="J443" s="6" t="n"/>
      <c r="K443" s="6" t="inlineStr">
        <is>
          <t>未查到（WebSearch 額度用盡前未能確認該出版商是否出版本冊）</t>
        </is>
      </c>
    </row>
    <row r="444">
      <c r="A444" s="6" t="inlineStr">
        <is>
          <t>全華</t>
        </is>
      </c>
      <c r="B444" s="6" t="inlineStr">
        <is>
          <t>高中</t>
        </is>
      </c>
      <c r="C444" s="6" t="inlineStr">
        <is>
          <t>11</t>
        </is>
      </c>
      <c r="D444" s="6" t="inlineStr">
        <is>
          <t>第三冊</t>
        </is>
      </c>
      <c r="E444" s="6" t="inlineStr">
        <is>
          <t>歷史</t>
        </is>
      </c>
      <c r="F444" s="6" t="n"/>
      <c r="G444" s="6" t="n"/>
      <c r="H444" s="6" t="n"/>
      <c r="I444" s="6" t="n"/>
      <c r="J444" s="6" t="n"/>
      <c r="K444" s="6" t="inlineStr">
        <is>
          <t>未查到（WebSearch 額度用盡前未能確認該出版商是否出版本冊）</t>
        </is>
      </c>
    </row>
    <row r="445">
      <c r="A445" s="6" t="inlineStr">
        <is>
          <t>全華</t>
        </is>
      </c>
      <c r="B445" s="6" t="inlineStr">
        <is>
          <t>高中</t>
        </is>
      </c>
      <c r="C445" s="6" t="n"/>
      <c r="D445" s="6" t="inlineStr">
        <is>
          <t>加深加廣選修 探究與實作：歷史學探究</t>
        </is>
      </c>
      <c r="E445" s="6" t="inlineStr">
        <is>
          <t>歷史</t>
        </is>
      </c>
      <c r="F445" s="6" t="n"/>
      <c r="G445" s="6" t="n"/>
      <c r="H445" s="6" t="n"/>
      <c r="I445" s="6" t="n"/>
      <c r="J445" s="6" t="n"/>
      <c r="K445" s="6" t="inlineStr">
        <is>
          <t>未查到（WebSearch 額度用盡前未能確認該出版商是否出版本冊）</t>
        </is>
      </c>
    </row>
    <row r="446">
      <c r="A446" s="6" t="inlineStr">
        <is>
          <t>全華</t>
        </is>
      </c>
      <c r="B446" s="6" t="inlineStr">
        <is>
          <t>高中</t>
        </is>
      </c>
      <c r="C446" s="6" t="n"/>
      <c r="D446" s="6" t="inlineStr">
        <is>
          <t>加深加廣選修 族群、性別與國家的歷史</t>
        </is>
      </c>
      <c r="E446" s="6" t="inlineStr">
        <is>
          <t>歷史</t>
        </is>
      </c>
      <c r="F446" s="6" t="n"/>
      <c r="G446" s="6" t="n"/>
      <c r="H446" s="6" t="n"/>
      <c r="I446" s="6" t="n"/>
      <c r="J446" s="6" t="n"/>
      <c r="K446" s="6" t="inlineStr">
        <is>
          <t>未查到（WebSearch 額度用盡前未能確認該出版商是否出版本冊）</t>
        </is>
      </c>
    </row>
    <row r="447">
      <c r="A447" s="6" t="inlineStr">
        <is>
          <t>全華</t>
        </is>
      </c>
      <c r="B447" s="6" t="inlineStr">
        <is>
          <t>高中</t>
        </is>
      </c>
      <c r="C447" s="6" t="n"/>
      <c r="D447" s="6" t="inlineStr">
        <is>
          <t>加深加廣選修 科技、環境與藝術的歷史</t>
        </is>
      </c>
      <c r="E447" s="6" t="inlineStr">
        <is>
          <t>歷史</t>
        </is>
      </c>
      <c r="F447" s="6" t="n"/>
      <c r="G447" s="6" t="n"/>
      <c r="H447" s="6" t="n"/>
      <c r="I447" s="6" t="n"/>
      <c r="J447" s="6" t="n"/>
      <c r="K447" s="6" t="inlineStr">
        <is>
          <t>未查到（WebSearch 額度用盡前未能確認該出版商是否出版本冊）</t>
        </is>
      </c>
    </row>
    <row r="448">
      <c r="A448" s="6" t="inlineStr">
        <is>
          <t>全華</t>
        </is>
      </c>
      <c r="B448" s="6" t="inlineStr">
        <is>
          <t>高中</t>
        </is>
      </c>
      <c r="C448" s="6" t="inlineStr">
        <is>
          <t>10</t>
        </is>
      </c>
      <c r="D448" s="6" t="inlineStr">
        <is>
          <t>第一冊</t>
        </is>
      </c>
      <c r="E448" s="6" t="inlineStr">
        <is>
          <t>地理</t>
        </is>
      </c>
      <c r="F448" s="6" t="n"/>
      <c r="G448" s="6" t="n"/>
      <c r="H448" s="6" t="n"/>
      <c r="I448" s="6" t="n"/>
      <c r="J448" s="6" t="n"/>
      <c r="K448" s="6" t="inlineStr">
        <is>
          <t>未查到（WebSearch 額度用盡前未能確認該出版商是否出版本冊）</t>
        </is>
      </c>
    </row>
    <row r="449">
      <c r="A449" s="6" t="inlineStr">
        <is>
          <t>全華</t>
        </is>
      </c>
      <c r="B449" s="6" t="inlineStr">
        <is>
          <t>高中</t>
        </is>
      </c>
      <c r="C449" s="6" t="inlineStr">
        <is>
          <t>10</t>
        </is>
      </c>
      <c r="D449" s="6" t="inlineStr">
        <is>
          <t>第二冊</t>
        </is>
      </c>
      <c r="E449" s="6" t="inlineStr">
        <is>
          <t>地理</t>
        </is>
      </c>
      <c r="F449" s="6" t="n"/>
      <c r="G449" s="6" t="n"/>
      <c r="H449" s="6" t="n"/>
      <c r="I449" s="6" t="n"/>
      <c r="J449" s="6" t="n"/>
      <c r="K449" s="6" t="inlineStr">
        <is>
          <t>未查到（WebSearch 額度用盡前未能確認該出版商是否出版本冊）</t>
        </is>
      </c>
    </row>
    <row r="450">
      <c r="A450" s="6" t="inlineStr">
        <is>
          <t>全華</t>
        </is>
      </c>
      <c r="B450" s="6" t="inlineStr">
        <is>
          <t>高中</t>
        </is>
      </c>
      <c r="C450" s="6" t="inlineStr">
        <is>
          <t>11</t>
        </is>
      </c>
      <c r="D450" s="6" t="inlineStr">
        <is>
          <t>第三冊</t>
        </is>
      </c>
      <c r="E450" s="6" t="inlineStr">
        <is>
          <t>地理</t>
        </is>
      </c>
      <c r="F450" s="6" t="n"/>
      <c r="G450" s="6" t="n"/>
      <c r="H450" s="6" t="n"/>
      <c r="I450" s="6" t="n"/>
      <c r="J450" s="6" t="n"/>
      <c r="K450" s="6" t="inlineStr">
        <is>
          <t>未查到（WebSearch 額度用盡前未能確認該出版商是否出版本冊）</t>
        </is>
      </c>
    </row>
    <row r="451">
      <c r="A451" s="6" t="inlineStr">
        <is>
          <t>全華</t>
        </is>
      </c>
      <c r="B451" s="6" t="inlineStr">
        <is>
          <t>高中</t>
        </is>
      </c>
      <c r="C451" s="6" t="n"/>
      <c r="D451" s="6" t="inlineStr">
        <is>
          <t>加深加廣選修 探究與實作：地理與人文社會科學研究</t>
        </is>
      </c>
      <c r="E451" s="6" t="inlineStr">
        <is>
          <t>地理</t>
        </is>
      </c>
      <c r="F451" s="6" t="n"/>
      <c r="G451" s="6" t="n"/>
      <c r="H451" s="6" t="n"/>
      <c r="I451" s="6" t="n"/>
      <c r="J451" s="6" t="n"/>
      <c r="K451" s="6" t="inlineStr">
        <is>
          <t>未查到（WebSearch 額度用盡前未能確認該出版商是否出版本冊）</t>
        </is>
      </c>
    </row>
    <row r="452">
      <c r="A452" s="6" t="inlineStr">
        <is>
          <t>全華</t>
        </is>
      </c>
      <c r="B452" s="6" t="inlineStr">
        <is>
          <t>高中</t>
        </is>
      </c>
      <c r="C452" s="6" t="n"/>
      <c r="D452" s="6" t="inlineStr">
        <is>
          <t>加深加廣選修 社會環境議題</t>
        </is>
      </c>
      <c r="E452" s="6" t="inlineStr">
        <is>
          <t>地理</t>
        </is>
      </c>
      <c r="F452" s="6" t="n"/>
      <c r="G452" s="6" t="n"/>
      <c r="H452" s="6" t="n"/>
      <c r="I452" s="6" t="n"/>
      <c r="J452" s="6" t="n"/>
      <c r="K452" s="6" t="inlineStr">
        <is>
          <t>未查到（WebSearch 額度用盡前未能確認該出版商是否出版本冊）</t>
        </is>
      </c>
    </row>
    <row r="453">
      <c r="A453" s="6" t="inlineStr">
        <is>
          <t>全華</t>
        </is>
      </c>
      <c r="B453" s="6" t="inlineStr">
        <is>
          <t>高中</t>
        </is>
      </c>
      <c r="C453" s="6" t="n"/>
      <c r="D453" s="6" t="inlineStr">
        <is>
          <t>加深加廣選修 空間資訊科技</t>
        </is>
      </c>
      <c r="E453" s="6" t="inlineStr">
        <is>
          <t>地理</t>
        </is>
      </c>
      <c r="F453" s="6" t="n"/>
      <c r="G453" s="6" t="n"/>
      <c r="H453" s="6" t="n"/>
      <c r="I453" s="6" t="n"/>
      <c r="J453" s="6" t="n"/>
      <c r="K453" s="6" t="inlineStr">
        <is>
          <t>未查到（WebSearch 額度用盡前未能確認該出版商是否出版本冊）</t>
        </is>
      </c>
    </row>
    <row r="454">
      <c r="A454" s="6" t="inlineStr">
        <is>
          <t>全華</t>
        </is>
      </c>
      <c r="B454" s="6" t="inlineStr">
        <is>
          <t>高中</t>
        </is>
      </c>
      <c r="C454" s="6" t="inlineStr">
        <is>
          <t>10</t>
        </is>
      </c>
      <c r="D454" s="6" t="inlineStr">
        <is>
          <t>第一冊</t>
        </is>
      </c>
      <c r="E454" s="6" t="inlineStr">
        <is>
          <t>公民與社會</t>
        </is>
      </c>
      <c r="F454" s="6" t="n"/>
      <c r="G454" s="6" t="n"/>
      <c r="H454" s="6" t="n"/>
      <c r="I454" s="6" t="n"/>
      <c r="J454" s="6" t="n"/>
      <c r="K454" s="6" t="inlineStr">
        <is>
          <t>未查到（WebSearch 額度用盡前未能確認該出版商是否出版本冊）</t>
        </is>
      </c>
    </row>
    <row r="455">
      <c r="A455" s="6" t="inlineStr">
        <is>
          <t>全華</t>
        </is>
      </c>
      <c r="B455" s="6" t="inlineStr">
        <is>
          <t>高中</t>
        </is>
      </c>
      <c r="C455" s="6" t="inlineStr">
        <is>
          <t>10</t>
        </is>
      </c>
      <c r="D455" s="6" t="inlineStr">
        <is>
          <t>第二冊</t>
        </is>
      </c>
      <c r="E455" s="6" t="inlineStr">
        <is>
          <t>公民與社會</t>
        </is>
      </c>
      <c r="F455" s="6" t="n"/>
      <c r="G455" s="6" t="n"/>
      <c r="H455" s="6" t="n"/>
      <c r="I455" s="6" t="n"/>
      <c r="J455" s="6" t="n"/>
      <c r="K455" s="6" t="inlineStr">
        <is>
          <t>未查到（WebSearch 額度用盡前未能確認該出版商是否出版本冊）</t>
        </is>
      </c>
    </row>
    <row r="456">
      <c r="A456" s="6" t="inlineStr">
        <is>
          <t>全華</t>
        </is>
      </c>
      <c r="B456" s="6" t="inlineStr">
        <is>
          <t>高中</t>
        </is>
      </c>
      <c r="C456" s="6" t="inlineStr">
        <is>
          <t>11</t>
        </is>
      </c>
      <c r="D456" s="6" t="inlineStr">
        <is>
          <t>第三冊</t>
        </is>
      </c>
      <c r="E456" s="6" t="inlineStr">
        <is>
          <t>公民與社會</t>
        </is>
      </c>
      <c r="F456" s="6" t="n"/>
      <c r="G456" s="6" t="n"/>
      <c r="H456" s="6" t="n"/>
      <c r="I456" s="6" t="n"/>
      <c r="J456" s="6" t="n"/>
      <c r="K456" s="6" t="inlineStr">
        <is>
          <t>未查到（WebSearch 額度用盡前未能確認該出版商是否出版本冊）</t>
        </is>
      </c>
    </row>
    <row r="457">
      <c r="A457" s="6" t="inlineStr">
        <is>
          <t>全華</t>
        </is>
      </c>
      <c r="B457" s="6" t="inlineStr">
        <is>
          <t>高中</t>
        </is>
      </c>
      <c r="C457" s="6" t="n"/>
      <c r="D457" s="6" t="inlineStr">
        <is>
          <t>加深加廣選修 探究與實作：公共議題與社會探究</t>
        </is>
      </c>
      <c r="E457" s="6" t="inlineStr">
        <is>
          <t>公民與社會</t>
        </is>
      </c>
      <c r="F457" s="6" t="n"/>
      <c r="G457" s="6" t="n"/>
      <c r="H457" s="6" t="n"/>
      <c r="I457" s="6" t="n"/>
      <c r="J457" s="6" t="n"/>
      <c r="K457" s="6" t="inlineStr">
        <is>
          <t>未查到（WebSearch 額度用盡前未能確認該出版商是否出版本冊）</t>
        </is>
      </c>
    </row>
    <row r="458">
      <c r="A458" s="6" t="inlineStr">
        <is>
          <t>全華</t>
        </is>
      </c>
      <c r="B458" s="6" t="inlineStr">
        <is>
          <t>高中</t>
        </is>
      </c>
      <c r="C458" s="6" t="n"/>
      <c r="D458" s="6" t="inlineStr">
        <is>
          <t>加深加廣選修 民主政治與法律</t>
        </is>
      </c>
      <c r="E458" s="6" t="inlineStr">
        <is>
          <t>公民與社會</t>
        </is>
      </c>
      <c r="F458" s="6" t="n"/>
      <c r="G458" s="6" t="n"/>
      <c r="H458" s="6" t="n"/>
      <c r="I458" s="6" t="n"/>
      <c r="J458" s="6" t="n"/>
      <c r="K458" s="6" t="inlineStr">
        <is>
          <t>未查到（WebSearch 額度用盡前未能確認該出版商是否出版本冊）</t>
        </is>
      </c>
    </row>
    <row r="459">
      <c r="A459" s="6" t="inlineStr">
        <is>
          <t>全華</t>
        </is>
      </c>
      <c r="B459" s="6" t="inlineStr">
        <is>
          <t>高中</t>
        </is>
      </c>
      <c r="C459" s="6" t="n"/>
      <c r="D459" s="6" t="inlineStr">
        <is>
          <t>加深加廣選修 現代社會與經濟</t>
        </is>
      </c>
      <c r="E459" s="6" t="inlineStr">
        <is>
          <t>公民與社會</t>
        </is>
      </c>
      <c r="F459" s="6" t="n"/>
      <c r="G459" s="6" t="n"/>
      <c r="H459" s="6" t="n"/>
      <c r="I459" s="6" t="n"/>
      <c r="J459" s="6" t="n"/>
      <c r="K459" s="6" t="inlineStr">
        <is>
          <t>未查到（WebSearch 額度用盡前未能確認該出版商是否出版本冊）</t>
        </is>
      </c>
    </row>
    <row r="460">
      <c r="A460" s="6" t="inlineStr">
        <is>
          <t>泰宇</t>
        </is>
      </c>
      <c r="B460" s="6" t="inlineStr">
        <is>
          <t>高中</t>
        </is>
      </c>
      <c r="C460" s="6" t="inlineStr">
        <is>
          <t>10</t>
        </is>
      </c>
      <c r="D460" s="6" t="inlineStr">
        <is>
          <t>第一冊</t>
        </is>
      </c>
      <c r="E460" s="6" t="inlineStr">
        <is>
          <t>國文</t>
        </is>
      </c>
      <c r="F460" s="6" t="n"/>
      <c r="G460" s="6" t="n"/>
      <c r="H460" s="6" t="n"/>
      <c r="I460" s="6" t="n"/>
      <c r="J460" s="6" t="n"/>
      <c r="K460" s="6" t="inlineStr">
        <is>
          <t>未查到</t>
        </is>
      </c>
    </row>
    <row r="461">
      <c r="A461" s="6" t="inlineStr">
        <is>
          <t>泰宇</t>
        </is>
      </c>
      <c r="B461" s="6" t="inlineStr">
        <is>
          <t>高中</t>
        </is>
      </c>
      <c r="C461" s="6" t="inlineStr">
        <is>
          <t>10</t>
        </is>
      </c>
      <c r="D461" s="6" t="inlineStr">
        <is>
          <t>第二冊</t>
        </is>
      </c>
      <c r="E461" s="6" t="inlineStr">
        <is>
          <t>國文</t>
        </is>
      </c>
      <c r="F461" s="6" t="n"/>
      <c r="G461" s="6" t="n"/>
      <c r="H461" s="6" t="n"/>
      <c r="I461" s="6" t="n"/>
      <c r="J461" s="6" t="n"/>
      <c r="K461" s="6" t="inlineStr">
        <is>
          <t>未查到</t>
        </is>
      </c>
    </row>
    <row r="462">
      <c r="A462" s="6" t="inlineStr">
        <is>
          <t>泰宇</t>
        </is>
      </c>
      <c r="B462" s="6" t="inlineStr">
        <is>
          <t>高中</t>
        </is>
      </c>
      <c r="C462" s="6" t="inlineStr">
        <is>
          <t>11</t>
        </is>
      </c>
      <c r="D462" s="6" t="inlineStr">
        <is>
          <t>第三冊</t>
        </is>
      </c>
      <c r="E462" s="6" t="inlineStr">
        <is>
          <t>國文</t>
        </is>
      </c>
      <c r="F462" s="6" t="n"/>
      <c r="G462" s="6" t="n"/>
      <c r="H462" s="6" t="n"/>
      <c r="I462" s="6" t="n"/>
      <c r="J462" s="6" t="n"/>
      <c r="K462" s="6" t="inlineStr">
        <is>
          <t>未查到</t>
        </is>
      </c>
    </row>
    <row r="463">
      <c r="A463" s="6" t="inlineStr">
        <is>
          <t>泰宇</t>
        </is>
      </c>
      <c r="B463" s="6" t="inlineStr">
        <is>
          <t>高中</t>
        </is>
      </c>
      <c r="C463" s="6" t="inlineStr">
        <is>
          <t>11</t>
        </is>
      </c>
      <c r="D463" s="6" t="inlineStr">
        <is>
          <t>第四冊</t>
        </is>
      </c>
      <c r="E463" s="6" t="inlineStr">
        <is>
          <t>國文</t>
        </is>
      </c>
      <c r="F463" s="6" t="n"/>
      <c r="G463" s="6" t="n"/>
      <c r="H463" s="6" t="n"/>
      <c r="I463" s="6" t="n"/>
      <c r="J463" s="6" t="n"/>
      <c r="K463" s="6" t="inlineStr">
        <is>
          <t>未查到</t>
        </is>
      </c>
    </row>
    <row r="464">
      <c r="A464" s="6" t="inlineStr">
        <is>
          <t>泰宇</t>
        </is>
      </c>
      <c r="B464" s="6" t="inlineStr">
        <is>
          <t>高中</t>
        </is>
      </c>
      <c r="C464" s="6" t="inlineStr">
        <is>
          <t>12</t>
        </is>
      </c>
      <c r="D464" s="6" t="inlineStr">
        <is>
          <t>第五冊</t>
        </is>
      </c>
      <c r="E464" s="6" t="inlineStr">
        <is>
          <t>國文</t>
        </is>
      </c>
      <c r="F464" s="6" t="n"/>
      <c r="G464" s="6" t="n"/>
      <c r="H464" s="6" t="n"/>
      <c r="I464" s="6" t="n"/>
      <c r="J464" s="6" t="n"/>
      <c r="K464" s="6" t="inlineStr">
        <is>
          <t>未查到</t>
        </is>
      </c>
    </row>
    <row r="465">
      <c r="A465" s="6" t="inlineStr">
        <is>
          <t>泰宇</t>
        </is>
      </c>
      <c r="B465" s="6" t="inlineStr">
        <is>
          <t>高中</t>
        </is>
      </c>
      <c r="C465" s="6" t="inlineStr">
        <is>
          <t>12</t>
        </is>
      </c>
      <c r="D465" s="6" t="inlineStr">
        <is>
          <t>第六冊</t>
        </is>
      </c>
      <c r="E465" s="6" t="inlineStr">
        <is>
          <t>國文</t>
        </is>
      </c>
      <c r="F465" s="6" t="n"/>
      <c r="G465" s="6" t="n"/>
      <c r="H465" s="6" t="n"/>
      <c r="I465" s="6" t="n"/>
      <c r="J465" s="6" t="n"/>
      <c r="K465" s="6" t="inlineStr">
        <is>
          <t>未查到</t>
        </is>
      </c>
    </row>
    <row r="466">
      <c r="A466" s="6" t="inlineStr">
        <is>
          <t>泰宇</t>
        </is>
      </c>
      <c r="B466" s="6" t="inlineStr">
        <is>
          <t>高中</t>
        </is>
      </c>
      <c r="C466" s="6" t="n"/>
      <c r="D466" s="6" t="inlineStr">
        <is>
          <t>加深加廣選修：各類文學選讀</t>
        </is>
      </c>
      <c r="E466" s="6" t="inlineStr">
        <is>
          <t>國文</t>
        </is>
      </c>
      <c r="F466" s="6" t="n"/>
      <c r="G466" s="6" t="n"/>
      <c r="H466" s="6" t="n"/>
      <c r="I466" s="6" t="n"/>
      <c r="J466" s="6" t="n"/>
      <c r="K466" s="6" t="inlineStr">
        <is>
          <t>未查到</t>
        </is>
      </c>
    </row>
    <row r="467">
      <c r="A467" s="6" t="inlineStr">
        <is>
          <t>泰宇</t>
        </is>
      </c>
      <c r="B467" s="6" t="inlineStr">
        <is>
          <t>高中</t>
        </is>
      </c>
      <c r="C467" s="6" t="n"/>
      <c r="D467" s="6" t="inlineStr">
        <is>
          <t>加深加廣選修：國學常識</t>
        </is>
      </c>
      <c r="E467" s="6" t="inlineStr">
        <is>
          <t>國文</t>
        </is>
      </c>
      <c r="F467" s="6" t="n"/>
      <c r="G467" s="6" t="n"/>
      <c r="H467" s="6" t="n"/>
      <c r="I467" s="6" t="n"/>
      <c r="J467" s="6" t="n"/>
      <c r="K467" s="6" t="inlineStr">
        <is>
          <t>未查到</t>
        </is>
      </c>
    </row>
    <row r="468">
      <c r="A468" s="6" t="inlineStr">
        <is>
          <t>泰宇</t>
        </is>
      </c>
      <c r="B468" s="6" t="inlineStr">
        <is>
          <t>高中</t>
        </is>
      </c>
      <c r="C468" s="6" t="n"/>
      <c r="D468" s="6" t="inlineStr">
        <is>
          <t>加深加廣選修：專題閱讀與研究</t>
        </is>
      </c>
      <c r="E468" s="6" t="inlineStr">
        <is>
          <t>國文</t>
        </is>
      </c>
      <c r="F468" s="6" t="n"/>
      <c r="G468" s="6" t="n"/>
      <c r="H468" s="6" t="n"/>
      <c r="I468" s="6" t="n"/>
      <c r="J468" s="6" t="n"/>
      <c r="K468" s="6" t="inlineStr">
        <is>
          <t>未查到</t>
        </is>
      </c>
    </row>
    <row r="469">
      <c r="A469" s="6" t="inlineStr">
        <is>
          <t>泰宇</t>
        </is>
      </c>
      <c r="B469" s="6" t="inlineStr">
        <is>
          <t>高中</t>
        </is>
      </c>
      <c r="C469" s="6" t="n"/>
      <c r="D469" s="6" t="inlineStr">
        <is>
          <t>加深加廣選修：語文表達及傳播應用</t>
        </is>
      </c>
      <c r="E469" s="6" t="inlineStr">
        <is>
          <t>國文</t>
        </is>
      </c>
      <c r="F469" s="6" t="n"/>
      <c r="G469" s="6" t="n"/>
      <c r="H469" s="6" t="n"/>
      <c r="I469" s="6" t="n"/>
      <c r="J469" s="6" t="n"/>
      <c r="K469" s="6" t="inlineStr">
        <is>
          <t>未查到</t>
        </is>
      </c>
    </row>
    <row r="470">
      <c r="A470" s="6" t="inlineStr">
        <is>
          <t>泰宇</t>
        </is>
      </c>
      <c r="B470" s="6" t="inlineStr">
        <is>
          <t>高中</t>
        </is>
      </c>
      <c r="C470" s="6" t="inlineStr">
        <is>
          <t>10</t>
        </is>
      </c>
      <c r="D470" s="6" t="inlineStr">
        <is>
          <t>第一冊</t>
        </is>
      </c>
      <c r="E470" s="6" t="inlineStr">
        <is>
          <t>英文</t>
        </is>
      </c>
      <c r="F470" s="6" t="n"/>
      <c r="G470" s="6" t="n"/>
      <c r="H470" s="6" t="n"/>
      <c r="I470" s="6" t="n"/>
      <c r="J470" s="6" t="n"/>
      <c r="K470" s="6" t="inlineStr">
        <is>
          <t>未查到</t>
        </is>
      </c>
    </row>
    <row r="471">
      <c r="A471" s="6" t="inlineStr">
        <is>
          <t>泰宇</t>
        </is>
      </c>
      <c r="B471" s="6" t="inlineStr">
        <is>
          <t>高中</t>
        </is>
      </c>
      <c r="C471" s="6" t="inlineStr">
        <is>
          <t>10</t>
        </is>
      </c>
      <c r="D471" s="6" t="inlineStr">
        <is>
          <t>第二冊</t>
        </is>
      </c>
      <c r="E471" s="6" t="inlineStr">
        <is>
          <t>英文</t>
        </is>
      </c>
      <c r="F471" s="6" t="n"/>
      <c r="G471" s="6" t="n"/>
      <c r="H471" s="6" t="n"/>
      <c r="I471" s="6" t="n"/>
      <c r="J471" s="6" t="n"/>
      <c r="K471" s="6" t="inlineStr">
        <is>
          <t>未查到</t>
        </is>
      </c>
    </row>
    <row r="472">
      <c r="A472" s="6" t="inlineStr">
        <is>
          <t>泰宇</t>
        </is>
      </c>
      <c r="B472" s="6" t="inlineStr">
        <is>
          <t>高中</t>
        </is>
      </c>
      <c r="C472" s="6" t="inlineStr">
        <is>
          <t>11</t>
        </is>
      </c>
      <c r="D472" s="6" t="inlineStr">
        <is>
          <t>第三冊</t>
        </is>
      </c>
      <c r="E472" s="6" t="inlineStr">
        <is>
          <t>英文</t>
        </is>
      </c>
      <c r="F472" s="6" t="n"/>
      <c r="G472" s="6" t="n"/>
      <c r="H472" s="6" t="n"/>
      <c r="I472" s="6" t="n"/>
      <c r="J472" s="6" t="n"/>
      <c r="K472" s="6" t="inlineStr">
        <is>
          <t>未查到</t>
        </is>
      </c>
    </row>
    <row r="473">
      <c r="A473" s="6" t="inlineStr">
        <is>
          <t>泰宇</t>
        </is>
      </c>
      <c r="B473" s="6" t="inlineStr">
        <is>
          <t>高中</t>
        </is>
      </c>
      <c r="C473" s="6" t="inlineStr">
        <is>
          <t>11</t>
        </is>
      </c>
      <c r="D473" s="6" t="inlineStr">
        <is>
          <t>第四冊</t>
        </is>
      </c>
      <c r="E473" s="6" t="inlineStr">
        <is>
          <t>英文</t>
        </is>
      </c>
      <c r="F473" s="6" t="n"/>
      <c r="G473" s="6" t="n"/>
      <c r="H473" s="6" t="n"/>
      <c r="I473" s="6" t="n"/>
      <c r="J473" s="6" t="n"/>
      <c r="K473" s="6" t="inlineStr">
        <is>
          <t>未查到</t>
        </is>
      </c>
    </row>
    <row r="474">
      <c r="A474" s="6" t="inlineStr">
        <is>
          <t>泰宇</t>
        </is>
      </c>
      <c r="B474" s="6" t="inlineStr">
        <is>
          <t>高中</t>
        </is>
      </c>
      <c r="C474" s="6" t="inlineStr">
        <is>
          <t>12</t>
        </is>
      </c>
      <c r="D474" s="6" t="inlineStr">
        <is>
          <t>第五冊</t>
        </is>
      </c>
      <c r="E474" s="6" t="inlineStr">
        <is>
          <t>英文</t>
        </is>
      </c>
      <c r="F474" s="6" t="n"/>
      <c r="G474" s="6" t="n"/>
      <c r="H474" s="6" t="n"/>
      <c r="I474" s="6" t="n"/>
      <c r="J474" s="6" t="n"/>
      <c r="K474" s="6" t="inlineStr">
        <is>
          <t>未查到</t>
        </is>
      </c>
    </row>
    <row r="475">
      <c r="A475" s="6" t="inlineStr">
        <is>
          <t>泰宇</t>
        </is>
      </c>
      <c r="B475" s="6" t="inlineStr">
        <is>
          <t>高中</t>
        </is>
      </c>
      <c r="C475" s="6" t="inlineStr">
        <is>
          <t>12</t>
        </is>
      </c>
      <c r="D475" s="6" t="inlineStr">
        <is>
          <t>第六冊</t>
        </is>
      </c>
      <c r="E475" s="6" t="inlineStr">
        <is>
          <t>英文</t>
        </is>
      </c>
      <c r="F475" s="6" t="n"/>
      <c r="G475" s="6" t="n"/>
      <c r="H475" s="6" t="n"/>
      <c r="I475" s="6" t="n"/>
      <c r="J475" s="6" t="n"/>
      <c r="K475" s="6" t="inlineStr">
        <is>
          <t>未查到</t>
        </is>
      </c>
    </row>
    <row r="476">
      <c r="A476" s="6" t="inlineStr">
        <is>
          <t>泰宇</t>
        </is>
      </c>
      <c r="B476" s="6" t="inlineStr">
        <is>
          <t>高中</t>
        </is>
      </c>
      <c r="C476" s="6" t="n"/>
      <c r="D476" s="6" t="inlineStr">
        <is>
          <t>加深加廣選修：英文閱讀與寫作</t>
        </is>
      </c>
      <c r="E476" s="6" t="inlineStr">
        <is>
          <t>英文</t>
        </is>
      </c>
      <c r="F476" s="6" t="n"/>
      <c r="G476" s="6" t="n"/>
      <c r="H476" s="6" t="n"/>
      <c r="I476" s="6" t="n"/>
      <c r="J476" s="6" t="n"/>
      <c r="K476" s="6" t="inlineStr">
        <is>
          <t>未查到</t>
        </is>
      </c>
    </row>
    <row r="477">
      <c r="A477" s="6" t="inlineStr">
        <is>
          <t>泰宇</t>
        </is>
      </c>
      <c r="B477" s="6" t="inlineStr">
        <is>
          <t>高中</t>
        </is>
      </c>
      <c r="C477" s="6" t="n"/>
      <c r="D477" s="6" t="inlineStr">
        <is>
          <t>加深加廣選修：英語聽講</t>
        </is>
      </c>
      <c r="E477" s="6" t="inlineStr">
        <is>
          <t>英文</t>
        </is>
      </c>
      <c r="F477" s="6" t="n"/>
      <c r="G477" s="6" t="n"/>
      <c r="H477" s="6" t="n"/>
      <c r="I477" s="6" t="n"/>
      <c r="J477" s="6" t="n"/>
      <c r="K477" s="6" t="inlineStr">
        <is>
          <t>未查到</t>
        </is>
      </c>
    </row>
    <row r="478">
      <c r="A478" s="6" t="inlineStr">
        <is>
          <t>泰宇</t>
        </is>
      </c>
      <c r="B478" s="6" t="inlineStr">
        <is>
          <t>高中</t>
        </is>
      </c>
      <c r="C478" s="6" t="inlineStr">
        <is>
          <t>10</t>
        </is>
      </c>
      <c r="D478" s="6" t="inlineStr">
        <is>
          <t>第一冊</t>
        </is>
      </c>
      <c r="E478" s="6" t="inlineStr">
        <is>
          <t>數學</t>
        </is>
      </c>
      <c r="F478" s="6" t="n"/>
      <c r="G478" s="6" t="n"/>
      <c r="H478" s="6" t="n"/>
      <c r="I478" s="6" t="n"/>
      <c r="J478" s="6" t="n"/>
      <c r="K478" s="6" t="inlineStr">
        <is>
          <t>未查到</t>
        </is>
      </c>
    </row>
    <row r="479">
      <c r="A479" s="6" t="inlineStr">
        <is>
          <t>泰宇</t>
        </is>
      </c>
      <c r="B479" s="6" t="inlineStr">
        <is>
          <t>高中</t>
        </is>
      </c>
      <c r="C479" s="6" t="inlineStr">
        <is>
          <t>10</t>
        </is>
      </c>
      <c r="D479" s="6" t="inlineStr">
        <is>
          <t>第二冊</t>
        </is>
      </c>
      <c r="E479" s="6" t="inlineStr">
        <is>
          <t>數學</t>
        </is>
      </c>
      <c r="F479" s="6" t="n"/>
      <c r="G479" s="6" t="n"/>
      <c r="H479" s="6" t="n"/>
      <c r="I479" s="6" t="n"/>
      <c r="J479" s="6" t="n"/>
      <c r="K479" s="6" t="inlineStr">
        <is>
          <t>未查到</t>
        </is>
      </c>
    </row>
    <row r="480">
      <c r="A480" s="6" t="inlineStr">
        <is>
          <t>泰宇</t>
        </is>
      </c>
      <c r="B480" s="6" t="inlineStr">
        <is>
          <t>高中</t>
        </is>
      </c>
      <c r="C480" s="6" t="inlineStr">
        <is>
          <t>11</t>
        </is>
      </c>
      <c r="D480" s="6" t="inlineStr">
        <is>
          <t>第三冊A</t>
        </is>
      </c>
      <c r="E480" s="6" t="inlineStr">
        <is>
          <t>數學</t>
        </is>
      </c>
      <c r="F480" s="6" t="n"/>
      <c r="G480" s="6" t="n"/>
      <c r="H480" s="6" t="n"/>
      <c r="I480" s="6" t="n"/>
      <c r="J480" s="6" t="n"/>
      <c r="K480" s="6" t="inlineStr">
        <is>
          <t>未查到</t>
        </is>
      </c>
    </row>
    <row r="481">
      <c r="A481" s="6" t="inlineStr">
        <is>
          <t>泰宇</t>
        </is>
      </c>
      <c r="B481" s="6" t="inlineStr">
        <is>
          <t>高中</t>
        </is>
      </c>
      <c r="C481" s="6" t="inlineStr">
        <is>
          <t>11</t>
        </is>
      </c>
      <c r="D481" s="6" t="inlineStr">
        <is>
          <t>第三冊B</t>
        </is>
      </c>
      <c r="E481" s="6" t="inlineStr">
        <is>
          <t>數學</t>
        </is>
      </c>
      <c r="F481" s="6" t="n"/>
      <c r="G481" s="6" t="n"/>
      <c r="H481" s="6" t="n"/>
      <c r="I481" s="6" t="n"/>
      <c r="J481" s="6" t="n"/>
      <c r="K481" s="6" t="inlineStr">
        <is>
          <t>未查到</t>
        </is>
      </c>
    </row>
    <row r="482">
      <c r="A482" s="6" t="inlineStr">
        <is>
          <t>泰宇</t>
        </is>
      </c>
      <c r="B482" s="6" t="inlineStr">
        <is>
          <t>高中</t>
        </is>
      </c>
      <c r="C482" s="6" t="inlineStr">
        <is>
          <t>11</t>
        </is>
      </c>
      <c r="D482" s="6" t="inlineStr">
        <is>
          <t>第四冊A</t>
        </is>
      </c>
      <c r="E482" s="6" t="inlineStr">
        <is>
          <t>數學</t>
        </is>
      </c>
      <c r="F482" s="6" t="n"/>
      <c r="G482" s="6" t="n"/>
      <c r="H482" s="6" t="n"/>
      <c r="I482" s="6" t="n"/>
      <c r="J482" s="6" t="n"/>
      <c r="K482" s="6" t="inlineStr">
        <is>
          <t>未查到</t>
        </is>
      </c>
    </row>
    <row r="483">
      <c r="A483" s="6" t="inlineStr">
        <is>
          <t>泰宇</t>
        </is>
      </c>
      <c r="B483" s="6" t="inlineStr">
        <is>
          <t>高中</t>
        </is>
      </c>
      <c r="C483" s="6" t="inlineStr">
        <is>
          <t>11</t>
        </is>
      </c>
      <c r="D483" s="6" t="inlineStr">
        <is>
          <t>第四冊B</t>
        </is>
      </c>
      <c r="E483" s="6" t="inlineStr">
        <is>
          <t>數學</t>
        </is>
      </c>
      <c r="F483" s="6" t="n"/>
      <c r="G483" s="6" t="n"/>
      <c r="H483" s="6" t="n"/>
      <c r="I483" s="6" t="n"/>
      <c r="J483" s="6" t="n"/>
      <c r="K483" s="6" t="inlineStr">
        <is>
          <t>未查到</t>
        </is>
      </c>
    </row>
    <row r="484">
      <c r="A484" s="6" t="inlineStr">
        <is>
          <t>泰宇</t>
        </is>
      </c>
      <c r="B484" s="6" t="inlineStr">
        <is>
          <t>高中</t>
        </is>
      </c>
      <c r="C484" s="6" t="inlineStr">
        <is>
          <t>12</t>
        </is>
      </c>
      <c r="D484" s="6" t="inlineStr">
        <is>
          <t>數學乙上</t>
        </is>
      </c>
      <c r="E484" s="6" t="inlineStr">
        <is>
          <t>數學</t>
        </is>
      </c>
      <c r="F484" s="6" t="n"/>
      <c r="G484" s="6" t="n"/>
      <c r="H484" s="6" t="n"/>
      <c r="I484" s="6" t="n"/>
      <c r="J484" s="6" t="n"/>
      <c r="K484" s="6" t="inlineStr">
        <is>
          <t>未查到</t>
        </is>
      </c>
    </row>
    <row r="485">
      <c r="A485" s="6" t="inlineStr">
        <is>
          <t>泰宇</t>
        </is>
      </c>
      <c r="B485" s="6" t="inlineStr">
        <is>
          <t>高中</t>
        </is>
      </c>
      <c r="C485" s="6" t="inlineStr">
        <is>
          <t>12</t>
        </is>
      </c>
      <c r="D485" s="6" t="inlineStr">
        <is>
          <t>數學乙下</t>
        </is>
      </c>
      <c r="E485" s="6" t="inlineStr">
        <is>
          <t>數學</t>
        </is>
      </c>
      <c r="F485" s="6" t="n"/>
      <c r="G485" s="6" t="n"/>
      <c r="H485" s="6" t="n"/>
      <c r="I485" s="6" t="n"/>
      <c r="J485" s="6" t="n"/>
      <c r="K485" s="6" t="inlineStr">
        <is>
          <t>未查到</t>
        </is>
      </c>
    </row>
    <row r="486">
      <c r="A486" s="6" t="inlineStr">
        <is>
          <t>泰宇</t>
        </is>
      </c>
      <c r="B486" s="6" t="inlineStr">
        <is>
          <t>高中</t>
        </is>
      </c>
      <c r="C486" s="6" t="inlineStr">
        <is>
          <t>12</t>
        </is>
      </c>
      <c r="D486" s="6" t="inlineStr">
        <is>
          <t>數學甲上</t>
        </is>
      </c>
      <c r="E486" s="6" t="inlineStr">
        <is>
          <t>數學</t>
        </is>
      </c>
      <c r="F486" s="6" t="n"/>
      <c r="G486" s="6" t="n"/>
      <c r="H486" s="6" t="n"/>
      <c r="I486" s="6" t="n"/>
      <c r="J486" s="6" t="n"/>
      <c r="K486" s="6" t="inlineStr">
        <is>
          <t>未查到</t>
        </is>
      </c>
    </row>
    <row r="487">
      <c r="A487" s="6" t="inlineStr">
        <is>
          <t>泰宇</t>
        </is>
      </c>
      <c r="B487" s="6" t="inlineStr">
        <is>
          <t>高中</t>
        </is>
      </c>
      <c r="C487" s="6" t="inlineStr">
        <is>
          <t>12</t>
        </is>
      </c>
      <c r="D487" s="6" t="inlineStr">
        <is>
          <t>數學甲下</t>
        </is>
      </c>
      <c r="E487" s="6" t="inlineStr">
        <is>
          <t>數學</t>
        </is>
      </c>
      <c r="F487" s="6" t="n"/>
      <c r="G487" s="6" t="n"/>
      <c r="H487" s="6" t="n"/>
      <c r="I487" s="6" t="n"/>
      <c r="J487" s="6" t="n"/>
      <c r="K487" s="6" t="inlineStr">
        <is>
          <t>未查到</t>
        </is>
      </c>
    </row>
    <row r="488">
      <c r="A488" s="6" t="inlineStr">
        <is>
          <t>泰宇</t>
        </is>
      </c>
      <c r="B488" s="6" t="inlineStr">
        <is>
          <t>高中</t>
        </is>
      </c>
      <c r="C488" s="6" t="n"/>
      <c r="D488" s="6" t="inlineStr">
        <is>
          <t>基礎生物（一）</t>
        </is>
      </c>
      <c r="E488" s="6" t="inlineStr">
        <is>
          <t>生物</t>
        </is>
      </c>
      <c r="F488" s="6" t="n"/>
      <c r="G488" s="6" t="n"/>
      <c r="H488" s="6" t="n"/>
      <c r="I488" s="6" t="inlineStr">
        <is>
          <t>其他</t>
        </is>
      </c>
      <c r="J488" s="6" t="n"/>
      <c r="K488" s="6" t="inlineStr">
        <is>
          <t>未查到</t>
        </is>
      </c>
    </row>
    <row r="489">
      <c r="A489" s="6" t="inlineStr">
        <is>
          <t>泰宇</t>
        </is>
      </c>
      <c r="B489" s="6" t="inlineStr">
        <is>
          <t>高中</t>
        </is>
      </c>
      <c r="C489" s="6" t="n"/>
      <c r="D489" s="6" t="inlineStr">
        <is>
          <t>基礎生物（二）</t>
        </is>
      </c>
      <c r="E489" s="6" t="inlineStr">
        <is>
          <t>生物</t>
        </is>
      </c>
      <c r="F489" s="6" t="n"/>
      <c r="G489" s="6" t="n"/>
      <c r="H489" s="6" t="n"/>
      <c r="I489" s="6" t="inlineStr">
        <is>
          <t>其他</t>
        </is>
      </c>
      <c r="J489" s="6" t="n"/>
      <c r="K489" s="6" t="inlineStr">
        <is>
          <t>未查到</t>
        </is>
      </c>
    </row>
    <row r="490">
      <c r="A490" s="6" t="inlineStr">
        <is>
          <t>泰宇</t>
        </is>
      </c>
      <c r="B490" s="6" t="inlineStr">
        <is>
          <t>高中</t>
        </is>
      </c>
      <c r="C490" s="6" t="n"/>
      <c r="D490" s="6" t="inlineStr">
        <is>
          <t>選修生物I</t>
        </is>
      </c>
      <c r="E490" s="6" t="inlineStr">
        <is>
          <t>生物</t>
        </is>
      </c>
      <c r="F490" s="6" t="n"/>
      <c r="G490" s="6" t="n"/>
      <c r="H490" s="6" t="n"/>
      <c r="I490" s="6" t="inlineStr">
        <is>
          <t>其他</t>
        </is>
      </c>
      <c r="J490" s="6" t="n"/>
      <c r="K490" s="6" t="inlineStr">
        <is>
          <t>未查到</t>
        </is>
      </c>
    </row>
    <row r="491">
      <c r="A491" s="6" t="inlineStr">
        <is>
          <t>泰宇</t>
        </is>
      </c>
      <c r="B491" s="6" t="inlineStr">
        <is>
          <t>高中</t>
        </is>
      </c>
      <c r="C491" s="6" t="n"/>
      <c r="D491" s="6" t="inlineStr">
        <is>
          <t>選修生物II</t>
        </is>
      </c>
      <c r="E491" s="6" t="inlineStr">
        <is>
          <t>生物</t>
        </is>
      </c>
      <c r="F491" s="6" t="n"/>
      <c r="G491" s="6" t="n"/>
      <c r="H491" s="6" t="n"/>
      <c r="I491" s="6" t="inlineStr">
        <is>
          <t>其他</t>
        </is>
      </c>
      <c r="J491" s="6" t="n"/>
      <c r="K491" s="6" t="inlineStr">
        <is>
          <t>未查到</t>
        </is>
      </c>
    </row>
    <row r="492">
      <c r="A492" s="6" t="inlineStr">
        <is>
          <t>泰宇</t>
        </is>
      </c>
      <c r="B492" s="6" t="inlineStr">
        <is>
          <t>高中</t>
        </is>
      </c>
      <c r="C492" s="6" t="n"/>
      <c r="D492" s="6" t="inlineStr">
        <is>
          <t>選修生物III</t>
        </is>
      </c>
      <c r="E492" s="6" t="inlineStr">
        <is>
          <t>生物</t>
        </is>
      </c>
      <c r="F492" s="6" t="n"/>
      <c r="G492" s="6" t="n"/>
      <c r="H492" s="6" t="n"/>
      <c r="I492" s="6" t="inlineStr">
        <is>
          <t>其他</t>
        </is>
      </c>
      <c r="J492" s="6" t="n"/>
      <c r="K492" s="6" t="inlineStr">
        <is>
          <t>未查到</t>
        </is>
      </c>
    </row>
    <row r="493">
      <c r="A493" s="6" t="inlineStr">
        <is>
          <t>泰宇</t>
        </is>
      </c>
      <c r="B493" s="6" t="inlineStr">
        <is>
          <t>高中</t>
        </is>
      </c>
      <c r="C493" s="6" t="n"/>
      <c r="D493" s="6" t="inlineStr">
        <is>
          <t>選修生物IV</t>
        </is>
      </c>
      <c r="E493" s="6" t="inlineStr">
        <is>
          <t>生物</t>
        </is>
      </c>
      <c r="F493" s="6" t="n"/>
      <c r="G493" s="6" t="n"/>
      <c r="H493" s="6" t="n"/>
      <c r="I493" s="6" t="inlineStr">
        <is>
          <t>其他</t>
        </is>
      </c>
      <c r="J493" s="6" t="n"/>
      <c r="K493" s="6" t="inlineStr">
        <is>
          <t>未查到</t>
        </is>
      </c>
    </row>
    <row r="494">
      <c r="A494" s="4" t="inlineStr">
        <is>
          <t>泰宇</t>
        </is>
      </c>
      <c r="B494" s="4" t="inlineStr">
        <is>
          <t>高中</t>
        </is>
      </c>
      <c r="C494" s="4" t="inlineStr">
        <is>
          <t>10</t>
        </is>
      </c>
      <c r="D494" s="4" t="inlineStr">
        <is>
          <t>基礎物理（一）</t>
        </is>
      </c>
      <c r="E494" s="4" t="inlineStr">
        <is>
          <t>物理</t>
        </is>
      </c>
      <c r="F494" s="4" t="inlineStr">
        <is>
          <t>CH1 科學的態度與方法</t>
        </is>
      </c>
      <c r="G494" s="4" t="n"/>
      <c r="H494" s="4" t="inlineStr">
        <is>
          <t>114</t>
        </is>
      </c>
      <c r="I494" s="4" t="inlineStr">
        <is>
          <t>學校課程計畫</t>
        </is>
      </c>
      <c r="J494" s="5" t="inlineStr">
        <is>
          <t>https://www.hs.ntnu.edu.tw/static/webroot/G162269151451663/application/NW175876390615937.pdf</t>
        </is>
      </c>
      <c r="K494" s="4" t="inlineStr">
        <is>
          <t>師大附中114學年度第1學期高一物理教學進度表，教科書版本：泰宇；來源未寫冊名（高一必修物理）；章節文字取自搜尋引擎對來源內容的摘要，請以原檔核對；CH1未列節次；未查到115學年度資料</t>
        </is>
      </c>
    </row>
    <row r="495">
      <c r="A495" s="4" t="inlineStr">
        <is>
          <t>泰宇</t>
        </is>
      </c>
      <c r="B495" s="4" t="inlineStr">
        <is>
          <t>高中</t>
        </is>
      </c>
      <c r="C495" s="4" t="inlineStr">
        <is>
          <t>10</t>
        </is>
      </c>
      <c r="D495" s="4" t="inlineStr">
        <is>
          <t>基礎物理（一）</t>
        </is>
      </c>
      <c r="E495" s="4" t="inlineStr">
        <is>
          <t>物理</t>
        </is>
      </c>
      <c r="F495" s="4" t="inlineStr">
        <is>
          <t>CH2（章名未見）</t>
        </is>
      </c>
      <c r="G495" s="4" t="inlineStr">
        <is>
          <t>2-1 物質的組成；2-2 原子的尺度與內部結構；2-3 物質間的基本交互作用</t>
        </is>
      </c>
      <c r="H495" s="4" t="inlineStr">
        <is>
          <t>114</t>
        </is>
      </c>
      <c r="I495" s="4" t="inlineStr">
        <is>
          <t>學校課程計畫</t>
        </is>
      </c>
      <c r="J495" s="5" t="inlineStr">
        <is>
          <t>https://www.hs.ntnu.edu.tw/static/webroot/G162269151451663/application/NW175876390615937.pdf</t>
        </is>
      </c>
      <c r="K495" s="4" t="inlineStr">
        <is>
          <t>師大附中114學年度第1學期高一物理教學進度表，教科書版本：泰宇；來源未寫冊名（高一必修物理）；章節文字取自搜尋引擎對來源內容的摘要，請以原檔核對；之後各章因摘要截斷未見；未查到115學年度資料</t>
        </is>
      </c>
    </row>
    <row r="496">
      <c r="A496" s="6" t="inlineStr">
        <is>
          <t>泰宇</t>
        </is>
      </c>
      <c r="B496" s="6" t="inlineStr">
        <is>
          <t>高中</t>
        </is>
      </c>
      <c r="C496" s="6" t="n"/>
      <c r="D496" s="6" t="inlineStr">
        <is>
          <t>選修物理I</t>
        </is>
      </c>
      <c r="E496" s="6" t="inlineStr">
        <is>
          <t>物理</t>
        </is>
      </c>
      <c r="F496" s="6" t="n"/>
      <c r="G496" s="6" t="n"/>
      <c r="H496" s="6" t="n"/>
      <c r="I496" s="6" t="inlineStr">
        <is>
          <t>其他</t>
        </is>
      </c>
      <c r="J496" s="6" t="n"/>
      <c r="K496" s="6" t="inlineStr">
        <is>
          <t>未查到</t>
        </is>
      </c>
    </row>
    <row r="497">
      <c r="A497" s="6" t="inlineStr">
        <is>
          <t>泰宇</t>
        </is>
      </c>
      <c r="B497" s="6" t="inlineStr">
        <is>
          <t>高中</t>
        </is>
      </c>
      <c r="C497" s="6" t="n"/>
      <c r="D497" s="6" t="inlineStr">
        <is>
          <t>選修物理II</t>
        </is>
      </c>
      <c r="E497" s="6" t="inlineStr">
        <is>
          <t>物理</t>
        </is>
      </c>
      <c r="F497" s="6" t="n"/>
      <c r="G497" s="6" t="n"/>
      <c r="H497" s="6" t="n"/>
      <c r="I497" s="6" t="inlineStr">
        <is>
          <t>其他</t>
        </is>
      </c>
      <c r="J497" s="6" t="n"/>
      <c r="K497" s="6" t="inlineStr">
        <is>
          <t>未查到</t>
        </is>
      </c>
    </row>
    <row r="498">
      <c r="A498" s="4" t="inlineStr">
        <is>
          <t>泰宇</t>
        </is>
      </c>
      <c r="B498" s="4" t="inlineStr">
        <is>
          <t>高中</t>
        </is>
      </c>
      <c r="C498" s="4" t="n"/>
      <c r="D498" s="4" t="inlineStr">
        <is>
          <t>選修物理III</t>
        </is>
      </c>
      <c r="E498" s="4" t="inlineStr">
        <is>
          <t>物理</t>
        </is>
      </c>
      <c r="F498" s="4" t="inlineStr">
        <is>
          <t>第1章（章名未見）</t>
        </is>
      </c>
      <c r="G498" s="4" t="inlineStr">
        <is>
          <t>1-1、1-2 波的性質與傳播、週期波（來源合列於同一週）；1-3 波的反射與透射；1-4 波的疊加與干涉；1-5 駐波；1-6（內容未見）</t>
        </is>
      </c>
      <c r="H498" s="4" t="inlineStr">
        <is>
          <t>113</t>
        </is>
      </c>
      <c r="I498" s="4" t="inlineStr">
        <is>
          <t>學校課程計畫</t>
        </is>
      </c>
      <c r="J498" s="5" t="inlineStr">
        <is>
          <t>https://www.hs.ntnu.edu.tw/static/webroot/G162269151451663/application/NW172662366015169.pdf</t>
        </is>
      </c>
      <c r="K498" s="4" t="inlineStr">
        <is>
          <t>師大附中113學年度第1學期物理進度表，課程：選修物理III與IV，教科書：泰宇；摘要只到第4週，其餘章節未見；未查到115/114學年度資料；章節文字取自搜尋引擎對來源內容的摘要，請以原檔核對</t>
        </is>
      </c>
    </row>
    <row r="499">
      <c r="A499" s="6" t="inlineStr">
        <is>
          <t>泰宇</t>
        </is>
      </c>
      <c r="B499" s="6" t="inlineStr">
        <is>
          <t>高中</t>
        </is>
      </c>
      <c r="C499" s="6" t="n"/>
      <c r="D499" s="6" t="inlineStr">
        <is>
          <t>選修物理IV</t>
        </is>
      </c>
      <c r="E499" s="6" t="inlineStr">
        <is>
          <t>物理</t>
        </is>
      </c>
      <c r="F499" s="6" t="n"/>
      <c r="G499" s="6" t="n"/>
      <c r="H499" s="6" t="n"/>
      <c r="I499" s="6" t="inlineStr">
        <is>
          <t>其他</t>
        </is>
      </c>
      <c r="J499" s="6" t="n"/>
      <c r="K499" s="6" t="inlineStr">
        <is>
          <t>未查到</t>
        </is>
      </c>
    </row>
    <row r="500">
      <c r="A500" s="6" t="inlineStr">
        <is>
          <t>泰宇</t>
        </is>
      </c>
      <c r="B500" s="6" t="inlineStr">
        <is>
          <t>高中</t>
        </is>
      </c>
      <c r="C500" s="6" t="n"/>
      <c r="D500" s="6" t="inlineStr">
        <is>
          <t>選修物理V</t>
        </is>
      </c>
      <c r="E500" s="6" t="inlineStr">
        <is>
          <t>物理</t>
        </is>
      </c>
      <c r="F500" s="6" t="n"/>
      <c r="G500" s="6" t="n"/>
      <c r="H500" s="6" t="n"/>
      <c r="I500" s="6" t="inlineStr">
        <is>
          <t>其他</t>
        </is>
      </c>
      <c r="J500" s="6" t="n"/>
      <c r="K500" s="6" t="inlineStr">
        <is>
          <t>未查到</t>
        </is>
      </c>
    </row>
    <row r="501">
      <c r="A501" s="4" t="inlineStr">
        <is>
          <t>泰宇</t>
        </is>
      </c>
      <c r="B501" s="4" t="inlineStr">
        <is>
          <t>高中</t>
        </is>
      </c>
      <c r="C501" s="4" t="inlineStr">
        <is>
          <t>11</t>
        </is>
      </c>
      <c r="D501" s="4" t="inlineStr">
        <is>
          <t>選修化學I（來源課程名：深廣-物質與能量）</t>
        </is>
      </c>
      <c r="E501" s="4" t="inlineStr">
        <is>
          <t>化學</t>
        </is>
      </c>
      <c r="F501" s="4" t="inlineStr">
        <is>
          <t>第1章（章名未見）</t>
        </is>
      </c>
      <c r="G501" s="4" t="inlineStr">
        <is>
          <t>1-1 化學反應式的平衡及應用；1-2 化學反應中的能量變化</t>
        </is>
      </c>
      <c r="H501" s="4" t="inlineStr">
        <is>
          <t>113</t>
        </is>
      </c>
      <c r="I501" s="4" t="inlineStr">
        <is>
          <t>學校課程計畫</t>
        </is>
      </c>
      <c r="J501" s="5" t="inlineStr">
        <is>
          <t>https://www.hs.ntnu.edu.tw/static/webroot/G162269151451663/application/NW172662342237371.pdf</t>
        </is>
      </c>
      <c r="K501" s="4" t="inlineStr">
        <is>
          <t>師大附中113學年度第1學期高二化學進度表，課程名稱：「深廣-物質與能量」，教科書版本：泰宇；來源沒有寫「選修化學I」，這裡依課程名稱歸入選修化學I，請核實；章名未見；摘要只到第6週；未查到115/114學年度資料；章節文字取自搜尋引擎對來源內容的摘要，請以原檔核對</t>
        </is>
      </c>
    </row>
    <row r="502">
      <c r="A502" s="4" t="inlineStr">
        <is>
          <t>泰宇</t>
        </is>
      </c>
      <c r="B502" s="4" t="inlineStr">
        <is>
          <t>高中</t>
        </is>
      </c>
      <c r="C502" s="4" t="inlineStr">
        <is>
          <t>11</t>
        </is>
      </c>
      <c r="D502" s="4" t="inlineStr">
        <is>
          <t>選修化學I（來源課程名：深廣-物質與能量）</t>
        </is>
      </c>
      <c r="E502" s="4" t="inlineStr">
        <is>
          <t>化學</t>
        </is>
      </c>
      <c r="F502" s="4" t="inlineStr">
        <is>
          <t>第2章（章名未見）</t>
        </is>
      </c>
      <c r="G502" s="4" t="inlineStr">
        <is>
          <t>2-1 氣體的性質；2-2 氣體的基本定律；2-3 理想氣體；2-4 氣體的分壓</t>
        </is>
      </c>
      <c r="H502" s="4" t="inlineStr">
        <is>
          <t>113</t>
        </is>
      </c>
      <c r="I502" s="4" t="inlineStr">
        <is>
          <t>學校課程計畫</t>
        </is>
      </c>
      <c r="J502" s="5" t="inlineStr">
        <is>
          <t>https://www.hs.ntnu.edu.tw/static/webroot/G162269151451663/application/NW172662342237371.pdf</t>
        </is>
      </c>
      <c r="K502" s="4" t="inlineStr">
        <is>
          <t>師大附中113學年度第1學期高二化學進度表，課程名稱：「深廣-物質與能量」，教科書版本：泰宇；來源沒有寫「選修化學I」，這裡依課程名稱歸入選修化學I，請核實；章名未見；摘要只到第6週；未查到115/114學年度資料；章節文字取自搜尋引擎對來源內容的摘要，請以原檔核對</t>
        </is>
      </c>
    </row>
    <row r="503">
      <c r="A503" s="6" t="inlineStr">
        <is>
          <t>泰宇</t>
        </is>
      </c>
      <c r="B503" s="6" t="inlineStr">
        <is>
          <t>高中</t>
        </is>
      </c>
      <c r="C503" s="6" t="n"/>
      <c r="D503" s="6" t="inlineStr">
        <is>
          <t>基礎化學（一）</t>
        </is>
      </c>
      <c r="E503" s="6" t="inlineStr">
        <is>
          <t>化學</t>
        </is>
      </c>
      <c r="F503" s="6" t="n"/>
      <c r="G503" s="6" t="n"/>
      <c r="H503" s="6" t="n"/>
      <c r="I503" s="6" t="inlineStr">
        <is>
          <t>其他</t>
        </is>
      </c>
      <c r="J503" s="6" t="n"/>
      <c r="K503" s="6" t="inlineStr">
        <is>
          <t>未查到</t>
        </is>
      </c>
    </row>
    <row r="504">
      <c r="A504" s="6" t="inlineStr">
        <is>
          <t>泰宇</t>
        </is>
      </c>
      <c r="B504" s="6" t="inlineStr">
        <is>
          <t>高中</t>
        </is>
      </c>
      <c r="C504" s="6" t="n"/>
      <c r="D504" s="6" t="inlineStr">
        <is>
          <t>基礎化學（三）</t>
        </is>
      </c>
      <c r="E504" s="6" t="inlineStr">
        <is>
          <t>化學</t>
        </is>
      </c>
      <c r="F504" s="6" t="n"/>
      <c r="G504" s="6" t="n"/>
      <c r="H504" s="6" t="n"/>
      <c r="I504" s="6" t="inlineStr">
        <is>
          <t>其他</t>
        </is>
      </c>
      <c r="J504" s="6" t="n"/>
      <c r="K504" s="6" t="inlineStr">
        <is>
          <t>未查到</t>
        </is>
      </c>
    </row>
    <row r="505">
      <c r="A505" s="6" t="inlineStr">
        <is>
          <t>泰宇</t>
        </is>
      </c>
      <c r="B505" s="6" t="inlineStr">
        <is>
          <t>高中</t>
        </is>
      </c>
      <c r="C505" s="6" t="n"/>
      <c r="D505" s="6" t="inlineStr">
        <is>
          <t>基礎化學（二）</t>
        </is>
      </c>
      <c r="E505" s="6" t="inlineStr">
        <is>
          <t>化學</t>
        </is>
      </c>
      <c r="F505" s="6" t="n"/>
      <c r="G505" s="6" t="n"/>
      <c r="H505" s="6" t="n"/>
      <c r="I505" s="6" t="inlineStr">
        <is>
          <t>其他</t>
        </is>
      </c>
      <c r="J505" s="6" t="n"/>
      <c r="K505" s="6" t="inlineStr">
        <is>
          <t>未查到</t>
        </is>
      </c>
    </row>
    <row r="506">
      <c r="A506" s="6" t="inlineStr">
        <is>
          <t>泰宇</t>
        </is>
      </c>
      <c r="B506" s="6" t="inlineStr">
        <is>
          <t>高中</t>
        </is>
      </c>
      <c r="C506" s="6" t="n"/>
      <c r="D506" s="6" t="inlineStr">
        <is>
          <t>選修化學II</t>
        </is>
      </c>
      <c r="E506" s="6" t="inlineStr">
        <is>
          <t>化學</t>
        </is>
      </c>
      <c r="F506" s="6" t="n"/>
      <c r="G506" s="6" t="n"/>
      <c r="H506" s="6" t="n"/>
      <c r="I506" s="6" t="inlineStr">
        <is>
          <t>其他</t>
        </is>
      </c>
      <c r="J506" s="6" t="n"/>
      <c r="K506" s="6" t="inlineStr">
        <is>
          <t>未查到</t>
        </is>
      </c>
    </row>
    <row r="507">
      <c r="A507" s="6" t="inlineStr">
        <is>
          <t>泰宇</t>
        </is>
      </c>
      <c r="B507" s="6" t="inlineStr">
        <is>
          <t>高中</t>
        </is>
      </c>
      <c r="C507" s="6" t="n"/>
      <c r="D507" s="6" t="inlineStr">
        <is>
          <t>選修化學III</t>
        </is>
      </c>
      <c r="E507" s="6" t="inlineStr">
        <is>
          <t>化學</t>
        </is>
      </c>
      <c r="F507" s="6" t="n"/>
      <c r="G507" s="6" t="n"/>
      <c r="H507" s="6" t="n"/>
      <c r="I507" s="6" t="inlineStr">
        <is>
          <t>其他</t>
        </is>
      </c>
      <c r="J507" s="6" t="n"/>
      <c r="K507" s="6" t="inlineStr">
        <is>
          <t>未查到</t>
        </is>
      </c>
    </row>
    <row r="508">
      <c r="A508" s="6" t="inlineStr">
        <is>
          <t>泰宇</t>
        </is>
      </c>
      <c r="B508" s="6" t="inlineStr">
        <is>
          <t>高中</t>
        </is>
      </c>
      <c r="C508" s="6" t="n"/>
      <c r="D508" s="6" t="inlineStr">
        <is>
          <t>選修化學IV</t>
        </is>
      </c>
      <c r="E508" s="6" t="inlineStr">
        <is>
          <t>化學</t>
        </is>
      </c>
      <c r="F508" s="6" t="n"/>
      <c r="G508" s="6" t="n"/>
      <c r="H508" s="6" t="n"/>
      <c r="I508" s="6" t="inlineStr">
        <is>
          <t>其他</t>
        </is>
      </c>
      <c r="J508" s="6" t="n"/>
      <c r="K508" s="6" t="inlineStr">
        <is>
          <t>未查到</t>
        </is>
      </c>
    </row>
    <row r="509">
      <c r="A509" s="6" t="inlineStr">
        <is>
          <t>泰宇</t>
        </is>
      </c>
      <c r="B509" s="6" t="inlineStr">
        <is>
          <t>高中</t>
        </is>
      </c>
      <c r="C509" s="6" t="n"/>
      <c r="D509" s="6" t="inlineStr">
        <is>
          <t>選修化學V</t>
        </is>
      </c>
      <c r="E509" s="6" t="inlineStr">
        <is>
          <t>化學</t>
        </is>
      </c>
      <c r="F509" s="6" t="n"/>
      <c r="G509" s="6" t="n"/>
      <c r="H509" s="6" t="n"/>
      <c r="I509" s="6" t="inlineStr">
        <is>
          <t>其他</t>
        </is>
      </c>
      <c r="J509" s="6" t="n"/>
      <c r="K509" s="6" t="inlineStr">
        <is>
          <t>未查到</t>
        </is>
      </c>
    </row>
    <row r="510">
      <c r="A510" s="6" t="inlineStr">
        <is>
          <t>泰宇</t>
        </is>
      </c>
      <c r="B510" s="6" t="inlineStr">
        <is>
          <t>高中</t>
        </is>
      </c>
      <c r="C510" s="6" t="n"/>
      <c r="D510" s="6" t="inlineStr">
        <is>
          <t>基礎地球科學（一）</t>
        </is>
      </c>
      <c r="E510" s="6" t="inlineStr">
        <is>
          <t>地球科學</t>
        </is>
      </c>
      <c r="F510" s="6" t="n"/>
      <c r="G510" s="6" t="n"/>
      <c r="H510" s="6" t="n"/>
      <c r="I510" s="6" t="inlineStr">
        <is>
          <t>其他</t>
        </is>
      </c>
      <c r="J510" s="6" t="n"/>
      <c r="K510" s="6" t="inlineStr">
        <is>
          <t>未查到</t>
        </is>
      </c>
    </row>
    <row r="511">
      <c r="A511" s="6" t="inlineStr">
        <is>
          <t>泰宇</t>
        </is>
      </c>
      <c r="B511" s="6" t="inlineStr">
        <is>
          <t>高中</t>
        </is>
      </c>
      <c r="C511" s="6" t="n"/>
      <c r="D511" s="6" t="inlineStr">
        <is>
          <t>基礎地球科學（二）</t>
        </is>
      </c>
      <c r="E511" s="6" t="inlineStr">
        <is>
          <t>地球科學</t>
        </is>
      </c>
      <c r="F511" s="6" t="n"/>
      <c r="G511" s="6" t="n"/>
      <c r="H511" s="6" t="n"/>
      <c r="I511" s="6" t="inlineStr">
        <is>
          <t>其他</t>
        </is>
      </c>
      <c r="J511" s="6" t="n"/>
      <c r="K511" s="6" t="inlineStr">
        <is>
          <t>未查到</t>
        </is>
      </c>
    </row>
    <row r="512">
      <c r="A512" s="6" t="inlineStr">
        <is>
          <t>泰宇</t>
        </is>
      </c>
      <c r="B512" s="6" t="inlineStr">
        <is>
          <t>高中</t>
        </is>
      </c>
      <c r="C512" s="6" t="n"/>
      <c r="D512" s="6" t="inlineStr">
        <is>
          <t>選修地球科學I</t>
        </is>
      </c>
      <c r="E512" s="6" t="inlineStr">
        <is>
          <t>地球科學</t>
        </is>
      </c>
      <c r="F512" s="6" t="n"/>
      <c r="G512" s="6" t="n"/>
      <c r="H512" s="6" t="n"/>
      <c r="I512" s="6" t="inlineStr">
        <is>
          <t>其他</t>
        </is>
      </c>
      <c r="J512" s="6" t="n"/>
      <c r="K512" s="6" t="inlineStr">
        <is>
          <t>未查到</t>
        </is>
      </c>
    </row>
    <row r="513">
      <c r="A513" s="6" t="inlineStr">
        <is>
          <t>泰宇</t>
        </is>
      </c>
      <c r="B513" s="6" t="inlineStr">
        <is>
          <t>高中</t>
        </is>
      </c>
      <c r="C513" s="6" t="n"/>
      <c r="D513" s="6" t="inlineStr">
        <is>
          <t>選修地球科學II</t>
        </is>
      </c>
      <c r="E513" s="6" t="inlineStr">
        <is>
          <t>地球科學</t>
        </is>
      </c>
      <c r="F513" s="6" t="n"/>
      <c r="G513" s="6" t="n"/>
      <c r="H513" s="6" t="n"/>
      <c r="I513" s="6" t="inlineStr">
        <is>
          <t>其他</t>
        </is>
      </c>
      <c r="J513" s="6" t="n"/>
      <c r="K513" s="6" t="inlineStr">
        <is>
          <t>未查到</t>
        </is>
      </c>
    </row>
    <row r="514">
      <c r="A514" s="6" t="inlineStr">
        <is>
          <t>泰宇</t>
        </is>
      </c>
      <c r="B514" s="6" t="inlineStr">
        <is>
          <t>高中</t>
        </is>
      </c>
      <c r="C514" s="6" t="n"/>
      <c r="D514" s="6" t="inlineStr">
        <is>
          <t>選修地球科學III</t>
        </is>
      </c>
      <c r="E514" s="6" t="inlineStr">
        <is>
          <t>地球科學</t>
        </is>
      </c>
      <c r="F514" s="6" t="n"/>
      <c r="G514" s="6" t="n"/>
      <c r="H514" s="6" t="n"/>
      <c r="I514" s="6" t="inlineStr">
        <is>
          <t>其他</t>
        </is>
      </c>
      <c r="J514" s="6" t="n"/>
      <c r="K514" s="6" t="inlineStr">
        <is>
          <t>未查到</t>
        </is>
      </c>
    </row>
    <row r="515">
      <c r="A515" s="6" t="inlineStr">
        <is>
          <t>泰宇</t>
        </is>
      </c>
      <c r="B515" s="6" t="inlineStr">
        <is>
          <t>高中</t>
        </is>
      </c>
      <c r="C515" s="6" t="n"/>
      <c r="D515" s="6" t="inlineStr">
        <is>
          <t>選修地球科學IV</t>
        </is>
      </c>
      <c r="E515" s="6" t="inlineStr">
        <is>
          <t>地球科學</t>
        </is>
      </c>
      <c r="F515" s="6" t="n"/>
      <c r="G515" s="6" t="n"/>
      <c r="H515" s="6" t="n"/>
      <c r="I515" s="6" t="inlineStr">
        <is>
          <t>其他</t>
        </is>
      </c>
      <c r="J515" s="6" t="n"/>
      <c r="K515" s="6" t="inlineStr">
        <is>
          <t>未查到</t>
        </is>
      </c>
    </row>
    <row r="516">
      <c r="A516" s="6" t="inlineStr">
        <is>
          <t>泰宇</t>
        </is>
      </c>
      <c r="B516" s="6" t="inlineStr">
        <is>
          <t>高中</t>
        </is>
      </c>
      <c r="C516" s="6" t="inlineStr">
        <is>
          <t>10</t>
        </is>
      </c>
      <c r="D516" s="6" t="inlineStr">
        <is>
          <t>第一冊</t>
        </is>
      </c>
      <c r="E516" s="6" t="inlineStr">
        <is>
          <t>歷史</t>
        </is>
      </c>
      <c r="F516" s="6" t="n"/>
      <c r="G516" s="6" t="n"/>
      <c r="H516" s="6" t="n"/>
      <c r="I516" s="6" t="n"/>
      <c r="J516" s="6" t="n"/>
      <c r="K516" s="6" t="inlineStr">
        <is>
          <t>未查到（WebSearch 額度用盡前未能確認該出版商是否出版本冊）</t>
        </is>
      </c>
    </row>
    <row r="517">
      <c r="A517" s="6" t="inlineStr">
        <is>
          <t>泰宇</t>
        </is>
      </c>
      <c r="B517" s="6" t="inlineStr">
        <is>
          <t>高中</t>
        </is>
      </c>
      <c r="C517" s="6" t="inlineStr">
        <is>
          <t>10</t>
        </is>
      </c>
      <c r="D517" s="6" t="inlineStr">
        <is>
          <t>第二冊</t>
        </is>
      </c>
      <c r="E517" s="6" t="inlineStr">
        <is>
          <t>歷史</t>
        </is>
      </c>
      <c r="F517" s="6" t="n"/>
      <c r="G517" s="6" t="n"/>
      <c r="H517" s="6" t="n"/>
      <c r="I517" s="6" t="n"/>
      <c r="J517" s="6" t="n"/>
      <c r="K517" s="6" t="inlineStr">
        <is>
          <t>未查到（WebSearch 額度用盡前未能確認該出版商是否出版本冊）</t>
        </is>
      </c>
    </row>
    <row r="518">
      <c r="A518" s="6" t="inlineStr">
        <is>
          <t>泰宇</t>
        </is>
      </c>
      <c r="B518" s="6" t="inlineStr">
        <is>
          <t>高中</t>
        </is>
      </c>
      <c r="C518" s="6" t="inlineStr">
        <is>
          <t>11</t>
        </is>
      </c>
      <c r="D518" s="6" t="inlineStr">
        <is>
          <t>第三冊</t>
        </is>
      </c>
      <c r="E518" s="6" t="inlineStr">
        <is>
          <t>歷史</t>
        </is>
      </c>
      <c r="F518" s="6" t="n"/>
      <c r="G518" s="6" t="n"/>
      <c r="H518" s="6" t="n"/>
      <c r="I518" s="6" t="n"/>
      <c r="J518" s="6" t="n"/>
      <c r="K518" s="6" t="inlineStr">
        <is>
          <t>未查到（WebSearch 額度用盡前未能確認該出版商是否出版本冊）</t>
        </is>
      </c>
    </row>
    <row r="519">
      <c r="A519" s="6" t="inlineStr">
        <is>
          <t>泰宇</t>
        </is>
      </c>
      <c r="B519" s="6" t="inlineStr">
        <is>
          <t>高中</t>
        </is>
      </c>
      <c r="C519" s="6" t="n"/>
      <c r="D519" s="6" t="inlineStr">
        <is>
          <t>加深加廣選修 探究與實作：歷史學探究</t>
        </is>
      </c>
      <c r="E519" s="6" t="inlineStr">
        <is>
          <t>歷史</t>
        </is>
      </c>
      <c r="F519" s="6" t="n"/>
      <c r="G519" s="6" t="n"/>
      <c r="H519" s="6" t="n"/>
      <c r="I519" s="6" t="n"/>
      <c r="J519" s="6" t="n"/>
      <c r="K519" s="6" t="inlineStr">
        <is>
          <t>未查到（WebSearch 額度用盡前未能確認該出版商是否出版本冊）</t>
        </is>
      </c>
    </row>
    <row r="520">
      <c r="A520" s="6" t="inlineStr">
        <is>
          <t>泰宇</t>
        </is>
      </c>
      <c r="B520" s="6" t="inlineStr">
        <is>
          <t>高中</t>
        </is>
      </c>
      <c r="C520" s="6" t="n"/>
      <c r="D520" s="6" t="inlineStr">
        <is>
          <t>加深加廣選修 族群、性別與國家的歷史</t>
        </is>
      </c>
      <c r="E520" s="6" t="inlineStr">
        <is>
          <t>歷史</t>
        </is>
      </c>
      <c r="F520" s="6" t="n"/>
      <c r="G520" s="6" t="n"/>
      <c r="H520" s="6" t="n"/>
      <c r="I520" s="6" t="n"/>
      <c r="J520" s="6" t="n"/>
      <c r="K520" s="6" t="inlineStr">
        <is>
          <t>未查到（WebSearch 額度用盡前未能確認該出版商是否出版本冊）</t>
        </is>
      </c>
    </row>
    <row r="521">
      <c r="A521" s="6" t="inlineStr">
        <is>
          <t>泰宇</t>
        </is>
      </c>
      <c r="B521" s="6" t="inlineStr">
        <is>
          <t>高中</t>
        </is>
      </c>
      <c r="C521" s="6" t="n"/>
      <c r="D521" s="6" t="inlineStr">
        <is>
          <t>加深加廣選修 科技、環境與藝術的歷史</t>
        </is>
      </c>
      <c r="E521" s="6" t="inlineStr">
        <is>
          <t>歷史</t>
        </is>
      </c>
      <c r="F521" s="6" t="n"/>
      <c r="G521" s="6" t="n"/>
      <c r="H521" s="6" t="n"/>
      <c r="I521" s="6" t="n"/>
      <c r="J521" s="6" t="n"/>
      <c r="K521" s="6" t="inlineStr">
        <is>
          <t>未查到（WebSearch 額度用盡前未能確認該出版商是否出版本冊）</t>
        </is>
      </c>
    </row>
    <row r="522">
      <c r="A522" s="6" t="inlineStr">
        <is>
          <t>泰宇</t>
        </is>
      </c>
      <c r="B522" s="6" t="inlineStr">
        <is>
          <t>高中</t>
        </is>
      </c>
      <c r="C522" s="6" t="inlineStr">
        <is>
          <t>10</t>
        </is>
      </c>
      <c r="D522" s="6" t="inlineStr">
        <is>
          <t>第一冊</t>
        </is>
      </c>
      <c r="E522" s="6" t="inlineStr">
        <is>
          <t>地理</t>
        </is>
      </c>
      <c r="F522" s="6" t="n"/>
      <c r="G522" s="6" t="n"/>
      <c r="H522" s="6" t="n"/>
      <c r="I522" s="6" t="n"/>
      <c r="J522" s="6" t="n"/>
      <c r="K522" s="6" t="inlineStr">
        <is>
          <t>未查到（WebSearch 額度用盡前未能確認該出版商是否出版本冊）</t>
        </is>
      </c>
    </row>
    <row r="523">
      <c r="A523" s="6" t="inlineStr">
        <is>
          <t>泰宇</t>
        </is>
      </c>
      <c r="B523" s="6" t="inlineStr">
        <is>
          <t>高中</t>
        </is>
      </c>
      <c r="C523" s="6" t="inlineStr">
        <is>
          <t>10</t>
        </is>
      </c>
      <c r="D523" s="6" t="inlineStr">
        <is>
          <t>第二冊</t>
        </is>
      </c>
      <c r="E523" s="6" t="inlineStr">
        <is>
          <t>地理</t>
        </is>
      </c>
      <c r="F523" s="6" t="n"/>
      <c r="G523" s="6" t="n"/>
      <c r="H523" s="6" t="n"/>
      <c r="I523" s="6" t="n"/>
      <c r="J523" s="6" t="n"/>
      <c r="K523" s="6" t="inlineStr">
        <is>
          <t>未查到（WebSearch 額度用盡前未能確認該出版商是否出版本冊）</t>
        </is>
      </c>
    </row>
    <row r="524">
      <c r="A524" s="6" t="inlineStr">
        <is>
          <t>泰宇</t>
        </is>
      </c>
      <c r="B524" s="6" t="inlineStr">
        <is>
          <t>高中</t>
        </is>
      </c>
      <c r="C524" s="6" t="inlineStr">
        <is>
          <t>11</t>
        </is>
      </c>
      <c r="D524" s="6" t="inlineStr">
        <is>
          <t>第三冊</t>
        </is>
      </c>
      <c r="E524" s="6" t="inlineStr">
        <is>
          <t>地理</t>
        </is>
      </c>
      <c r="F524" s="6" t="n"/>
      <c r="G524" s="6" t="n"/>
      <c r="H524" s="6" t="n"/>
      <c r="I524" s="6" t="n"/>
      <c r="J524" s="6" t="n"/>
      <c r="K524" s="6" t="inlineStr">
        <is>
          <t>未查到（WebSearch 額度用盡前未能確認該出版商是否出版本冊）</t>
        </is>
      </c>
    </row>
    <row r="525">
      <c r="A525" s="6" t="inlineStr">
        <is>
          <t>泰宇</t>
        </is>
      </c>
      <c r="B525" s="6" t="inlineStr">
        <is>
          <t>高中</t>
        </is>
      </c>
      <c r="C525" s="6" t="n"/>
      <c r="D525" s="6" t="inlineStr">
        <is>
          <t>加深加廣選修 探究與實作：地理與人文社會科學研究</t>
        </is>
      </c>
      <c r="E525" s="6" t="inlineStr">
        <is>
          <t>地理</t>
        </is>
      </c>
      <c r="F525" s="6" t="n"/>
      <c r="G525" s="6" t="n"/>
      <c r="H525" s="6" t="n"/>
      <c r="I525" s="6" t="n"/>
      <c r="J525" s="6" t="n"/>
      <c r="K525" s="6" t="inlineStr">
        <is>
          <t>未查到（WebSearch 額度用盡前未能確認該出版商是否出版本冊）</t>
        </is>
      </c>
    </row>
    <row r="526">
      <c r="A526" s="6" t="inlineStr">
        <is>
          <t>泰宇</t>
        </is>
      </c>
      <c r="B526" s="6" t="inlineStr">
        <is>
          <t>高中</t>
        </is>
      </c>
      <c r="C526" s="6" t="n"/>
      <c r="D526" s="6" t="inlineStr">
        <is>
          <t>加深加廣選修 社會環境議題</t>
        </is>
      </c>
      <c r="E526" s="6" t="inlineStr">
        <is>
          <t>地理</t>
        </is>
      </c>
      <c r="F526" s="6" t="n"/>
      <c r="G526" s="6" t="n"/>
      <c r="H526" s="6" t="n"/>
      <c r="I526" s="6" t="n"/>
      <c r="J526" s="6" t="n"/>
      <c r="K526" s="6" t="inlineStr">
        <is>
          <t>未查到（WebSearch 額度用盡前未能確認該出版商是否出版本冊）</t>
        </is>
      </c>
    </row>
    <row r="527">
      <c r="A527" s="6" t="inlineStr">
        <is>
          <t>泰宇</t>
        </is>
      </c>
      <c r="B527" s="6" t="inlineStr">
        <is>
          <t>高中</t>
        </is>
      </c>
      <c r="C527" s="6" t="n"/>
      <c r="D527" s="6" t="inlineStr">
        <is>
          <t>加深加廣選修 空間資訊科技</t>
        </is>
      </c>
      <c r="E527" s="6" t="inlineStr">
        <is>
          <t>地理</t>
        </is>
      </c>
      <c r="F527" s="6" t="n"/>
      <c r="G527" s="6" t="n"/>
      <c r="H527" s="6" t="n"/>
      <c r="I527" s="6" t="n"/>
      <c r="J527" s="6" t="n"/>
      <c r="K527" s="6" t="inlineStr">
        <is>
          <t>未查到（WebSearch 額度用盡前未能確認該出版商是否出版本冊）</t>
        </is>
      </c>
    </row>
    <row r="528">
      <c r="A528" s="6" t="inlineStr">
        <is>
          <t>泰宇</t>
        </is>
      </c>
      <c r="B528" s="6" t="inlineStr">
        <is>
          <t>高中</t>
        </is>
      </c>
      <c r="C528" s="6" t="inlineStr">
        <is>
          <t>10</t>
        </is>
      </c>
      <c r="D528" s="6" t="inlineStr">
        <is>
          <t>第一冊</t>
        </is>
      </c>
      <c r="E528" s="6" t="inlineStr">
        <is>
          <t>公民與社會</t>
        </is>
      </c>
      <c r="F528" s="6" t="n"/>
      <c r="G528" s="6" t="n"/>
      <c r="H528" s="6" t="n"/>
      <c r="I528" s="6" t="n"/>
      <c r="J528" s="6" t="n"/>
      <c r="K528" s="6" t="inlineStr">
        <is>
          <t>未查到（WebSearch 額度用盡前未能確認該出版商是否出版本冊）</t>
        </is>
      </c>
    </row>
    <row r="529">
      <c r="A529" s="6" t="inlineStr">
        <is>
          <t>泰宇</t>
        </is>
      </c>
      <c r="B529" s="6" t="inlineStr">
        <is>
          <t>高中</t>
        </is>
      </c>
      <c r="C529" s="6" t="inlineStr">
        <is>
          <t>10</t>
        </is>
      </c>
      <c r="D529" s="6" t="inlineStr">
        <is>
          <t>第二冊</t>
        </is>
      </c>
      <c r="E529" s="6" t="inlineStr">
        <is>
          <t>公民與社會</t>
        </is>
      </c>
      <c r="F529" s="6" t="n"/>
      <c r="G529" s="6" t="n"/>
      <c r="H529" s="6" t="n"/>
      <c r="I529" s="6" t="n"/>
      <c r="J529" s="6" t="n"/>
      <c r="K529" s="6" t="inlineStr">
        <is>
          <t>未查到（WebSearch 額度用盡前未能確認該出版商是否出版本冊）</t>
        </is>
      </c>
    </row>
    <row r="530">
      <c r="A530" s="6" t="inlineStr">
        <is>
          <t>泰宇</t>
        </is>
      </c>
      <c r="B530" s="6" t="inlineStr">
        <is>
          <t>高中</t>
        </is>
      </c>
      <c r="C530" s="6" t="inlineStr">
        <is>
          <t>11</t>
        </is>
      </c>
      <c r="D530" s="6" t="inlineStr">
        <is>
          <t>第三冊</t>
        </is>
      </c>
      <c r="E530" s="6" t="inlineStr">
        <is>
          <t>公民與社會</t>
        </is>
      </c>
      <c r="F530" s="6" t="n"/>
      <c r="G530" s="6" t="n"/>
      <c r="H530" s="6" t="n"/>
      <c r="I530" s="6" t="n"/>
      <c r="J530" s="6" t="n"/>
      <c r="K530" s="6" t="inlineStr">
        <is>
          <t>未查到（WebSearch 額度用盡前未能確認該出版商是否出版本冊）</t>
        </is>
      </c>
    </row>
    <row r="531">
      <c r="A531" s="6" t="inlineStr">
        <is>
          <t>泰宇</t>
        </is>
      </c>
      <c r="B531" s="6" t="inlineStr">
        <is>
          <t>高中</t>
        </is>
      </c>
      <c r="C531" s="6" t="n"/>
      <c r="D531" s="6" t="inlineStr">
        <is>
          <t>加深加廣選修 探究與實作：公共議題與社會探究</t>
        </is>
      </c>
      <c r="E531" s="6" t="inlineStr">
        <is>
          <t>公民與社會</t>
        </is>
      </c>
      <c r="F531" s="6" t="n"/>
      <c r="G531" s="6" t="n"/>
      <c r="H531" s="6" t="n"/>
      <c r="I531" s="6" t="n"/>
      <c r="J531" s="6" t="n"/>
      <c r="K531" s="6" t="inlineStr">
        <is>
          <t>未查到（WebSearch 額度用盡前未能確認該出版商是否出版本冊）</t>
        </is>
      </c>
    </row>
    <row r="532">
      <c r="A532" s="6" t="inlineStr">
        <is>
          <t>泰宇</t>
        </is>
      </c>
      <c r="B532" s="6" t="inlineStr">
        <is>
          <t>高中</t>
        </is>
      </c>
      <c r="C532" s="6" t="n"/>
      <c r="D532" s="6" t="inlineStr">
        <is>
          <t>加深加廣選修 民主政治與法律</t>
        </is>
      </c>
      <c r="E532" s="6" t="inlineStr">
        <is>
          <t>公民與社會</t>
        </is>
      </c>
      <c r="F532" s="6" t="n"/>
      <c r="G532" s="6" t="n"/>
      <c r="H532" s="6" t="n"/>
      <c r="I532" s="6" t="n"/>
      <c r="J532" s="6" t="n"/>
      <c r="K532" s="6" t="inlineStr">
        <is>
          <t>未查到（WebSearch 額度用盡前未能確認該出版商是否出版本冊）</t>
        </is>
      </c>
    </row>
    <row r="533">
      <c r="A533" s="6" t="inlineStr">
        <is>
          <t>泰宇</t>
        </is>
      </c>
      <c r="B533" s="6" t="inlineStr">
        <is>
          <t>高中</t>
        </is>
      </c>
      <c r="C533" s="6" t="n"/>
      <c r="D533" s="6" t="inlineStr">
        <is>
          <t>加深加廣選修 現代社會與經濟</t>
        </is>
      </c>
      <c r="E533" s="6" t="inlineStr">
        <is>
          <t>公民與社會</t>
        </is>
      </c>
      <c r="F533" s="6" t="n"/>
      <c r="G533" s="6" t="n"/>
      <c r="H533" s="6" t="n"/>
      <c r="I533" s="6" t="n"/>
      <c r="J533" s="6" t="n"/>
      <c r="K533" s="6" t="inlineStr">
        <is>
          <t>未查到（WebSearch 額度用盡前未能確認該出版商是否出版本冊）</t>
        </is>
      </c>
    </row>
  </sheetData>
  <autoFilter ref="A1:K533"/>
  <hyperlinks>
    <hyperlink xmlns:r="http://schemas.openxmlformats.org/officeDocument/2006/relationships" ref="J42" r:id="rId1"/>
    <hyperlink xmlns:r="http://schemas.openxmlformats.org/officeDocument/2006/relationships" ref="J43" r:id="rId2"/>
    <hyperlink xmlns:r="http://schemas.openxmlformats.org/officeDocument/2006/relationships" ref="J44" r:id="rId3"/>
    <hyperlink xmlns:r="http://schemas.openxmlformats.org/officeDocument/2006/relationships" ref="J45" r:id="rId4"/>
    <hyperlink xmlns:r="http://schemas.openxmlformats.org/officeDocument/2006/relationships" ref="J46" r:id="rId5"/>
    <hyperlink xmlns:r="http://schemas.openxmlformats.org/officeDocument/2006/relationships" ref="J47" r:id="rId6"/>
    <hyperlink xmlns:r="http://schemas.openxmlformats.org/officeDocument/2006/relationships" ref="J96" r:id="rId7"/>
    <hyperlink xmlns:r="http://schemas.openxmlformats.org/officeDocument/2006/relationships" ref="J97" r:id="rId8"/>
    <hyperlink xmlns:r="http://schemas.openxmlformats.org/officeDocument/2006/relationships" ref="J98" r:id="rId9"/>
    <hyperlink xmlns:r="http://schemas.openxmlformats.org/officeDocument/2006/relationships" ref="J99" r:id="rId10"/>
    <hyperlink xmlns:r="http://schemas.openxmlformats.org/officeDocument/2006/relationships" ref="J100" r:id="rId11"/>
    <hyperlink xmlns:r="http://schemas.openxmlformats.org/officeDocument/2006/relationships" ref="J101" r:id="rId12"/>
    <hyperlink xmlns:r="http://schemas.openxmlformats.org/officeDocument/2006/relationships" ref="J102" r:id="rId13"/>
    <hyperlink xmlns:r="http://schemas.openxmlformats.org/officeDocument/2006/relationships" ref="J103" r:id="rId14"/>
    <hyperlink xmlns:r="http://schemas.openxmlformats.org/officeDocument/2006/relationships" ref="J104" r:id="rId15"/>
    <hyperlink xmlns:r="http://schemas.openxmlformats.org/officeDocument/2006/relationships" ref="J105" r:id="rId16"/>
    <hyperlink xmlns:r="http://schemas.openxmlformats.org/officeDocument/2006/relationships" ref="J106" r:id="rId17"/>
    <hyperlink xmlns:r="http://schemas.openxmlformats.org/officeDocument/2006/relationships" ref="J107" r:id="rId18"/>
    <hyperlink xmlns:r="http://schemas.openxmlformats.org/officeDocument/2006/relationships" ref="J108" r:id="rId19"/>
    <hyperlink xmlns:r="http://schemas.openxmlformats.org/officeDocument/2006/relationships" ref="J109" r:id="rId20"/>
    <hyperlink xmlns:r="http://schemas.openxmlformats.org/officeDocument/2006/relationships" ref="J110" r:id="rId21"/>
    <hyperlink xmlns:r="http://schemas.openxmlformats.org/officeDocument/2006/relationships" ref="J111" r:id="rId22"/>
    <hyperlink xmlns:r="http://schemas.openxmlformats.org/officeDocument/2006/relationships" ref="J112" r:id="rId23"/>
    <hyperlink xmlns:r="http://schemas.openxmlformats.org/officeDocument/2006/relationships" ref="J113" r:id="rId24"/>
    <hyperlink xmlns:r="http://schemas.openxmlformats.org/officeDocument/2006/relationships" ref="J114" r:id="rId25"/>
    <hyperlink xmlns:r="http://schemas.openxmlformats.org/officeDocument/2006/relationships" ref="J115" r:id="rId26"/>
    <hyperlink xmlns:r="http://schemas.openxmlformats.org/officeDocument/2006/relationships" ref="J116" r:id="rId27"/>
    <hyperlink xmlns:r="http://schemas.openxmlformats.org/officeDocument/2006/relationships" ref="J117" r:id="rId28"/>
    <hyperlink xmlns:r="http://schemas.openxmlformats.org/officeDocument/2006/relationships" ref="J118" r:id="rId29"/>
    <hyperlink xmlns:r="http://schemas.openxmlformats.org/officeDocument/2006/relationships" ref="J119" r:id="rId30"/>
    <hyperlink xmlns:r="http://schemas.openxmlformats.org/officeDocument/2006/relationships" ref="J121" r:id="rId31"/>
    <hyperlink xmlns:r="http://schemas.openxmlformats.org/officeDocument/2006/relationships" ref="J122" r:id="rId32"/>
    <hyperlink xmlns:r="http://schemas.openxmlformats.org/officeDocument/2006/relationships" ref="J123" r:id="rId33"/>
    <hyperlink xmlns:r="http://schemas.openxmlformats.org/officeDocument/2006/relationships" ref="J124" r:id="rId34"/>
    <hyperlink xmlns:r="http://schemas.openxmlformats.org/officeDocument/2006/relationships" ref="J125" r:id="rId35"/>
    <hyperlink xmlns:r="http://schemas.openxmlformats.org/officeDocument/2006/relationships" ref="J126" r:id="rId36"/>
    <hyperlink xmlns:r="http://schemas.openxmlformats.org/officeDocument/2006/relationships" ref="J189" r:id="rId37"/>
    <hyperlink xmlns:r="http://schemas.openxmlformats.org/officeDocument/2006/relationships" ref="J190" r:id="rId38"/>
    <hyperlink xmlns:r="http://schemas.openxmlformats.org/officeDocument/2006/relationships" ref="J191" r:id="rId39"/>
    <hyperlink xmlns:r="http://schemas.openxmlformats.org/officeDocument/2006/relationships" ref="J192" r:id="rId40"/>
    <hyperlink xmlns:r="http://schemas.openxmlformats.org/officeDocument/2006/relationships" ref="J193" r:id="rId41"/>
    <hyperlink xmlns:r="http://schemas.openxmlformats.org/officeDocument/2006/relationships" ref="J194" r:id="rId42"/>
    <hyperlink xmlns:r="http://schemas.openxmlformats.org/officeDocument/2006/relationships" ref="J195" r:id="rId43"/>
    <hyperlink xmlns:r="http://schemas.openxmlformats.org/officeDocument/2006/relationships" ref="J196" r:id="rId44"/>
    <hyperlink xmlns:r="http://schemas.openxmlformats.org/officeDocument/2006/relationships" ref="J197" r:id="rId45"/>
    <hyperlink xmlns:r="http://schemas.openxmlformats.org/officeDocument/2006/relationships" ref="J198" r:id="rId46"/>
    <hyperlink xmlns:r="http://schemas.openxmlformats.org/officeDocument/2006/relationships" ref="J199" r:id="rId47"/>
    <hyperlink xmlns:r="http://schemas.openxmlformats.org/officeDocument/2006/relationships" ref="J200" r:id="rId48"/>
    <hyperlink xmlns:r="http://schemas.openxmlformats.org/officeDocument/2006/relationships" ref="J201" r:id="rId49"/>
    <hyperlink xmlns:r="http://schemas.openxmlformats.org/officeDocument/2006/relationships" ref="J202" r:id="rId50"/>
    <hyperlink xmlns:r="http://schemas.openxmlformats.org/officeDocument/2006/relationships" ref="J203" r:id="rId51"/>
    <hyperlink xmlns:r="http://schemas.openxmlformats.org/officeDocument/2006/relationships" ref="J204" r:id="rId52"/>
    <hyperlink xmlns:r="http://schemas.openxmlformats.org/officeDocument/2006/relationships" ref="J205" r:id="rId53"/>
    <hyperlink xmlns:r="http://schemas.openxmlformats.org/officeDocument/2006/relationships" ref="J206" r:id="rId54"/>
    <hyperlink xmlns:r="http://schemas.openxmlformats.org/officeDocument/2006/relationships" ref="J207" r:id="rId55"/>
    <hyperlink xmlns:r="http://schemas.openxmlformats.org/officeDocument/2006/relationships" ref="J208" r:id="rId56"/>
    <hyperlink xmlns:r="http://schemas.openxmlformats.org/officeDocument/2006/relationships" ref="J209" r:id="rId57"/>
    <hyperlink xmlns:r="http://schemas.openxmlformats.org/officeDocument/2006/relationships" ref="J210" r:id="rId58"/>
    <hyperlink xmlns:r="http://schemas.openxmlformats.org/officeDocument/2006/relationships" ref="J211" r:id="rId59"/>
    <hyperlink xmlns:r="http://schemas.openxmlformats.org/officeDocument/2006/relationships" ref="J212" r:id="rId60"/>
    <hyperlink xmlns:r="http://schemas.openxmlformats.org/officeDocument/2006/relationships" ref="J213" r:id="rId61"/>
    <hyperlink xmlns:r="http://schemas.openxmlformats.org/officeDocument/2006/relationships" ref="J214" r:id="rId62"/>
    <hyperlink xmlns:r="http://schemas.openxmlformats.org/officeDocument/2006/relationships" ref="J215" r:id="rId63"/>
    <hyperlink xmlns:r="http://schemas.openxmlformats.org/officeDocument/2006/relationships" ref="J216" r:id="rId64"/>
    <hyperlink xmlns:r="http://schemas.openxmlformats.org/officeDocument/2006/relationships" ref="J217" r:id="rId65"/>
    <hyperlink xmlns:r="http://schemas.openxmlformats.org/officeDocument/2006/relationships" ref="J218" r:id="rId66"/>
    <hyperlink xmlns:r="http://schemas.openxmlformats.org/officeDocument/2006/relationships" ref="J219" r:id="rId67"/>
    <hyperlink xmlns:r="http://schemas.openxmlformats.org/officeDocument/2006/relationships" ref="J220" r:id="rId68"/>
    <hyperlink xmlns:r="http://schemas.openxmlformats.org/officeDocument/2006/relationships" ref="J221" r:id="rId69"/>
    <hyperlink xmlns:r="http://schemas.openxmlformats.org/officeDocument/2006/relationships" ref="J222" r:id="rId70"/>
    <hyperlink xmlns:r="http://schemas.openxmlformats.org/officeDocument/2006/relationships" ref="J223" r:id="rId71"/>
    <hyperlink xmlns:r="http://schemas.openxmlformats.org/officeDocument/2006/relationships" ref="J224" r:id="rId72"/>
    <hyperlink xmlns:r="http://schemas.openxmlformats.org/officeDocument/2006/relationships" ref="J225" r:id="rId73"/>
    <hyperlink xmlns:r="http://schemas.openxmlformats.org/officeDocument/2006/relationships" ref="J226" r:id="rId74"/>
    <hyperlink xmlns:r="http://schemas.openxmlformats.org/officeDocument/2006/relationships" ref="J227" r:id="rId75"/>
    <hyperlink xmlns:r="http://schemas.openxmlformats.org/officeDocument/2006/relationships" ref="J228" r:id="rId76"/>
    <hyperlink xmlns:r="http://schemas.openxmlformats.org/officeDocument/2006/relationships" ref="J229" r:id="rId77"/>
    <hyperlink xmlns:r="http://schemas.openxmlformats.org/officeDocument/2006/relationships" ref="J230" r:id="rId78"/>
    <hyperlink xmlns:r="http://schemas.openxmlformats.org/officeDocument/2006/relationships" ref="J231" r:id="rId79"/>
    <hyperlink xmlns:r="http://schemas.openxmlformats.org/officeDocument/2006/relationships" ref="J232" r:id="rId80"/>
    <hyperlink xmlns:r="http://schemas.openxmlformats.org/officeDocument/2006/relationships" ref="J233" r:id="rId81"/>
    <hyperlink xmlns:r="http://schemas.openxmlformats.org/officeDocument/2006/relationships" ref="J234" r:id="rId82"/>
    <hyperlink xmlns:r="http://schemas.openxmlformats.org/officeDocument/2006/relationships" ref="J235" r:id="rId83"/>
    <hyperlink xmlns:r="http://schemas.openxmlformats.org/officeDocument/2006/relationships" ref="J236" r:id="rId84"/>
    <hyperlink xmlns:r="http://schemas.openxmlformats.org/officeDocument/2006/relationships" ref="J237" r:id="rId85"/>
    <hyperlink xmlns:r="http://schemas.openxmlformats.org/officeDocument/2006/relationships" ref="J238" r:id="rId86"/>
    <hyperlink xmlns:r="http://schemas.openxmlformats.org/officeDocument/2006/relationships" ref="J239" r:id="rId87"/>
    <hyperlink xmlns:r="http://schemas.openxmlformats.org/officeDocument/2006/relationships" ref="J240" r:id="rId88"/>
    <hyperlink xmlns:r="http://schemas.openxmlformats.org/officeDocument/2006/relationships" ref="J241" r:id="rId89"/>
    <hyperlink xmlns:r="http://schemas.openxmlformats.org/officeDocument/2006/relationships" ref="J242" r:id="rId90"/>
    <hyperlink xmlns:r="http://schemas.openxmlformats.org/officeDocument/2006/relationships" ref="J243" r:id="rId91"/>
    <hyperlink xmlns:r="http://schemas.openxmlformats.org/officeDocument/2006/relationships" ref="J244" r:id="rId92"/>
    <hyperlink xmlns:r="http://schemas.openxmlformats.org/officeDocument/2006/relationships" ref="J245" r:id="rId93"/>
    <hyperlink xmlns:r="http://schemas.openxmlformats.org/officeDocument/2006/relationships" ref="J246" r:id="rId94"/>
    <hyperlink xmlns:r="http://schemas.openxmlformats.org/officeDocument/2006/relationships" ref="J247" r:id="rId95"/>
    <hyperlink xmlns:r="http://schemas.openxmlformats.org/officeDocument/2006/relationships" ref="J248" r:id="rId96"/>
    <hyperlink xmlns:r="http://schemas.openxmlformats.org/officeDocument/2006/relationships" ref="J249" r:id="rId97"/>
    <hyperlink xmlns:r="http://schemas.openxmlformats.org/officeDocument/2006/relationships" ref="J250" r:id="rId98"/>
    <hyperlink xmlns:r="http://schemas.openxmlformats.org/officeDocument/2006/relationships" ref="J251" r:id="rId99"/>
    <hyperlink xmlns:r="http://schemas.openxmlformats.org/officeDocument/2006/relationships" ref="J252" r:id="rId100"/>
    <hyperlink xmlns:r="http://schemas.openxmlformats.org/officeDocument/2006/relationships" ref="J253" r:id="rId101"/>
    <hyperlink xmlns:r="http://schemas.openxmlformats.org/officeDocument/2006/relationships" ref="J254" r:id="rId102"/>
    <hyperlink xmlns:r="http://schemas.openxmlformats.org/officeDocument/2006/relationships" ref="J255" r:id="rId103"/>
    <hyperlink xmlns:r="http://schemas.openxmlformats.org/officeDocument/2006/relationships" ref="J256" r:id="rId104"/>
    <hyperlink xmlns:r="http://schemas.openxmlformats.org/officeDocument/2006/relationships" ref="J257" r:id="rId105"/>
    <hyperlink xmlns:r="http://schemas.openxmlformats.org/officeDocument/2006/relationships" ref="J258" r:id="rId106"/>
    <hyperlink xmlns:r="http://schemas.openxmlformats.org/officeDocument/2006/relationships" ref="J259" r:id="rId107"/>
    <hyperlink xmlns:r="http://schemas.openxmlformats.org/officeDocument/2006/relationships" ref="J260" r:id="rId108"/>
    <hyperlink xmlns:r="http://schemas.openxmlformats.org/officeDocument/2006/relationships" ref="J261" r:id="rId109"/>
    <hyperlink xmlns:r="http://schemas.openxmlformats.org/officeDocument/2006/relationships" ref="J262" r:id="rId110"/>
    <hyperlink xmlns:r="http://schemas.openxmlformats.org/officeDocument/2006/relationships" ref="J263" r:id="rId111"/>
    <hyperlink xmlns:r="http://schemas.openxmlformats.org/officeDocument/2006/relationships" ref="J264" r:id="rId112"/>
    <hyperlink xmlns:r="http://schemas.openxmlformats.org/officeDocument/2006/relationships" ref="J265" r:id="rId113"/>
    <hyperlink xmlns:r="http://schemas.openxmlformats.org/officeDocument/2006/relationships" ref="J266" r:id="rId114"/>
    <hyperlink xmlns:r="http://schemas.openxmlformats.org/officeDocument/2006/relationships" ref="J267" r:id="rId115"/>
    <hyperlink xmlns:r="http://schemas.openxmlformats.org/officeDocument/2006/relationships" ref="J268" r:id="rId116"/>
    <hyperlink xmlns:r="http://schemas.openxmlformats.org/officeDocument/2006/relationships" ref="J269" r:id="rId117"/>
    <hyperlink xmlns:r="http://schemas.openxmlformats.org/officeDocument/2006/relationships" ref="J270" r:id="rId118"/>
    <hyperlink xmlns:r="http://schemas.openxmlformats.org/officeDocument/2006/relationships" ref="J271" r:id="rId119"/>
    <hyperlink xmlns:r="http://schemas.openxmlformats.org/officeDocument/2006/relationships" ref="J272" r:id="rId120"/>
    <hyperlink xmlns:r="http://schemas.openxmlformats.org/officeDocument/2006/relationships" ref="J273" r:id="rId121"/>
    <hyperlink xmlns:r="http://schemas.openxmlformats.org/officeDocument/2006/relationships" ref="J274" r:id="rId122"/>
    <hyperlink xmlns:r="http://schemas.openxmlformats.org/officeDocument/2006/relationships" ref="J275" r:id="rId123"/>
    <hyperlink xmlns:r="http://schemas.openxmlformats.org/officeDocument/2006/relationships" ref="J276" r:id="rId124"/>
    <hyperlink xmlns:r="http://schemas.openxmlformats.org/officeDocument/2006/relationships" ref="J278" r:id="rId125"/>
    <hyperlink xmlns:r="http://schemas.openxmlformats.org/officeDocument/2006/relationships" ref="J279" r:id="rId126"/>
    <hyperlink xmlns:r="http://schemas.openxmlformats.org/officeDocument/2006/relationships" ref="J280" r:id="rId127"/>
    <hyperlink xmlns:r="http://schemas.openxmlformats.org/officeDocument/2006/relationships" ref="J281" r:id="rId128"/>
    <hyperlink xmlns:r="http://schemas.openxmlformats.org/officeDocument/2006/relationships" ref="J282" r:id="rId129"/>
    <hyperlink xmlns:r="http://schemas.openxmlformats.org/officeDocument/2006/relationships" ref="J283" r:id="rId130"/>
    <hyperlink xmlns:r="http://schemas.openxmlformats.org/officeDocument/2006/relationships" ref="J284" r:id="rId131"/>
    <hyperlink xmlns:r="http://schemas.openxmlformats.org/officeDocument/2006/relationships" ref="J285" r:id="rId132"/>
    <hyperlink xmlns:r="http://schemas.openxmlformats.org/officeDocument/2006/relationships" ref="J286" r:id="rId133"/>
    <hyperlink xmlns:r="http://schemas.openxmlformats.org/officeDocument/2006/relationships" ref="J287" r:id="rId134"/>
    <hyperlink xmlns:r="http://schemas.openxmlformats.org/officeDocument/2006/relationships" ref="J288" r:id="rId135"/>
    <hyperlink xmlns:r="http://schemas.openxmlformats.org/officeDocument/2006/relationships" ref="J289" r:id="rId136"/>
    <hyperlink xmlns:r="http://schemas.openxmlformats.org/officeDocument/2006/relationships" ref="J290" r:id="rId137"/>
    <hyperlink xmlns:r="http://schemas.openxmlformats.org/officeDocument/2006/relationships" ref="J291" r:id="rId138"/>
    <hyperlink xmlns:r="http://schemas.openxmlformats.org/officeDocument/2006/relationships" ref="J292" r:id="rId139"/>
    <hyperlink xmlns:r="http://schemas.openxmlformats.org/officeDocument/2006/relationships" ref="J293" r:id="rId140"/>
    <hyperlink xmlns:r="http://schemas.openxmlformats.org/officeDocument/2006/relationships" ref="J294" r:id="rId141"/>
    <hyperlink xmlns:r="http://schemas.openxmlformats.org/officeDocument/2006/relationships" ref="J295" r:id="rId142"/>
    <hyperlink xmlns:r="http://schemas.openxmlformats.org/officeDocument/2006/relationships" ref="J296" r:id="rId143"/>
    <hyperlink xmlns:r="http://schemas.openxmlformats.org/officeDocument/2006/relationships" ref="J297" r:id="rId144"/>
    <hyperlink xmlns:r="http://schemas.openxmlformats.org/officeDocument/2006/relationships" ref="J298" r:id="rId145"/>
    <hyperlink xmlns:r="http://schemas.openxmlformats.org/officeDocument/2006/relationships" ref="J301" r:id="rId146"/>
    <hyperlink xmlns:r="http://schemas.openxmlformats.org/officeDocument/2006/relationships" ref="J302" r:id="rId147"/>
    <hyperlink xmlns:r="http://schemas.openxmlformats.org/officeDocument/2006/relationships" ref="J310" r:id="rId148"/>
    <hyperlink xmlns:r="http://schemas.openxmlformats.org/officeDocument/2006/relationships" ref="J311" r:id="rId149"/>
    <hyperlink xmlns:r="http://schemas.openxmlformats.org/officeDocument/2006/relationships" ref="J312" r:id="rId150"/>
    <hyperlink xmlns:r="http://schemas.openxmlformats.org/officeDocument/2006/relationships" ref="J318" r:id="rId151"/>
    <hyperlink xmlns:r="http://schemas.openxmlformats.org/officeDocument/2006/relationships" ref="J319" r:id="rId152"/>
    <hyperlink xmlns:r="http://schemas.openxmlformats.org/officeDocument/2006/relationships" ref="J320" r:id="rId153"/>
    <hyperlink xmlns:r="http://schemas.openxmlformats.org/officeDocument/2006/relationships" ref="J321" r:id="rId154"/>
    <hyperlink xmlns:r="http://schemas.openxmlformats.org/officeDocument/2006/relationships" ref="J322" r:id="rId155"/>
    <hyperlink xmlns:r="http://schemas.openxmlformats.org/officeDocument/2006/relationships" ref="J323" r:id="rId156"/>
    <hyperlink xmlns:r="http://schemas.openxmlformats.org/officeDocument/2006/relationships" ref="J324" r:id="rId157"/>
    <hyperlink xmlns:r="http://schemas.openxmlformats.org/officeDocument/2006/relationships" ref="J325" r:id="rId158"/>
    <hyperlink xmlns:r="http://schemas.openxmlformats.org/officeDocument/2006/relationships" ref="J326" r:id="rId159"/>
    <hyperlink xmlns:r="http://schemas.openxmlformats.org/officeDocument/2006/relationships" ref="J327" r:id="rId160"/>
    <hyperlink xmlns:r="http://schemas.openxmlformats.org/officeDocument/2006/relationships" ref="J328" r:id="rId161"/>
    <hyperlink xmlns:r="http://schemas.openxmlformats.org/officeDocument/2006/relationships" ref="J329" r:id="rId162"/>
    <hyperlink xmlns:r="http://schemas.openxmlformats.org/officeDocument/2006/relationships" ref="J330" r:id="rId163"/>
    <hyperlink xmlns:r="http://schemas.openxmlformats.org/officeDocument/2006/relationships" ref="J331" r:id="rId164"/>
    <hyperlink xmlns:r="http://schemas.openxmlformats.org/officeDocument/2006/relationships" ref="J332" r:id="rId165"/>
    <hyperlink xmlns:r="http://schemas.openxmlformats.org/officeDocument/2006/relationships" ref="J333" r:id="rId166"/>
    <hyperlink xmlns:r="http://schemas.openxmlformats.org/officeDocument/2006/relationships" ref="J334" r:id="rId167"/>
    <hyperlink xmlns:r="http://schemas.openxmlformats.org/officeDocument/2006/relationships" ref="J335" r:id="rId168"/>
    <hyperlink xmlns:r="http://schemas.openxmlformats.org/officeDocument/2006/relationships" ref="J336" r:id="rId169"/>
    <hyperlink xmlns:r="http://schemas.openxmlformats.org/officeDocument/2006/relationships" ref="J337" r:id="rId170"/>
    <hyperlink xmlns:r="http://schemas.openxmlformats.org/officeDocument/2006/relationships" ref="J338" r:id="rId171"/>
    <hyperlink xmlns:r="http://schemas.openxmlformats.org/officeDocument/2006/relationships" ref="J339" r:id="rId172"/>
    <hyperlink xmlns:r="http://schemas.openxmlformats.org/officeDocument/2006/relationships" ref="J340" r:id="rId173"/>
    <hyperlink xmlns:r="http://schemas.openxmlformats.org/officeDocument/2006/relationships" ref="J341" r:id="rId174"/>
    <hyperlink xmlns:r="http://schemas.openxmlformats.org/officeDocument/2006/relationships" ref="J342" r:id="rId175"/>
    <hyperlink xmlns:r="http://schemas.openxmlformats.org/officeDocument/2006/relationships" ref="J343" r:id="rId176"/>
    <hyperlink xmlns:r="http://schemas.openxmlformats.org/officeDocument/2006/relationships" ref="J344" r:id="rId177"/>
    <hyperlink xmlns:r="http://schemas.openxmlformats.org/officeDocument/2006/relationships" ref="J345" r:id="rId178"/>
    <hyperlink xmlns:r="http://schemas.openxmlformats.org/officeDocument/2006/relationships" ref="J346" r:id="rId179"/>
    <hyperlink xmlns:r="http://schemas.openxmlformats.org/officeDocument/2006/relationships" ref="J347" r:id="rId180"/>
    <hyperlink xmlns:r="http://schemas.openxmlformats.org/officeDocument/2006/relationships" ref="J348" r:id="rId181"/>
    <hyperlink xmlns:r="http://schemas.openxmlformats.org/officeDocument/2006/relationships" ref="J349" r:id="rId182"/>
    <hyperlink xmlns:r="http://schemas.openxmlformats.org/officeDocument/2006/relationships" ref="J350" r:id="rId183"/>
    <hyperlink xmlns:r="http://schemas.openxmlformats.org/officeDocument/2006/relationships" ref="J351" r:id="rId184"/>
    <hyperlink xmlns:r="http://schemas.openxmlformats.org/officeDocument/2006/relationships" ref="J352" r:id="rId185"/>
    <hyperlink xmlns:r="http://schemas.openxmlformats.org/officeDocument/2006/relationships" ref="J353" r:id="rId186"/>
    <hyperlink xmlns:r="http://schemas.openxmlformats.org/officeDocument/2006/relationships" ref="J354" r:id="rId187"/>
    <hyperlink xmlns:r="http://schemas.openxmlformats.org/officeDocument/2006/relationships" ref="J355" r:id="rId188"/>
    <hyperlink xmlns:r="http://schemas.openxmlformats.org/officeDocument/2006/relationships" ref="J356" r:id="rId189"/>
    <hyperlink xmlns:r="http://schemas.openxmlformats.org/officeDocument/2006/relationships" ref="J357" r:id="rId190"/>
    <hyperlink xmlns:r="http://schemas.openxmlformats.org/officeDocument/2006/relationships" ref="J362" r:id="rId191"/>
    <hyperlink xmlns:r="http://schemas.openxmlformats.org/officeDocument/2006/relationships" ref="J363" r:id="rId192"/>
    <hyperlink xmlns:r="http://schemas.openxmlformats.org/officeDocument/2006/relationships" ref="J364" r:id="rId193"/>
    <hyperlink xmlns:r="http://schemas.openxmlformats.org/officeDocument/2006/relationships" ref="J365" r:id="rId194"/>
    <hyperlink xmlns:r="http://schemas.openxmlformats.org/officeDocument/2006/relationships" ref="J366" r:id="rId195"/>
    <hyperlink xmlns:r="http://schemas.openxmlformats.org/officeDocument/2006/relationships" ref="J367" r:id="rId196"/>
    <hyperlink xmlns:r="http://schemas.openxmlformats.org/officeDocument/2006/relationships" ref="J368" r:id="rId197"/>
    <hyperlink xmlns:r="http://schemas.openxmlformats.org/officeDocument/2006/relationships" ref="J369" r:id="rId198"/>
    <hyperlink xmlns:r="http://schemas.openxmlformats.org/officeDocument/2006/relationships" ref="J370" r:id="rId199"/>
    <hyperlink xmlns:r="http://schemas.openxmlformats.org/officeDocument/2006/relationships" ref="J371" r:id="rId200"/>
    <hyperlink xmlns:r="http://schemas.openxmlformats.org/officeDocument/2006/relationships" ref="J372" r:id="rId201"/>
    <hyperlink xmlns:r="http://schemas.openxmlformats.org/officeDocument/2006/relationships" ref="J373" r:id="rId202"/>
    <hyperlink xmlns:r="http://schemas.openxmlformats.org/officeDocument/2006/relationships" ref="J374" r:id="rId203"/>
    <hyperlink xmlns:r="http://schemas.openxmlformats.org/officeDocument/2006/relationships" ref="J375" r:id="rId204"/>
    <hyperlink xmlns:r="http://schemas.openxmlformats.org/officeDocument/2006/relationships" ref="J376" r:id="rId205"/>
    <hyperlink xmlns:r="http://schemas.openxmlformats.org/officeDocument/2006/relationships" ref="J377" r:id="rId206"/>
    <hyperlink xmlns:r="http://schemas.openxmlformats.org/officeDocument/2006/relationships" ref="J378" r:id="rId207"/>
    <hyperlink xmlns:r="http://schemas.openxmlformats.org/officeDocument/2006/relationships" ref="J379" r:id="rId208"/>
    <hyperlink xmlns:r="http://schemas.openxmlformats.org/officeDocument/2006/relationships" ref="J383" r:id="rId209"/>
    <hyperlink xmlns:r="http://schemas.openxmlformats.org/officeDocument/2006/relationships" ref="J384" r:id="rId210"/>
    <hyperlink xmlns:r="http://schemas.openxmlformats.org/officeDocument/2006/relationships" ref="J385" r:id="rId211"/>
    <hyperlink xmlns:r="http://schemas.openxmlformats.org/officeDocument/2006/relationships" ref="J386" r:id="rId212"/>
    <hyperlink xmlns:r="http://schemas.openxmlformats.org/officeDocument/2006/relationships" ref="J387" r:id="rId213"/>
    <hyperlink xmlns:r="http://schemas.openxmlformats.org/officeDocument/2006/relationships" ref="J421" r:id="rId214"/>
    <hyperlink xmlns:r="http://schemas.openxmlformats.org/officeDocument/2006/relationships" ref="J441" r:id="rId215"/>
    <hyperlink xmlns:r="http://schemas.openxmlformats.org/officeDocument/2006/relationships" ref="J494" r:id="rId216"/>
    <hyperlink xmlns:r="http://schemas.openxmlformats.org/officeDocument/2006/relationships" ref="J495" r:id="rId217"/>
    <hyperlink xmlns:r="http://schemas.openxmlformats.org/officeDocument/2006/relationships" ref="J498" r:id="rId218"/>
    <hyperlink xmlns:r="http://schemas.openxmlformats.org/officeDocument/2006/relationships" ref="J501" r:id="rId219"/>
    <hyperlink xmlns:r="http://schemas.openxmlformats.org/officeDocument/2006/relationships" ref="J502" r:id="rId2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6" customWidth="1" min="4" max="4"/>
    <col width="18" customWidth="1" min="5" max="5"/>
    <col width="16" customWidth="1" min="6" max="6"/>
    <col width="10" customWidth="1" min="7" max="7"/>
  </cols>
  <sheetData>
    <row r="1">
      <c r="A1" s="3" t="inlineStr">
        <is>
          <t>學段</t>
        </is>
      </c>
      <c r="B1" s="3" t="inlineStr">
        <is>
          <t>版本</t>
        </is>
      </c>
      <c r="C1" s="3" t="inlineStr">
        <is>
          <t>科目</t>
        </is>
      </c>
      <c r="D1" s="3" t="inlineStr">
        <is>
          <t>年級</t>
        </is>
      </c>
      <c r="E1" s="3" t="inlineStr">
        <is>
          <t>冊次</t>
        </is>
      </c>
      <c r="F1" s="3" t="inlineStr">
        <is>
          <t>已查到章（課）數</t>
        </is>
      </c>
      <c r="G1" s="3" t="inlineStr">
        <is>
          <t>狀態</t>
        </is>
      </c>
    </row>
    <row r="2">
      <c r="A2" s="8" t="inlineStr">
        <is>
          <t>國中</t>
        </is>
      </c>
      <c r="B2" s="8" t="inlineStr">
        <is>
          <t>翰林</t>
        </is>
      </c>
      <c r="C2" s="8" t="inlineStr">
        <is>
          <t>國文</t>
        </is>
      </c>
      <c r="D2" s="8" t="inlineStr">
        <is>
          <t>7</t>
        </is>
      </c>
      <c r="E2" s="8" t="inlineStr">
        <is>
          <t>上</t>
        </is>
      </c>
      <c r="F2" s="8">
        <f>COUNTIFS(國中!$A:$A,$B2,國中!$E:$E,$C2,國中!$F:$F,"&lt;&gt;",國中!$C:$C,$D2,國中!$D:$D,$E2)</f>
        <v/>
      </c>
      <c r="G2" s="8">
        <f>IF(F2&gt;0,"已查到","未查到")</f>
        <v/>
      </c>
    </row>
    <row r="3">
      <c r="A3" s="8" t="inlineStr">
        <is>
          <t>國中</t>
        </is>
      </c>
      <c r="B3" s="8" t="inlineStr">
        <is>
          <t>翰林</t>
        </is>
      </c>
      <c r="C3" s="8" t="inlineStr">
        <is>
          <t>國文</t>
        </is>
      </c>
      <c r="D3" s="8" t="inlineStr">
        <is>
          <t>7</t>
        </is>
      </c>
      <c r="E3" s="8" t="inlineStr">
        <is>
          <t>下</t>
        </is>
      </c>
      <c r="F3" s="8">
        <f>COUNTIFS(國中!$A:$A,$B3,國中!$E:$E,$C3,國中!$F:$F,"&lt;&gt;",國中!$C:$C,$D3,國中!$D:$D,$E3)</f>
        <v/>
      </c>
      <c r="G3" s="8">
        <f>IF(F3&gt;0,"已查到","未查到")</f>
        <v/>
      </c>
    </row>
    <row r="4">
      <c r="A4" s="8" t="inlineStr">
        <is>
          <t>國中</t>
        </is>
      </c>
      <c r="B4" s="8" t="inlineStr">
        <is>
          <t>翰林</t>
        </is>
      </c>
      <c r="C4" s="8" t="inlineStr">
        <is>
          <t>國文</t>
        </is>
      </c>
      <c r="D4" s="8" t="inlineStr">
        <is>
          <t>8</t>
        </is>
      </c>
      <c r="E4" s="8" t="inlineStr">
        <is>
          <t>上</t>
        </is>
      </c>
      <c r="F4" s="8">
        <f>COUNTIFS(國中!$A:$A,$B4,國中!$E:$E,$C4,國中!$F:$F,"&lt;&gt;",國中!$C:$C,$D4,國中!$D:$D,$E4)</f>
        <v/>
      </c>
      <c r="G4" s="8">
        <f>IF(F4&gt;0,"已查到","未查到")</f>
        <v/>
      </c>
    </row>
    <row r="5">
      <c r="A5" s="8" t="inlineStr">
        <is>
          <t>國中</t>
        </is>
      </c>
      <c r="B5" s="8" t="inlineStr">
        <is>
          <t>翰林</t>
        </is>
      </c>
      <c r="C5" s="8" t="inlineStr">
        <is>
          <t>國文</t>
        </is>
      </c>
      <c r="D5" s="8" t="inlineStr">
        <is>
          <t>8</t>
        </is>
      </c>
      <c r="E5" s="8" t="inlineStr">
        <is>
          <t>下</t>
        </is>
      </c>
      <c r="F5" s="8">
        <f>COUNTIFS(國中!$A:$A,$B5,國中!$E:$E,$C5,國中!$F:$F,"&lt;&gt;",國中!$C:$C,$D5,國中!$D:$D,$E5)</f>
        <v/>
      </c>
      <c r="G5" s="8">
        <f>IF(F5&gt;0,"已查到","未查到")</f>
        <v/>
      </c>
    </row>
    <row r="6">
      <c r="A6" s="8" t="inlineStr">
        <is>
          <t>國中</t>
        </is>
      </c>
      <c r="B6" s="8" t="inlineStr">
        <is>
          <t>翰林</t>
        </is>
      </c>
      <c r="C6" s="8" t="inlineStr">
        <is>
          <t>國文</t>
        </is>
      </c>
      <c r="D6" s="8" t="inlineStr">
        <is>
          <t>9</t>
        </is>
      </c>
      <c r="E6" s="8" t="inlineStr">
        <is>
          <t>上</t>
        </is>
      </c>
      <c r="F6" s="8">
        <f>COUNTIFS(國中!$A:$A,$B6,國中!$E:$E,$C6,國中!$F:$F,"&lt;&gt;",國中!$C:$C,$D6,國中!$D:$D,$E6)</f>
        <v/>
      </c>
      <c r="G6" s="8">
        <f>IF(F6&gt;0,"已查到","未查到")</f>
        <v/>
      </c>
    </row>
    <row r="7">
      <c r="A7" s="8" t="inlineStr">
        <is>
          <t>國中</t>
        </is>
      </c>
      <c r="B7" s="8" t="inlineStr">
        <is>
          <t>翰林</t>
        </is>
      </c>
      <c r="C7" s="8" t="inlineStr">
        <is>
          <t>國文</t>
        </is>
      </c>
      <c r="D7" s="8" t="inlineStr">
        <is>
          <t>9</t>
        </is>
      </c>
      <c r="E7" s="8" t="inlineStr">
        <is>
          <t>下</t>
        </is>
      </c>
      <c r="F7" s="8">
        <f>COUNTIFS(國中!$A:$A,$B7,國中!$E:$E,$C7,國中!$F:$F,"&lt;&gt;",國中!$C:$C,$D7,國中!$D:$D,$E7)</f>
        <v/>
      </c>
      <c r="G7" s="8">
        <f>IF(F7&gt;0,"已查到","未查到")</f>
        <v/>
      </c>
    </row>
    <row r="8">
      <c r="A8" s="8" t="inlineStr">
        <is>
          <t>國中</t>
        </is>
      </c>
      <c r="B8" s="8" t="inlineStr">
        <is>
          <t>翰林</t>
        </is>
      </c>
      <c r="C8" s="8" t="inlineStr">
        <is>
          <t>英文</t>
        </is>
      </c>
      <c r="D8" s="8" t="inlineStr">
        <is>
          <t>7</t>
        </is>
      </c>
      <c r="E8" s="8" t="inlineStr">
        <is>
          <t>上</t>
        </is>
      </c>
      <c r="F8" s="8">
        <f>COUNTIFS(國中!$A:$A,$B8,國中!$E:$E,$C8,國中!$F:$F,"&lt;&gt;",國中!$C:$C,$D8,國中!$D:$D,$E8)</f>
        <v/>
      </c>
      <c r="G8" s="8">
        <f>IF(F8&gt;0,"已查到","未查到")</f>
        <v/>
      </c>
    </row>
    <row r="9">
      <c r="A9" s="8" t="inlineStr">
        <is>
          <t>國中</t>
        </is>
      </c>
      <c r="B9" s="8" t="inlineStr">
        <is>
          <t>翰林</t>
        </is>
      </c>
      <c r="C9" s="8" t="inlineStr">
        <is>
          <t>英文</t>
        </is>
      </c>
      <c r="D9" s="8" t="inlineStr">
        <is>
          <t>7</t>
        </is>
      </c>
      <c r="E9" s="8" t="inlineStr">
        <is>
          <t>下</t>
        </is>
      </c>
      <c r="F9" s="8">
        <f>COUNTIFS(國中!$A:$A,$B9,國中!$E:$E,$C9,國中!$F:$F,"&lt;&gt;",國中!$C:$C,$D9,國中!$D:$D,$E9)</f>
        <v/>
      </c>
      <c r="G9" s="8">
        <f>IF(F9&gt;0,"已查到","未查到")</f>
        <v/>
      </c>
    </row>
    <row r="10">
      <c r="A10" s="8" t="inlineStr">
        <is>
          <t>國中</t>
        </is>
      </c>
      <c r="B10" s="8" t="inlineStr">
        <is>
          <t>翰林</t>
        </is>
      </c>
      <c r="C10" s="8" t="inlineStr">
        <is>
          <t>英文</t>
        </is>
      </c>
      <c r="D10" s="8" t="inlineStr">
        <is>
          <t>8</t>
        </is>
      </c>
      <c r="E10" s="8" t="inlineStr">
        <is>
          <t>上</t>
        </is>
      </c>
      <c r="F10" s="8">
        <f>COUNTIFS(國中!$A:$A,$B10,國中!$E:$E,$C10,國中!$F:$F,"&lt;&gt;",國中!$C:$C,$D10,國中!$D:$D,$E10)</f>
        <v/>
      </c>
      <c r="G10" s="8">
        <f>IF(F10&gt;0,"已查到","未查到")</f>
        <v/>
      </c>
    </row>
    <row r="11">
      <c r="A11" s="8" t="inlineStr">
        <is>
          <t>國中</t>
        </is>
      </c>
      <c r="B11" s="8" t="inlineStr">
        <is>
          <t>翰林</t>
        </is>
      </c>
      <c r="C11" s="8" t="inlineStr">
        <is>
          <t>英文</t>
        </is>
      </c>
      <c r="D11" s="8" t="inlineStr">
        <is>
          <t>8</t>
        </is>
      </c>
      <c r="E11" s="8" t="inlineStr">
        <is>
          <t>下</t>
        </is>
      </c>
      <c r="F11" s="8">
        <f>COUNTIFS(國中!$A:$A,$B11,國中!$E:$E,$C11,國中!$F:$F,"&lt;&gt;",國中!$C:$C,$D11,國中!$D:$D,$E11)</f>
        <v/>
      </c>
      <c r="G11" s="8">
        <f>IF(F11&gt;0,"已查到","未查到")</f>
        <v/>
      </c>
    </row>
    <row r="12">
      <c r="A12" s="8" t="inlineStr">
        <is>
          <t>國中</t>
        </is>
      </c>
      <c r="B12" s="8" t="inlineStr">
        <is>
          <t>翰林</t>
        </is>
      </c>
      <c r="C12" s="8" t="inlineStr">
        <is>
          <t>英文</t>
        </is>
      </c>
      <c r="D12" s="8" t="inlineStr">
        <is>
          <t>9</t>
        </is>
      </c>
      <c r="E12" s="8" t="inlineStr">
        <is>
          <t>上</t>
        </is>
      </c>
      <c r="F12" s="8">
        <f>COUNTIFS(國中!$A:$A,$B12,國中!$E:$E,$C12,國中!$F:$F,"&lt;&gt;",國中!$C:$C,$D12,國中!$D:$D,$E12)</f>
        <v/>
      </c>
      <c r="G12" s="8">
        <f>IF(F12&gt;0,"已查到","未查到")</f>
        <v/>
      </c>
    </row>
    <row r="13">
      <c r="A13" s="8" t="inlineStr">
        <is>
          <t>國中</t>
        </is>
      </c>
      <c r="B13" s="8" t="inlineStr">
        <is>
          <t>翰林</t>
        </is>
      </c>
      <c r="C13" s="8" t="inlineStr">
        <is>
          <t>英文</t>
        </is>
      </c>
      <c r="D13" s="8" t="inlineStr">
        <is>
          <t>9</t>
        </is>
      </c>
      <c r="E13" s="8" t="inlineStr">
        <is>
          <t>下</t>
        </is>
      </c>
      <c r="F13" s="8">
        <f>COUNTIFS(國中!$A:$A,$B13,國中!$E:$E,$C13,國中!$F:$F,"&lt;&gt;",國中!$C:$C,$D13,國中!$D:$D,$E13)</f>
        <v/>
      </c>
      <c r="G13" s="8">
        <f>IF(F13&gt;0,"已查到","未查到")</f>
        <v/>
      </c>
    </row>
    <row r="14">
      <c r="A14" s="8" t="inlineStr">
        <is>
          <t>國中</t>
        </is>
      </c>
      <c r="B14" s="8" t="inlineStr">
        <is>
          <t>翰林</t>
        </is>
      </c>
      <c r="C14" s="8" t="inlineStr">
        <is>
          <t>數學</t>
        </is>
      </c>
      <c r="D14" s="8" t="inlineStr">
        <is>
          <t>7</t>
        </is>
      </c>
      <c r="E14" s="8" t="inlineStr">
        <is>
          <t>上</t>
        </is>
      </c>
      <c r="F14" s="8">
        <f>COUNTIFS(國中!$A:$A,$B14,國中!$E:$E,$C14,國中!$F:$F,"&lt;&gt;",國中!$C:$C,$D14,國中!$D:$D,$E14)</f>
        <v/>
      </c>
      <c r="G14" s="8">
        <f>IF(F14&gt;0,"已查到","未查到")</f>
        <v/>
      </c>
    </row>
    <row r="15">
      <c r="A15" s="8" t="inlineStr">
        <is>
          <t>國中</t>
        </is>
      </c>
      <c r="B15" s="8" t="inlineStr">
        <is>
          <t>翰林</t>
        </is>
      </c>
      <c r="C15" s="8" t="inlineStr">
        <is>
          <t>數學</t>
        </is>
      </c>
      <c r="D15" s="8" t="inlineStr">
        <is>
          <t>7</t>
        </is>
      </c>
      <c r="E15" s="8" t="inlineStr">
        <is>
          <t>下</t>
        </is>
      </c>
      <c r="F15" s="8">
        <f>COUNTIFS(國中!$A:$A,$B15,國中!$E:$E,$C15,國中!$F:$F,"&lt;&gt;",國中!$C:$C,$D15,國中!$D:$D,$E15)</f>
        <v/>
      </c>
      <c r="G15" s="8">
        <f>IF(F15&gt;0,"已查到","未查到")</f>
        <v/>
      </c>
    </row>
    <row r="16">
      <c r="A16" s="8" t="inlineStr">
        <is>
          <t>國中</t>
        </is>
      </c>
      <c r="B16" s="8" t="inlineStr">
        <is>
          <t>翰林</t>
        </is>
      </c>
      <c r="C16" s="8" t="inlineStr">
        <is>
          <t>數學</t>
        </is>
      </c>
      <c r="D16" s="8" t="inlineStr">
        <is>
          <t>8</t>
        </is>
      </c>
      <c r="E16" s="8" t="inlineStr">
        <is>
          <t>上</t>
        </is>
      </c>
      <c r="F16" s="8">
        <f>COUNTIFS(國中!$A:$A,$B16,國中!$E:$E,$C16,國中!$F:$F,"&lt;&gt;",國中!$C:$C,$D16,國中!$D:$D,$E16)</f>
        <v/>
      </c>
      <c r="G16" s="8">
        <f>IF(F16&gt;0,"已查到","未查到")</f>
        <v/>
      </c>
    </row>
    <row r="17">
      <c r="A17" s="8" t="inlineStr">
        <is>
          <t>國中</t>
        </is>
      </c>
      <c r="B17" s="8" t="inlineStr">
        <is>
          <t>翰林</t>
        </is>
      </c>
      <c r="C17" s="8" t="inlineStr">
        <is>
          <t>數學</t>
        </is>
      </c>
      <c r="D17" s="8" t="inlineStr">
        <is>
          <t>8</t>
        </is>
      </c>
      <c r="E17" s="8" t="inlineStr">
        <is>
          <t>下</t>
        </is>
      </c>
      <c r="F17" s="8">
        <f>COUNTIFS(國中!$A:$A,$B17,國中!$E:$E,$C17,國中!$F:$F,"&lt;&gt;",國中!$C:$C,$D17,國中!$D:$D,$E17)</f>
        <v/>
      </c>
      <c r="G17" s="8">
        <f>IF(F17&gt;0,"已查到","未查到")</f>
        <v/>
      </c>
    </row>
    <row r="18">
      <c r="A18" s="8" t="inlineStr">
        <is>
          <t>國中</t>
        </is>
      </c>
      <c r="B18" s="8" t="inlineStr">
        <is>
          <t>翰林</t>
        </is>
      </c>
      <c r="C18" s="8" t="inlineStr">
        <is>
          <t>數學</t>
        </is>
      </c>
      <c r="D18" s="8" t="inlineStr">
        <is>
          <t>9</t>
        </is>
      </c>
      <c r="E18" s="8" t="inlineStr">
        <is>
          <t>上</t>
        </is>
      </c>
      <c r="F18" s="8">
        <f>COUNTIFS(國中!$A:$A,$B18,國中!$E:$E,$C18,國中!$F:$F,"&lt;&gt;",國中!$C:$C,$D18,國中!$D:$D,$E18)</f>
        <v/>
      </c>
      <c r="G18" s="8">
        <f>IF(F18&gt;0,"已查到","未查到")</f>
        <v/>
      </c>
    </row>
    <row r="19">
      <c r="A19" s="8" t="inlineStr">
        <is>
          <t>國中</t>
        </is>
      </c>
      <c r="B19" s="8" t="inlineStr">
        <is>
          <t>翰林</t>
        </is>
      </c>
      <c r="C19" s="8" t="inlineStr">
        <is>
          <t>數學</t>
        </is>
      </c>
      <c r="D19" s="8" t="inlineStr">
        <is>
          <t>9</t>
        </is>
      </c>
      <c r="E19" s="8" t="inlineStr">
        <is>
          <t>下</t>
        </is>
      </c>
      <c r="F19" s="8">
        <f>COUNTIFS(國中!$A:$A,$B19,國中!$E:$E,$C19,國中!$F:$F,"&lt;&gt;",國中!$C:$C,$D19,國中!$D:$D,$E19)</f>
        <v/>
      </c>
      <c r="G19" s="8">
        <f>IF(F19&gt;0,"已查到","未查到")</f>
        <v/>
      </c>
    </row>
    <row r="20">
      <c r="A20" s="8" t="inlineStr">
        <is>
          <t>國中</t>
        </is>
      </c>
      <c r="B20" s="8" t="inlineStr">
        <is>
          <t>翰林</t>
        </is>
      </c>
      <c r="C20" s="8" t="inlineStr">
        <is>
          <t>生物</t>
        </is>
      </c>
      <c r="D20" s="8" t="inlineStr">
        <is>
          <t>7</t>
        </is>
      </c>
      <c r="E20" s="8" t="inlineStr">
        <is>
          <t>上</t>
        </is>
      </c>
      <c r="F20" s="8">
        <f>COUNTIFS(國中!$A:$A,$B20,國中!$E:$E,$C20,國中!$F:$F,"&lt;&gt;",國中!$C:$C,$D20,國中!$D:$D,$E20)</f>
        <v/>
      </c>
      <c r="G20" s="8">
        <f>IF(F20&gt;0,"已查到","未查到")</f>
        <v/>
      </c>
    </row>
    <row r="21">
      <c r="A21" s="8" t="inlineStr">
        <is>
          <t>國中</t>
        </is>
      </c>
      <c r="B21" s="8" t="inlineStr">
        <is>
          <t>翰林</t>
        </is>
      </c>
      <c r="C21" s="8" t="inlineStr">
        <is>
          <t>生物</t>
        </is>
      </c>
      <c r="D21" s="8" t="inlineStr">
        <is>
          <t>7</t>
        </is>
      </c>
      <c r="E21" s="8" t="inlineStr">
        <is>
          <t>下</t>
        </is>
      </c>
      <c r="F21" s="8">
        <f>COUNTIFS(國中!$A:$A,$B21,國中!$E:$E,$C21,國中!$F:$F,"&lt;&gt;",國中!$C:$C,$D21,國中!$D:$D,$E21)</f>
        <v/>
      </c>
      <c r="G21" s="8">
        <f>IF(F21&gt;0,"已查到","未查到")</f>
        <v/>
      </c>
    </row>
    <row r="22">
      <c r="A22" s="8" t="inlineStr">
        <is>
          <t>國中</t>
        </is>
      </c>
      <c r="B22" s="8" t="inlineStr">
        <is>
          <t>翰林</t>
        </is>
      </c>
      <c r="C22" s="8" t="inlineStr">
        <is>
          <t>理化</t>
        </is>
      </c>
      <c r="D22" s="8" t="inlineStr">
        <is>
          <t>8</t>
        </is>
      </c>
      <c r="E22" s="8" t="inlineStr">
        <is>
          <t>上</t>
        </is>
      </c>
      <c r="F22" s="8">
        <f>COUNTIFS(國中!$A:$A,$B22,國中!$E:$E,$C22,國中!$F:$F,"&lt;&gt;",國中!$C:$C,$D22,國中!$D:$D,$E22)</f>
        <v/>
      </c>
      <c r="G22" s="8">
        <f>IF(F22&gt;0,"已查到","未查到")</f>
        <v/>
      </c>
    </row>
    <row r="23">
      <c r="A23" s="8" t="inlineStr">
        <is>
          <t>國中</t>
        </is>
      </c>
      <c r="B23" s="8" t="inlineStr">
        <is>
          <t>翰林</t>
        </is>
      </c>
      <c r="C23" s="8" t="inlineStr">
        <is>
          <t>理化</t>
        </is>
      </c>
      <c r="D23" s="8" t="inlineStr">
        <is>
          <t>8</t>
        </is>
      </c>
      <c r="E23" s="8" t="inlineStr">
        <is>
          <t>下</t>
        </is>
      </c>
      <c r="F23" s="8">
        <f>COUNTIFS(國中!$A:$A,$B23,國中!$E:$E,$C23,國中!$F:$F,"&lt;&gt;",國中!$C:$C,$D23,國中!$D:$D,$E23)</f>
        <v/>
      </c>
      <c r="G23" s="8">
        <f>IF(F23&gt;0,"已查到","未查到")</f>
        <v/>
      </c>
    </row>
    <row r="24">
      <c r="A24" s="8" t="inlineStr">
        <is>
          <t>國中</t>
        </is>
      </c>
      <c r="B24" s="8" t="inlineStr">
        <is>
          <t>翰林</t>
        </is>
      </c>
      <c r="C24" s="8" t="inlineStr">
        <is>
          <t>理化</t>
        </is>
      </c>
      <c r="D24" s="8" t="inlineStr">
        <is>
          <t>9</t>
        </is>
      </c>
      <c r="E24" s="8" t="inlineStr">
        <is>
          <t>上</t>
        </is>
      </c>
      <c r="F24" s="8">
        <f>COUNTIFS(國中!$A:$A,$B24,國中!$E:$E,$C24,國中!$F:$F,"&lt;&gt;",國中!$C:$C,$D24,國中!$D:$D,$E24)</f>
        <v/>
      </c>
      <c r="G24" s="8">
        <f>IF(F24&gt;0,"已查到","未查到")</f>
        <v/>
      </c>
    </row>
    <row r="25">
      <c r="A25" s="8" t="inlineStr">
        <is>
          <t>國中</t>
        </is>
      </c>
      <c r="B25" s="8" t="inlineStr">
        <is>
          <t>翰林</t>
        </is>
      </c>
      <c r="C25" s="8" t="inlineStr">
        <is>
          <t>理化</t>
        </is>
      </c>
      <c r="D25" s="8" t="inlineStr">
        <is>
          <t>9</t>
        </is>
      </c>
      <c r="E25" s="8" t="inlineStr">
        <is>
          <t>下</t>
        </is>
      </c>
      <c r="F25" s="8">
        <f>COUNTIFS(國中!$A:$A,$B25,國中!$E:$E,$C25,國中!$F:$F,"&lt;&gt;",國中!$C:$C,$D25,國中!$D:$D,$E25)</f>
        <v/>
      </c>
      <c r="G25" s="8">
        <f>IF(F25&gt;0,"已查到","未查到")</f>
        <v/>
      </c>
    </row>
    <row r="26">
      <c r="A26" s="8" t="inlineStr">
        <is>
          <t>國中</t>
        </is>
      </c>
      <c r="B26" s="8" t="inlineStr">
        <is>
          <t>翰林</t>
        </is>
      </c>
      <c r="C26" s="8" t="inlineStr">
        <is>
          <t>地球科學</t>
        </is>
      </c>
      <c r="D26" s="8" t="inlineStr">
        <is>
          <t>9</t>
        </is>
      </c>
      <c r="E26" s="8" t="inlineStr">
        <is>
          <t>上</t>
        </is>
      </c>
      <c r="F26" s="8">
        <f>COUNTIFS(國中!$A:$A,$B26,國中!$E:$E,$C26,國中!$F:$F,"&lt;&gt;",國中!$C:$C,$D26,國中!$D:$D,$E26)</f>
        <v/>
      </c>
      <c r="G26" s="8">
        <f>IF(F26&gt;0,"已查到","未查到")</f>
        <v/>
      </c>
    </row>
    <row r="27">
      <c r="A27" s="8" t="inlineStr">
        <is>
          <t>國中</t>
        </is>
      </c>
      <c r="B27" s="8" t="inlineStr">
        <is>
          <t>翰林</t>
        </is>
      </c>
      <c r="C27" s="8" t="inlineStr">
        <is>
          <t>地球科學</t>
        </is>
      </c>
      <c r="D27" s="8" t="inlineStr">
        <is>
          <t>9</t>
        </is>
      </c>
      <c r="E27" s="8" t="inlineStr">
        <is>
          <t>下</t>
        </is>
      </c>
      <c r="F27" s="8">
        <f>COUNTIFS(國中!$A:$A,$B27,國中!$E:$E,$C27,國中!$F:$F,"&lt;&gt;",國中!$C:$C,$D27,國中!$D:$D,$E27)</f>
        <v/>
      </c>
      <c r="G27" s="8">
        <f>IF(F27&gt;0,"已查到","未查到")</f>
        <v/>
      </c>
    </row>
    <row r="28">
      <c r="A28" s="8" t="inlineStr">
        <is>
          <t>國中</t>
        </is>
      </c>
      <c r="B28" s="8" t="inlineStr">
        <is>
          <t>翰林</t>
        </is>
      </c>
      <c r="C28" s="8" t="inlineStr">
        <is>
          <t>社會-公民</t>
        </is>
      </c>
      <c r="D28" s="8" t="inlineStr">
        <is>
          <t>7</t>
        </is>
      </c>
      <c r="E28" s="8" t="inlineStr">
        <is>
          <t>上</t>
        </is>
      </c>
      <c r="F28" s="8">
        <f>COUNTIFS(國中!$A:$A,$B28,國中!$E:$E,$C28,國中!$F:$F,"&lt;&gt;",國中!$C:$C,$D28,國中!$D:$D,$E28)</f>
        <v/>
      </c>
      <c r="G28" s="8">
        <f>IF(F28&gt;0,"已查到","未查到")</f>
        <v/>
      </c>
    </row>
    <row r="29">
      <c r="A29" s="8" t="inlineStr">
        <is>
          <t>國中</t>
        </is>
      </c>
      <c r="B29" s="8" t="inlineStr">
        <is>
          <t>翰林</t>
        </is>
      </c>
      <c r="C29" s="8" t="inlineStr">
        <is>
          <t>社會-公民</t>
        </is>
      </c>
      <c r="D29" s="8" t="inlineStr">
        <is>
          <t>7</t>
        </is>
      </c>
      <c r="E29" s="8" t="inlineStr">
        <is>
          <t>下</t>
        </is>
      </c>
      <c r="F29" s="8">
        <f>COUNTIFS(國中!$A:$A,$B29,國中!$E:$E,$C29,國中!$F:$F,"&lt;&gt;",國中!$C:$C,$D29,國中!$D:$D,$E29)</f>
        <v/>
      </c>
      <c r="G29" s="8">
        <f>IF(F29&gt;0,"已查到","未查到")</f>
        <v/>
      </c>
    </row>
    <row r="30">
      <c r="A30" s="8" t="inlineStr">
        <is>
          <t>國中</t>
        </is>
      </c>
      <c r="B30" s="8" t="inlineStr">
        <is>
          <t>翰林</t>
        </is>
      </c>
      <c r="C30" s="8" t="inlineStr">
        <is>
          <t>社會-公民</t>
        </is>
      </c>
      <c r="D30" s="8" t="inlineStr">
        <is>
          <t>8</t>
        </is>
      </c>
      <c r="E30" s="8" t="inlineStr">
        <is>
          <t>上</t>
        </is>
      </c>
      <c r="F30" s="8">
        <f>COUNTIFS(國中!$A:$A,$B30,國中!$E:$E,$C30,國中!$F:$F,"&lt;&gt;",國中!$C:$C,$D30,國中!$D:$D,$E30)</f>
        <v/>
      </c>
      <c r="G30" s="8">
        <f>IF(F30&gt;0,"已查到","未查到")</f>
        <v/>
      </c>
    </row>
    <row r="31">
      <c r="A31" s="8" t="inlineStr">
        <is>
          <t>國中</t>
        </is>
      </c>
      <c r="B31" s="8" t="inlineStr">
        <is>
          <t>翰林</t>
        </is>
      </c>
      <c r="C31" s="8" t="inlineStr">
        <is>
          <t>社會-公民</t>
        </is>
      </c>
      <c r="D31" s="8" t="inlineStr">
        <is>
          <t>8</t>
        </is>
      </c>
      <c r="E31" s="8" t="inlineStr">
        <is>
          <t>下</t>
        </is>
      </c>
      <c r="F31" s="8">
        <f>COUNTIFS(國中!$A:$A,$B31,國中!$E:$E,$C31,國中!$F:$F,"&lt;&gt;",國中!$C:$C,$D31,國中!$D:$D,$E31)</f>
        <v/>
      </c>
      <c r="G31" s="8">
        <f>IF(F31&gt;0,"已查到","未查到")</f>
        <v/>
      </c>
    </row>
    <row r="32">
      <c r="A32" s="8" t="inlineStr">
        <is>
          <t>國中</t>
        </is>
      </c>
      <c r="B32" s="8" t="inlineStr">
        <is>
          <t>翰林</t>
        </is>
      </c>
      <c r="C32" s="8" t="inlineStr">
        <is>
          <t>社會-公民</t>
        </is>
      </c>
      <c r="D32" s="8" t="inlineStr">
        <is>
          <t>9</t>
        </is>
      </c>
      <c r="E32" s="8" t="inlineStr">
        <is>
          <t>上</t>
        </is>
      </c>
      <c r="F32" s="8">
        <f>COUNTIFS(國中!$A:$A,$B32,國中!$E:$E,$C32,國中!$F:$F,"&lt;&gt;",國中!$C:$C,$D32,國中!$D:$D,$E32)</f>
        <v/>
      </c>
      <c r="G32" s="8">
        <f>IF(F32&gt;0,"已查到","未查到")</f>
        <v/>
      </c>
    </row>
    <row r="33">
      <c r="A33" s="8" t="inlineStr">
        <is>
          <t>國中</t>
        </is>
      </c>
      <c r="B33" s="8" t="inlineStr">
        <is>
          <t>翰林</t>
        </is>
      </c>
      <c r="C33" s="8" t="inlineStr">
        <is>
          <t>社會-公民</t>
        </is>
      </c>
      <c r="D33" s="8" t="inlineStr">
        <is>
          <t>9</t>
        </is>
      </c>
      <c r="E33" s="8" t="inlineStr">
        <is>
          <t>下</t>
        </is>
      </c>
      <c r="F33" s="8">
        <f>COUNTIFS(國中!$A:$A,$B33,國中!$E:$E,$C33,國中!$F:$F,"&lt;&gt;",國中!$C:$C,$D33,國中!$D:$D,$E33)</f>
        <v/>
      </c>
      <c r="G33" s="8">
        <f>IF(F33&gt;0,"已查到","未查到")</f>
        <v/>
      </c>
    </row>
    <row r="34">
      <c r="A34" s="8" t="inlineStr">
        <is>
          <t>國中</t>
        </is>
      </c>
      <c r="B34" s="8" t="inlineStr">
        <is>
          <t>翰林</t>
        </is>
      </c>
      <c r="C34" s="8" t="inlineStr">
        <is>
          <t>社會-地理</t>
        </is>
      </c>
      <c r="D34" s="8" t="inlineStr">
        <is>
          <t>7</t>
        </is>
      </c>
      <c r="E34" s="8" t="inlineStr">
        <is>
          <t>上</t>
        </is>
      </c>
      <c r="F34" s="8">
        <f>COUNTIFS(國中!$A:$A,$B34,國中!$E:$E,$C34,國中!$F:$F,"&lt;&gt;",國中!$C:$C,$D34,國中!$D:$D,$E34)</f>
        <v/>
      </c>
      <c r="G34" s="8">
        <f>IF(F34&gt;0,"已查到","未查到")</f>
        <v/>
      </c>
    </row>
    <row r="35">
      <c r="A35" s="8" t="inlineStr">
        <is>
          <t>國中</t>
        </is>
      </c>
      <c r="B35" s="8" t="inlineStr">
        <is>
          <t>翰林</t>
        </is>
      </c>
      <c r="C35" s="8" t="inlineStr">
        <is>
          <t>社會-地理</t>
        </is>
      </c>
      <c r="D35" s="8" t="inlineStr">
        <is>
          <t>7</t>
        </is>
      </c>
      <c r="E35" s="8" t="inlineStr">
        <is>
          <t>下</t>
        </is>
      </c>
      <c r="F35" s="8">
        <f>COUNTIFS(國中!$A:$A,$B35,國中!$E:$E,$C35,國中!$F:$F,"&lt;&gt;",國中!$C:$C,$D35,國中!$D:$D,$E35)</f>
        <v/>
      </c>
      <c r="G35" s="8">
        <f>IF(F35&gt;0,"已查到","未查到")</f>
        <v/>
      </c>
    </row>
    <row r="36">
      <c r="A36" s="8" t="inlineStr">
        <is>
          <t>國中</t>
        </is>
      </c>
      <c r="B36" s="8" t="inlineStr">
        <is>
          <t>翰林</t>
        </is>
      </c>
      <c r="C36" s="8" t="inlineStr">
        <is>
          <t>社會-地理</t>
        </is>
      </c>
      <c r="D36" s="8" t="inlineStr">
        <is>
          <t>8</t>
        </is>
      </c>
      <c r="E36" s="8" t="inlineStr">
        <is>
          <t>上</t>
        </is>
      </c>
      <c r="F36" s="8">
        <f>COUNTIFS(國中!$A:$A,$B36,國中!$E:$E,$C36,國中!$F:$F,"&lt;&gt;",國中!$C:$C,$D36,國中!$D:$D,$E36)</f>
        <v/>
      </c>
      <c r="G36" s="8">
        <f>IF(F36&gt;0,"已查到","未查到")</f>
        <v/>
      </c>
    </row>
    <row r="37">
      <c r="A37" s="8" t="inlineStr">
        <is>
          <t>國中</t>
        </is>
      </c>
      <c r="B37" s="8" t="inlineStr">
        <is>
          <t>翰林</t>
        </is>
      </c>
      <c r="C37" s="8" t="inlineStr">
        <is>
          <t>社會-地理</t>
        </is>
      </c>
      <c r="D37" s="8" t="inlineStr">
        <is>
          <t>8</t>
        </is>
      </c>
      <c r="E37" s="8" t="inlineStr">
        <is>
          <t>下</t>
        </is>
      </c>
      <c r="F37" s="8">
        <f>COUNTIFS(國中!$A:$A,$B37,國中!$E:$E,$C37,國中!$F:$F,"&lt;&gt;",國中!$C:$C,$D37,國中!$D:$D,$E37)</f>
        <v/>
      </c>
      <c r="G37" s="8">
        <f>IF(F37&gt;0,"已查到","未查到")</f>
        <v/>
      </c>
    </row>
    <row r="38">
      <c r="A38" s="8" t="inlineStr">
        <is>
          <t>國中</t>
        </is>
      </c>
      <c r="B38" s="8" t="inlineStr">
        <is>
          <t>翰林</t>
        </is>
      </c>
      <c r="C38" s="8" t="inlineStr">
        <is>
          <t>社會-地理</t>
        </is>
      </c>
      <c r="D38" s="8" t="inlineStr">
        <is>
          <t>9</t>
        </is>
      </c>
      <c r="E38" s="8" t="inlineStr">
        <is>
          <t>上</t>
        </is>
      </c>
      <c r="F38" s="8">
        <f>COUNTIFS(國中!$A:$A,$B38,國中!$E:$E,$C38,國中!$F:$F,"&lt;&gt;",國中!$C:$C,$D38,國中!$D:$D,$E38)</f>
        <v/>
      </c>
      <c r="G38" s="8">
        <f>IF(F38&gt;0,"已查到","未查到")</f>
        <v/>
      </c>
    </row>
    <row r="39">
      <c r="A39" s="8" t="inlineStr">
        <is>
          <t>國中</t>
        </is>
      </c>
      <c r="B39" s="8" t="inlineStr">
        <is>
          <t>翰林</t>
        </is>
      </c>
      <c r="C39" s="8" t="inlineStr">
        <is>
          <t>社會-地理</t>
        </is>
      </c>
      <c r="D39" s="8" t="inlineStr">
        <is>
          <t>9</t>
        </is>
      </c>
      <c r="E39" s="8" t="inlineStr">
        <is>
          <t>下</t>
        </is>
      </c>
      <c r="F39" s="8">
        <f>COUNTIFS(國中!$A:$A,$B39,國中!$E:$E,$C39,國中!$F:$F,"&lt;&gt;",國中!$C:$C,$D39,國中!$D:$D,$E39)</f>
        <v/>
      </c>
      <c r="G39" s="8">
        <f>IF(F39&gt;0,"已查到","未查到")</f>
        <v/>
      </c>
    </row>
    <row r="40">
      <c r="A40" s="8" t="inlineStr">
        <is>
          <t>國中</t>
        </is>
      </c>
      <c r="B40" s="8" t="inlineStr">
        <is>
          <t>翰林</t>
        </is>
      </c>
      <c r="C40" s="8" t="inlineStr">
        <is>
          <t>社會-歷史</t>
        </is>
      </c>
      <c r="D40" s="8" t="inlineStr">
        <is>
          <t>7</t>
        </is>
      </c>
      <c r="E40" s="8" t="inlineStr">
        <is>
          <t>上</t>
        </is>
      </c>
      <c r="F40" s="8">
        <f>COUNTIFS(國中!$A:$A,$B40,國中!$E:$E,$C40,國中!$F:$F,"&lt;&gt;",國中!$C:$C,$D40,國中!$D:$D,$E40)</f>
        <v/>
      </c>
      <c r="G40" s="8">
        <f>IF(F40&gt;0,"已查到","未查到")</f>
        <v/>
      </c>
    </row>
    <row r="41">
      <c r="A41" s="8" t="inlineStr">
        <is>
          <t>國中</t>
        </is>
      </c>
      <c r="B41" s="8" t="inlineStr">
        <is>
          <t>翰林</t>
        </is>
      </c>
      <c r="C41" s="8" t="inlineStr">
        <is>
          <t>社會-歷史</t>
        </is>
      </c>
      <c r="D41" s="8" t="inlineStr">
        <is>
          <t>7</t>
        </is>
      </c>
      <c r="E41" s="8" t="inlineStr">
        <is>
          <t>下</t>
        </is>
      </c>
      <c r="F41" s="8">
        <f>COUNTIFS(國中!$A:$A,$B41,國中!$E:$E,$C41,國中!$F:$F,"&lt;&gt;",國中!$C:$C,$D41,國中!$D:$D,$E41)</f>
        <v/>
      </c>
      <c r="G41" s="8">
        <f>IF(F41&gt;0,"已查到","未查到")</f>
        <v/>
      </c>
    </row>
    <row r="42">
      <c r="A42" s="8" t="inlineStr">
        <is>
          <t>國中</t>
        </is>
      </c>
      <c r="B42" s="8" t="inlineStr">
        <is>
          <t>翰林</t>
        </is>
      </c>
      <c r="C42" s="8" t="inlineStr">
        <is>
          <t>社會-歷史</t>
        </is>
      </c>
      <c r="D42" s="8" t="inlineStr">
        <is>
          <t>8</t>
        </is>
      </c>
      <c r="E42" s="8" t="inlineStr">
        <is>
          <t>上</t>
        </is>
      </c>
      <c r="F42" s="8">
        <f>COUNTIFS(國中!$A:$A,$B42,國中!$E:$E,$C42,國中!$F:$F,"&lt;&gt;",國中!$C:$C,$D42,國中!$D:$D,$E42)</f>
        <v/>
      </c>
      <c r="G42" s="8">
        <f>IF(F42&gt;0,"已查到","未查到")</f>
        <v/>
      </c>
    </row>
    <row r="43">
      <c r="A43" s="8" t="inlineStr">
        <is>
          <t>國中</t>
        </is>
      </c>
      <c r="B43" s="8" t="inlineStr">
        <is>
          <t>翰林</t>
        </is>
      </c>
      <c r="C43" s="8" t="inlineStr">
        <is>
          <t>社會-歷史</t>
        </is>
      </c>
      <c r="D43" s="8" t="inlineStr">
        <is>
          <t>8</t>
        </is>
      </c>
      <c r="E43" s="8" t="inlineStr">
        <is>
          <t>下</t>
        </is>
      </c>
      <c r="F43" s="8">
        <f>COUNTIFS(國中!$A:$A,$B43,國中!$E:$E,$C43,國中!$F:$F,"&lt;&gt;",國中!$C:$C,$D43,國中!$D:$D,$E43)</f>
        <v/>
      </c>
      <c r="G43" s="8">
        <f>IF(F43&gt;0,"已查到","未查到")</f>
        <v/>
      </c>
    </row>
    <row r="44">
      <c r="A44" s="8" t="inlineStr">
        <is>
          <t>國中</t>
        </is>
      </c>
      <c r="B44" s="8" t="inlineStr">
        <is>
          <t>翰林</t>
        </is>
      </c>
      <c r="C44" s="8" t="inlineStr">
        <is>
          <t>社會-歷史</t>
        </is>
      </c>
      <c r="D44" s="8" t="inlineStr">
        <is>
          <t>9</t>
        </is>
      </c>
      <c r="E44" s="8" t="inlineStr">
        <is>
          <t>上</t>
        </is>
      </c>
      <c r="F44" s="8">
        <f>COUNTIFS(國中!$A:$A,$B44,國中!$E:$E,$C44,國中!$F:$F,"&lt;&gt;",國中!$C:$C,$D44,國中!$D:$D,$E44)</f>
        <v/>
      </c>
      <c r="G44" s="8">
        <f>IF(F44&gt;0,"已查到","未查到")</f>
        <v/>
      </c>
    </row>
    <row r="45">
      <c r="A45" s="8" t="inlineStr">
        <is>
          <t>國中</t>
        </is>
      </c>
      <c r="B45" s="8" t="inlineStr">
        <is>
          <t>翰林</t>
        </is>
      </c>
      <c r="C45" s="8" t="inlineStr">
        <is>
          <t>社會-歷史</t>
        </is>
      </c>
      <c r="D45" s="8" t="inlineStr">
        <is>
          <t>9</t>
        </is>
      </c>
      <c r="E45" s="8" t="inlineStr">
        <is>
          <t>下</t>
        </is>
      </c>
      <c r="F45" s="8">
        <f>COUNTIFS(國中!$A:$A,$B45,國中!$E:$E,$C45,國中!$F:$F,"&lt;&gt;",國中!$C:$C,$D45,國中!$D:$D,$E45)</f>
        <v/>
      </c>
      <c r="G45" s="8">
        <f>IF(F45&gt;0,"已查到","未查到")</f>
        <v/>
      </c>
    </row>
    <row r="46">
      <c r="A46" s="8" t="inlineStr">
        <is>
          <t>國中</t>
        </is>
      </c>
      <c r="B46" s="8" t="inlineStr">
        <is>
          <t>康軒</t>
        </is>
      </c>
      <c r="C46" s="8" t="inlineStr">
        <is>
          <t>國文</t>
        </is>
      </c>
      <c r="D46" s="8" t="inlineStr">
        <is>
          <t>7</t>
        </is>
      </c>
      <c r="E46" s="8" t="inlineStr">
        <is>
          <t>上</t>
        </is>
      </c>
      <c r="F46" s="8">
        <f>COUNTIFS(國中!$A:$A,$B46,國中!$E:$E,$C46,國中!$F:$F,"&lt;&gt;",國中!$C:$C,$D46,國中!$D:$D,$E46)</f>
        <v/>
      </c>
      <c r="G46" s="8">
        <f>IF(F46&gt;0,"已查到","未查到")</f>
        <v/>
      </c>
    </row>
    <row r="47">
      <c r="A47" s="8" t="inlineStr">
        <is>
          <t>國中</t>
        </is>
      </c>
      <c r="B47" s="8" t="inlineStr">
        <is>
          <t>康軒</t>
        </is>
      </c>
      <c r="C47" s="8" t="inlineStr">
        <is>
          <t>國文</t>
        </is>
      </c>
      <c r="D47" s="8" t="inlineStr">
        <is>
          <t>7</t>
        </is>
      </c>
      <c r="E47" s="8" t="inlineStr">
        <is>
          <t>下</t>
        </is>
      </c>
      <c r="F47" s="8">
        <f>COUNTIFS(國中!$A:$A,$B47,國中!$E:$E,$C47,國中!$F:$F,"&lt;&gt;",國中!$C:$C,$D47,國中!$D:$D,$E47)</f>
        <v/>
      </c>
      <c r="G47" s="8">
        <f>IF(F47&gt;0,"已查到","未查到")</f>
        <v/>
      </c>
    </row>
    <row r="48">
      <c r="A48" s="8" t="inlineStr">
        <is>
          <t>國中</t>
        </is>
      </c>
      <c r="B48" s="8" t="inlineStr">
        <is>
          <t>康軒</t>
        </is>
      </c>
      <c r="C48" s="8" t="inlineStr">
        <is>
          <t>國文</t>
        </is>
      </c>
      <c r="D48" s="8" t="inlineStr">
        <is>
          <t>8</t>
        </is>
      </c>
      <c r="E48" s="8" t="inlineStr">
        <is>
          <t>上</t>
        </is>
      </c>
      <c r="F48" s="8">
        <f>COUNTIFS(國中!$A:$A,$B48,國中!$E:$E,$C48,國中!$F:$F,"&lt;&gt;",國中!$C:$C,$D48,國中!$D:$D,$E48)</f>
        <v/>
      </c>
      <c r="G48" s="8">
        <f>IF(F48&gt;0,"已查到","未查到")</f>
        <v/>
      </c>
    </row>
    <row r="49">
      <c r="A49" s="8" t="inlineStr">
        <is>
          <t>國中</t>
        </is>
      </c>
      <c r="B49" s="8" t="inlineStr">
        <is>
          <t>康軒</t>
        </is>
      </c>
      <c r="C49" s="8" t="inlineStr">
        <is>
          <t>國文</t>
        </is>
      </c>
      <c r="D49" s="8" t="inlineStr">
        <is>
          <t>8</t>
        </is>
      </c>
      <c r="E49" s="8" t="inlineStr">
        <is>
          <t>下</t>
        </is>
      </c>
      <c r="F49" s="8">
        <f>COUNTIFS(國中!$A:$A,$B49,國中!$E:$E,$C49,國中!$F:$F,"&lt;&gt;",國中!$C:$C,$D49,國中!$D:$D,$E49)</f>
        <v/>
      </c>
      <c r="G49" s="8">
        <f>IF(F49&gt;0,"已查到","未查到")</f>
        <v/>
      </c>
    </row>
    <row r="50">
      <c r="A50" s="8" t="inlineStr">
        <is>
          <t>國中</t>
        </is>
      </c>
      <c r="B50" s="8" t="inlineStr">
        <is>
          <t>康軒</t>
        </is>
      </c>
      <c r="C50" s="8" t="inlineStr">
        <is>
          <t>國文</t>
        </is>
      </c>
      <c r="D50" s="8" t="inlineStr">
        <is>
          <t>9</t>
        </is>
      </c>
      <c r="E50" s="8" t="inlineStr">
        <is>
          <t>上</t>
        </is>
      </c>
      <c r="F50" s="8">
        <f>COUNTIFS(國中!$A:$A,$B50,國中!$E:$E,$C50,國中!$F:$F,"&lt;&gt;",國中!$C:$C,$D50,國中!$D:$D,$E50)</f>
        <v/>
      </c>
      <c r="G50" s="8">
        <f>IF(F50&gt;0,"已查到","未查到")</f>
        <v/>
      </c>
    </row>
    <row r="51">
      <c r="A51" s="8" t="inlineStr">
        <is>
          <t>國中</t>
        </is>
      </c>
      <c r="B51" s="8" t="inlineStr">
        <is>
          <t>康軒</t>
        </is>
      </c>
      <c r="C51" s="8" t="inlineStr">
        <is>
          <t>國文</t>
        </is>
      </c>
      <c r="D51" s="8" t="inlineStr">
        <is>
          <t>9</t>
        </is>
      </c>
      <c r="E51" s="8" t="inlineStr">
        <is>
          <t>下</t>
        </is>
      </c>
      <c r="F51" s="8">
        <f>COUNTIFS(國中!$A:$A,$B51,國中!$E:$E,$C51,國中!$F:$F,"&lt;&gt;",國中!$C:$C,$D51,國中!$D:$D,$E51)</f>
        <v/>
      </c>
      <c r="G51" s="8">
        <f>IF(F51&gt;0,"已查到","未查到")</f>
        <v/>
      </c>
    </row>
    <row r="52">
      <c r="A52" s="8" t="inlineStr">
        <is>
          <t>國中</t>
        </is>
      </c>
      <c r="B52" s="8" t="inlineStr">
        <is>
          <t>康軒</t>
        </is>
      </c>
      <c r="C52" s="8" t="inlineStr">
        <is>
          <t>英文</t>
        </is>
      </c>
      <c r="D52" s="8" t="inlineStr">
        <is>
          <t>7</t>
        </is>
      </c>
      <c r="E52" s="8" t="inlineStr">
        <is>
          <t>上</t>
        </is>
      </c>
      <c r="F52" s="8">
        <f>COUNTIFS(國中!$A:$A,$B52,國中!$E:$E,$C52,國中!$F:$F,"&lt;&gt;",國中!$C:$C,$D52,國中!$D:$D,$E52)</f>
        <v/>
      </c>
      <c r="G52" s="8">
        <f>IF(F52&gt;0,"已查到","未查到")</f>
        <v/>
      </c>
    </row>
    <row r="53">
      <c r="A53" s="8" t="inlineStr">
        <is>
          <t>國中</t>
        </is>
      </c>
      <c r="B53" s="8" t="inlineStr">
        <is>
          <t>康軒</t>
        </is>
      </c>
      <c r="C53" s="8" t="inlineStr">
        <is>
          <t>英文</t>
        </is>
      </c>
      <c r="D53" s="8" t="inlineStr">
        <is>
          <t>7</t>
        </is>
      </c>
      <c r="E53" s="8" t="inlineStr">
        <is>
          <t>下</t>
        </is>
      </c>
      <c r="F53" s="8">
        <f>COUNTIFS(國中!$A:$A,$B53,國中!$E:$E,$C53,國中!$F:$F,"&lt;&gt;",國中!$C:$C,$D53,國中!$D:$D,$E53)</f>
        <v/>
      </c>
      <c r="G53" s="8">
        <f>IF(F53&gt;0,"已查到","未查到")</f>
        <v/>
      </c>
    </row>
    <row r="54">
      <c r="A54" s="8" t="inlineStr">
        <is>
          <t>國中</t>
        </is>
      </c>
      <c r="B54" s="8" t="inlineStr">
        <is>
          <t>康軒</t>
        </is>
      </c>
      <c r="C54" s="8" t="inlineStr">
        <is>
          <t>英文</t>
        </is>
      </c>
      <c r="D54" s="8" t="inlineStr">
        <is>
          <t>8</t>
        </is>
      </c>
      <c r="E54" s="8" t="inlineStr">
        <is>
          <t>上</t>
        </is>
      </c>
      <c r="F54" s="8">
        <f>COUNTIFS(國中!$A:$A,$B54,國中!$E:$E,$C54,國中!$F:$F,"&lt;&gt;",國中!$C:$C,$D54,國中!$D:$D,$E54)</f>
        <v/>
      </c>
      <c r="G54" s="8">
        <f>IF(F54&gt;0,"已查到","未查到")</f>
        <v/>
      </c>
    </row>
    <row r="55">
      <c r="A55" s="8" t="inlineStr">
        <is>
          <t>國中</t>
        </is>
      </c>
      <c r="B55" s="8" t="inlineStr">
        <is>
          <t>康軒</t>
        </is>
      </c>
      <c r="C55" s="8" t="inlineStr">
        <is>
          <t>英文</t>
        </is>
      </c>
      <c r="D55" s="8" t="inlineStr">
        <is>
          <t>8</t>
        </is>
      </c>
      <c r="E55" s="8" t="inlineStr">
        <is>
          <t>下</t>
        </is>
      </c>
      <c r="F55" s="8">
        <f>COUNTIFS(國中!$A:$A,$B55,國中!$E:$E,$C55,國中!$F:$F,"&lt;&gt;",國中!$C:$C,$D55,國中!$D:$D,$E55)</f>
        <v/>
      </c>
      <c r="G55" s="8">
        <f>IF(F55&gt;0,"已查到","未查到")</f>
        <v/>
      </c>
    </row>
    <row r="56">
      <c r="A56" s="8" t="inlineStr">
        <is>
          <t>國中</t>
        </is>
      </c>
      <c r="B56" s="8" t="inlineStr">
        <is>
          <t>康軒</t>
        </is>
      </c>
      <c r="C56" s="8" t="inlineStr">
        <is>
          <t>英文</t>
        </is>
      </c>
      <c r="D56" s="8" t="inlineStr">
        <is>
          <t>9</t>
        </is>
      </c>
      <c r="E56" s="8" t="inlineStr">
        <is>
          <t>上</t>
        </is>
      </c>
      <c r="F56" s="8">
        <f>COUNTIFS(國中!$A:$A,$B56,國中!$E:$E,$C56,國中!$F:$F,"&lt;&gt;",國中!$C:$C,$D56,國中!$D:$D,$E56)</f>
        <v/>
      </c>
      <c r="G56" s="8">
        <f>IF(F56&gt;0,"已查到","未查到")</f>
        <v/>
      </c>
    </row>
    <row r="57">
      <c r="A57" s="8" t="inlineStr">
        <is>
          <t>國中</t>
        </is>
      </c>
      <c r="B57" s="8" t="inlineStr">
        <is>
          <t>康軒</t>
        </is>
      </c>
      <c r="C57" s="8" t="inlineStr">
        <is>
          <t>英文</t>
        </is>
      </c>
      <c r="D57" s="8" t="inlineStr">
        <is>
          <t>9</t>
        </is>
      </c>
      <c r="E57" s="8" t="inlineStr">
        <is>
          <t>下</t>
        </is>
      </c>
      <c r="F57" s="8">
        <f>COUNTIFS(國中!$A:$A,$B57,國中!$E:$E,$C57,國中!$F:$F,"&lt;&gt;",國中!$C:$C,$D57,國中!$D:$D,$E57)</f>
        <v/>
      </c>
      <c r="G57" s="8">
        <f>IF(F57&gt;0,"已查到","未查到")</f>
        <v/>
      </c>
    </row>
    <row r="58">
      <c r="A58" s="8" t="inlineStr">
        <is>
          <t>國中</t>
        </is>
      </c>
      <c r="B58" s="8" t="inlineStr">
        <is>
          <t>康軒</t>
        </is>
      </c>
      <c r="C58" s="8" t="inlineStr">
        <is>
          <t>數學</t>
        </is>
      </c>
      <c r="D58" s="8" t="inlineStr">
        <is>
          <t>7</t>
        </is>
      </c>
      <c r="E58" s="8" t="inlineStr">
        <is>
          <t>上</t>
        </is>
      </c>
      <c r="F58" s="8">
        <f>COUNTIFS(國中!$A:$A,$B58,國中!$E:$E,$C58,國中!$F:$F,"&lt;&gt;",國中!$C:$C,$D58,國中!$D:$D,$E58)</f>
        <v/>
      </c>
      <c r="G58" s="8">
        <f>IF(F58&gt;0,"已查到","未查到")</f>
        <v/>
      </c>
    </row>
    <row r="59">
      <c r="A59" s="8" t="inlineStr">
        <is>
          <t>國中</t>
        </is>
      </c>
      <c r="B59" s="8" t="inlineStr">
        <is>
          <t>康軒</t>
        </is>
      </c>
      <c r="C59" s="8" t="inlineStr">
        <is>
          <t>數學</t>
        </is>
      </c>
      <c r="D59" s="8" t="inlineStr">
        <is>
          <t>7</t>
        </is>
      </c>
      <c r="E59" s="8" t="inlineStr">
        <is>
          <t>下</t>
        </is>
      </c>
      <c r="F59" s="8">
        <f>COUNTIFS(國中!$A:$A,$B59,國中!$E:$E,$C59,國中!$F:$F,"&lt;&gt;",國中!$C:$C,$D59,國中!$D:$D,$E59)</f>
        <v/>
      </c>
      <c r="G59" s="8">
        <f>IF(F59&gt;0,"已查到","未查到")</f>
        <v/>
      </c>
    </row>
    <row r="60">
      <c r="A60" s="8" t="inlineStr">
        <is>
          <t>國中</t>
        </is>
      </c>
      <c r="B60" s="8" t="inlineStr">
        <is>
          <t>康軒</t>
        </is>
      </c>
      <c r="C60" s="8" t="inlineStr">
        <is>
          <t>數學</t>
        </is>
      </c>
      <c r="D60" s="8" t="inlineStr">
        <is>
          <t>8</t>
        </is>
      </c>
      <c r="E60" s="8" t="inlineStr">
        <is>
          <t>上</t>
        </is>
      </c>
      <c r="F60" s="8">
        <f>COUNTIFS(國中!$A:$A,$B60,國中!$E:$E,$C60,國中!$F:$F,"&lt;&gt;",國中!$C:$C,$D60,國中!$D:$D,$E60)</f>
        <v/>
      </c>
      <c r="G60" s="8">
        <f>IF(F60&gt;0,"已查到","未查到")</f>
        <v/>
      </c>
    </row>
    <row r="61">
      <c r="A61" s="8" t="inlineStr">
        <is>
          <t>國中</t>
        </is>
      </c>
      <c r="B61" s="8" t="inlineStr">
        <is>
          <t>康軒</t>
        </is>
      </c>
      <c r="C61" s="8" t="inlineStr">
        <is>
          <t>數學</t>
        </is>
      </c>
      <c r="D61" s="8" t="inlineStr">
        <is>
          <t>8</t>
        </is>
      </c>
      <c r="E61" s="8" t="inlineStr">
        <is>
          <t>下</t>
        </is>
      </c>
      <c r="F61" s="8">
        <f>COUNTIFS(國中!$A:$A,$B61,國中!$E:$E,$C61,國中!$F:$F,"&lt;&gt;",國中!$C:$C,$D61,國中!$D:$D,$E61)</f>
        <v/>
      </c>
      <c r="G61" s="8">
        <f>IF(F61&gt;0,"已查到","未查到")</f>
        <v/>
      </c>
    </row>
    <row r="62">
      <c r="A62" s="8" t="inlineStr">
        <is>
          <t>國中</t>
        </is>
      </c>
      <c r="B62" s="8" t="inlineStr">
        <is>
          <t>康軒</t>
        </is>
      </c>
      <c r="C62" s="8" t="inlineStr">
        <is>
          <t>數學</t>
        </is>
      </c>
      <c r="D62" s="8" t="inlineStr">
        <is>
          <t>9</t>
        </is>
      </c>
      <c r="E62" s="8" t="inlineStr">
        <is>
          <t>上</t>
        </is>
      </c>
      <c r="F62" s="8">
        <f>COUNTIFS(國中!$A:$A,$B62,國中!$E:$E,$C62,國中!$F:$F,"&lt;&gt;",國中!$C:$C,$D62,國中!$D:$D,$E62)</f>
        <v/>
      </c>
      <c r="G62" s="8">
        <f>IF(F62&gt;0,"已查到","未查到")</f>
        <v/>
      </c>
    </row>
    <row r="63">
      <c r="A63" s="8" t="inlineStr">
        <is>
          <t>國中</t>
        </is>
      </c>
      <c r="B63" s="8" t="inlineStr">
        <is>
          <t>康軒</t>
        </is>
      </c>
      <c r="C63" s="8" t="inlineStr">
        <is>
          <t>數學</t>
        </is>
      </c>
      <c r="D63" s="8" t="inlineStr">
        <is>
          <t>9</t>
        </is>
      </c>
      <c r="E63" s="8" t="inlineStr">
        <is>
          <t>下</t>
        </is>
      </c>
      <c r="F63" s="8">
        <f>COUNTIFS(國中!$A:$A,$B63,國中!$E:$E,$C63,國中!$F:$F,"&lt;&gt;",國中!$C:$C,$D63,國中!$D:$D,$E63)</f>
        <v/>
      </c>
      <c r="G63" s="8">
        <f>IF(F63&gt;0,"已查到","未查到")</f>
        <v/>
      </c>
    </row>
    <row r="64">
      <c r="A64" s="8" t="inlineStr">
        <is>
          <t>國中</t>
        </is>
      </c>
      <c r="B64" s="8" t="inlineStr">
        <is>
          <t>康軒</t>
        </is>
      </c>
      <c r="C64" s="8" t="inlineStr">
        <is>
          <t>生物</t>
        </is>
      </c>
      <c r="D64" s="8" t="inlineStr">
        <is>
          <t>7</t>
        </is>
      </c>
      <c r="E64" s="8" t="inlineStr">
        <is>
          <t>上</t>
        </is>
      </c>
      <c r="F64" s="8">
        <f>COUNTIFS(國中!$A:$A,$B64,國中!$E:$E,$C64,國中!$F:$F,"&lt;&gt;",國中!$C:$C,$D64,國中!$D:$D,$E64)</f>
        <v/>
      </c>
      <c r="G64" s="8">
        <f>IF(F64&gt;0,"已查到","未查到")</f>
        <v/>
      </c>
    </row>
    <row r="65">
      <c r="A65" s="8" t="inlineStr">
        <is>
          <t>國中</t>
        </is>
      </c>
      <c r="B65" s="8" t="inlineStr">
        <is>
          <t>康軒</t>
        </is>
      </c>
      <c r="C65" s="8" t="inlineStr">
        <is>
          <t>生物</t>
        </is>
      </c>
      <c r="D65" s="8" t="inlineStr">
        <is>
          <t>7</t>
        </is>
      </c>
      <c r="E65" s="8" t="inlineStr">
        <is>
          <t>下</t>
        </is>
      </c>
      <c r="F65" s="8">
        <f>COUNTIFS(國中!$A:$A,$B65,國中!$E:$E,$C65,國中!$F:$F,"&lt;&gt;",國中!$C:$C,$D65,國中!$D:$D,$E65)</f>
        <v/>
      </c>
      <c r="G65" s="8">
        <f>IF(F65&gt;0,"已查到","未查到")</f>
        <v/>
      </c>
    </row>
    <row r="66">
      <c r="A66" s="8" t="inlineStr">
        <is>
          <t>國中</t>
        </is>
      </c>
      <c r="B66" s="8" t="inlineStr">
        <is>
          <t>康軒</t>
        </is>
      </c>
      <c r="C66" s="8" t="inlineStr">
        <is>
          <t>理化</t>
        </is>
      </c>
      <c r="D66" s="8" t="inlineStr">
        <is>
          <t>8</t>
        </is>
      </c>
      <c r="E66" s="8" t="inlineStr">
        <is>
          <t>上</t>
        </is>
      </c>
      <c r="F66" s="8">
        <f>COUNTIFS(國中!$A:$A,$B66,國中!$E:$E,$C66,國中!$F:$F,"&lt;&gt;",國中!$C:$C,$D66,國中!$D:$D,$E66)</f>
        <v/>
      </c>
      <c r="G66" s="8">
        <f>IF(F66&gt;0,"已查到","未查到")</f>
        <v/>
      </c>
    </row>
    <row r="67">
      <c r="A67" s="8" t="inlineStr">
        <is>
          <t>國中</t>
        </is>
      </c>
      <c r="B67" s="8" t="inlineStr">
        <is>
          <t>康軒</t>
        </is>
      </c>
      <c r="C67" s="8" t="inlineStr">
        <is>
          <t>理化</t>
        </is>
      </c>
      <c r="D67" s="8" t="inlineStr">
        <is>
          <t>8</t>
        </is>
      </c>
      <c r="E67" s="8" t="inlineStr">
        <is>
          <t>下</t>
        </is>
      </c>
      <c r="F67" s="8">
        <f>COUNTIFS(國中!$A:$A,$B67,國中!$E:$E,$C67,國中!$F:$F,"&lt;&gt;",國中!$C:$C,$D67,國中!$D:$D,$E67)</f>
        <v/>
      </c>
      <c r="G67" s="8">
        <f>IF(F67&gt;0,"已查到","未查到")</f>
        <v/>
      </c>
    </row>
    <row r="68">
      <c r="A68" s="8" t="inlineStr">
        <is>
          <t>國中</t>
        </is>
      </c>
      <c r="B68" s="8" t="inlineStr">
        <is>
          <t>康軒</t>
        </is>
      </c>
      <c r="C68" s="8" t="inlineStr">
        <is>
          <t>理化</t>
        </is>
      </c>
      <c r="D68" s="8" t="inlineStr">
        <is>
          <t>9</t>
        </is>
      </c>
      <c r="E68" s="8" t="inlineStr">
        <is>
          <t>上</t>
        </is>
      </c>
      <c r="F68" s="8">
        <f>COUNTIFS(國中!$A:$A,$B68,國中!$E:$E,$C68,國中!$F:$F,"&lt;&gt;",國中!$C:$C,$D68,國中!$D:$D,$E68)</f>
        <v/>
      </c>
      <c r="G68" s="8">
        <f>IF(F68&gt;0,"已查到","未查到")</f>
        <v/>
      </c>
    </row>
    <row r="69">
      <c r="A69" s="8" t="inlineStr">
        <is>
          <t>國中</t>
        </is>
      </c>
      <c r="B69" s="8" t="inlineStr">
        <is>
          <t>康軒</t>
        </is>
      </c>
      <c r="C69" s="8" t="inlineStr">
        <is>
          <t>理化</t>
        </is>
      </c>
      <c r="D69" s="8" t="inlineStr">
        <is>
          <t>9</t>
        </is>
      </c>
      <c r="E69" s="8" t="inlineStr">
        <is>
          <t>下</t>
        </is>
      </c>
      <c r="F69" s="8">
        <f>COUNTIFS(國中!$A:$A,$B69,國中!$E:$E,$C69,國中!$F:$F,"&lt;&gt;",國中!$C:$C,$D69,國中!$D:$D,$E69)</f>
        <v/>
      </c>
      <c r="G69" s="8">
        <f>IF(F69&gt;0,"已查到","未查到")</f>
        <v/>
      </c>
    </row>
    <row r="70">
      <c r="A70" s="8" t="inlineStr">
        <is>
          <t>國中</t>
        </is>
      </c>
      <c r="B70" s="8" t="inlineStr">
        <is>
          <t>康軒</t>
        </is>
      </c>
      <c r="C70" s="8" t="inlineStr">
        <is>
          <t>地球科學</t>
        </is>
      </c>
      <c r="D70" s="8" t="inlineStr">
        <is>
          <t>9</t>
        </is>
      </c>
      <c r="E70" s="8" t="inlineStr">
        <is>
          <t>上</t>
        </is>
      </c>
      <c r="F70" s="8">
        <f>COUNTIFS(國中!$A:$A,$B70,國中!$E:$E,$C70,國中!$F:$F,"&lt;&gt;",國中!$C:$C,$D70,國中!$D:$D,$E70)</f>
        <v/>
      </c>
      <c r="G70" s="8">
        <f>IF(F70&gt;0,"已查到","未查到")</f>
        <v/>
      </c>
    </row>
    <row r="71">
      <c r="A71" s="8" t="inlineStr">
        <is>
          <t>國中</t>
        </is>
      </c>
      <c r="B71" s="8" t="inlineStr">
        <is>
          <t>康軒</t>
        </is>
      </c>
      <c r="C71" s="8" t="inlineStr">
        <is>
          <t>地球科學</t>
        </is>
      </c>
      <c r="D71" s="8" t="inlineStr">
        <is>
          <t>9</t>
        </is>
      </c>
      <c r="E71" s="8" t="inlineStr">
        <is>
          <t>下</t>
        </is>
      </c>
      <c r="F71" s="8">
        <f>COUNTIFS(國中!$A:$A,$B71,國中!$E:$E,$C71,國中!$F:$F,"&lt;&gt;",國中!$C:$C,$D71,國中!$D:$D,$E71)</f>
        <v/>
      </c>
      <c r="G71" s="8">
        <f>IF(F71&gt;0,"已查到","未查到")</f>
        <v/>
      </c>
    </row>
    <row r="72">
      <c r="A72" s="8" t="inlineStr">
        <is>
          <t>國中</t>
        </is>
      </c>
      <c r="B72" s="8" t="inlineStr">
        <is>
          <t>康軒</t>
        </is>
      </c>
      <c r="C72" s="8" t="inlineStr">
        <is>
          <t>歷史</t>
        </is>
      </c>
      <c r="D72" s="8" t="inlineStr">
        <is>
          <t>7</t>
        </is>
      </c>
      <c r="E72" s="8" t="inlineStr">
        <is>
          <t>上</t>
        </is>
      </c>
      <c r="F72" s="8">
        <f>COUNTIFS(國中!$A:$A,$B72,國中!$E:$E,$C72,國中!$F:$F,"&lt;&gt;",國中!$C:$C,$D72,國中!$D:$D,$E72)</f>
        <v/>
      </c>
      <c r="G72" s="8">
        <f>IF(F72&gt;0,"已查到","未查到")</f>
        <v/>
      </c>
    </row>
    <row r="73">
      <c r="A73" s="8" t="inlineStr">
        <is>
          <t>國中</t>
        </is>
      </c>
      <c r="B73" s="8" t="inlineStr">
        <is>
          <t>康軒</t>
        </is>
      </c>
      <c r="C73" s="8" t="inlineStr">
        <is>
          <t>歷史</t>
        </is>
      </c>
      <c r="D73" s="8" t="inlineStr">
        <is>
          <t>7</t>
        </is>
      </c>
      <c r="E73" s="8" t="inlineStr">
        <is>
          <t>下</t>
        </is>
      </c>
      <c r="F73" s="8">
        <f>COUNTIFS(國中!$A:$A,$B73,國中!$E:$E,$C73,國中!$F:$F,"&lt;&gt;",國中!$C:$C,$D73,國中!$D:$D,$E73)</f>
        <v/>
      </c>
      <c r="G73" s="8">
        <f>IF(F73&gt;0,"已查到","未查到")</f>
        <v/>
      </c>
    </row>
    <row r="74">
      <c r="A74" s="8" t="inlineStr">
        <is>
          <t>國中</t>
        </is>
      </c>
      <c r="B74" s="8" t="inlineStr">
        <is>
          <t>康軒</t>
        </is>
      </c>
      <c r="C74" s="8" t="inlineStr">
        <is>
          <t>歷史</t>
        </is>
      </c>
      <c r="D74" s="8" t="inlineStr">
        <is>
          <t>8</t>
        </is>
      </c>
      <c r="E74" s="8" t="inlineStr">
        <is>
          <t>上</t>
        </is>
      </c>
      <c r="F74" s="8">
        <f>COUNTIFS(國中!$A:$A,$B74,國中!$E:$E,$C74,國中!$F:$F,"&lt;&gt;",國中!$C:$C,$D74,國中!$D:$D,$E74)</f>
        <v/>
      </c>
      <c r="G74" s="8">
        <f>IF(F74&gt;0,"已查到","未查到")</f>
        <v/>
      </c>
    </row>
    <row r="75">
      <c r="A75" s="8" t="inlineStr">
        <is>
          <t>國中</t>
        </is>
      </c>
      <c r="B75" s="8" t="inlineStr">
        <is>
          <t>康軒</t>
        </is>
      </c>
      <c r="C75" s="8" t="inlineStr">
        <is>
          <t>歷史</t>
        </is>
      </c>
      <c r="D75" s="8" t="inlineStr">
        <is>
          <t>8</t>
        </is>
      </c>
      <c r="E75" s="8" t="inlineStr">
        <is>
          <t>下</t>
        </is>
      </c>
      <c r="F75" s="8">
        <f>COUNTIFS(國中!$A:$A,$B75,國中!$E:$E,$C75,國中!$F:$F,"&lt;&gt;",國中!$C:$C,$D75,國中!$D:$D,$E75)</f>
        <v/>
      </c>
      <c r="G75" s="8">
        <f>IF(F75&gt;0,"已查到","未查到")</f>
        <v/>
      </c>
    </row>
    <row r="76">
      <c r="A76" s="8" t="inlineStr">
        <is>
          <t>國中</t>
        </is>
      </c>
      <c r="B76" s="8" t="inlineStr">
        <is>
          <t>康軒</t>
        </is>
      </c>
      <c r="C76" s="8" t="inlineStr">
        <is>
          <t>歷史</t>
        </is>
      </c>
      <c r="D76" s="8" t="inlineStr">
        <is>
          <t>9</t>
        </is>
      </c>
      <c r="E76" s="8" t="inlineStr">
        <is>
          <t>上</t>
        </is>
      </c>
      <c r="F76" s="8">
        <f>COUNTIFS(國中!$A:$A,$B76,國中!$E:$E,$C76,國中!$F:$F,"&lt;&gt;",國中!$C:$C,$D76,國中!$D:$D,$E76)</f>
        <v/>
      </c>
      <c r="G76" s="8">
        <f>IF(F76&gt;0,"已查到","未查到")</f>
        <v/>
      </c>
    </row>
    <row r="77">
      <c r="A77" s="8" t="inlineStr">
        <is>
          <t>國中</t>
        </is>
      </c>
      <c r="B77" s="8" t="inlineStr">
        <is>
          <t>康軒</t>
        </is>
      </c>
      <c r="C77" s="8" t="inlineStr">
        <is>
          <t>歷史</t>
        </is>
      </c>
      <c r="D77" s="8" t="inlineStr">
        <is>
          <t>9</t>
        </is>
      </c>
      <c r="E77" s="8" t="inlineStr">
        <is>
          <t>下</t>
        </is>
      </c>
      <c r="F77" s="8">
        <f>COUNTIFS(國中!$A:$A,$B77,國中!$E:$E,$C77,國中!$F:$F,"&lt;&gt;",國中!$C:$C,$D77,國中!$D:$D,$E77)</f>
        <v/>
      </c>
      <c r="G77" s="8">
        <f>IF(F77&gt;0,"已查到","未查到")</f>
        <v/>
      </c>
    </row>
    <row r="78">
      <c r="A78" s="8" t="inlineStr">
        <is>
          <t>國中</t>
        </is>
      </c>
      <c r="B78" s="8" t="inlineStr">
        <is>
          <t>康軒</t>
        </is>
      </c>
      <c r="C78" s="8" t="inlineStr">
        <is>
          <t>地理</t>
        </is>
      </c>
      <c r="D78" s="8" t="inlineStr">
        <is>
          <t>7</t>
        </is>
      </c>
      <c r="E78" s="8" t="inlineStr">
        <is>
          <t>上</t>
        </is>
      </c>
      <c r="F78" s="8">
        <f>COUNTIFS(國中!$A:$A,$B78,國中!$E:$E,$C78,國中!$F:$F,"&lt;&gt;",國中!$C:$C,$D78,國中!$D:$D,$E78)</f>
        <v/>
      </c>
      <c r="G78" s="8">
        <f>IF(F78&gt;0,"已查到","未查到")</f>
        <v/>
      </c>
    </row>
    <row r="79">
      <c r="A79" s="8" t="inlineStr">
        <is>
          <t>國中</t>
        </is>
      </c>
      <c r="B79" s="8" t="inlineStr">
        <is>
          <t>康軒</t>
        </is>
      </c>
      <c r="C79" s="8" t="inlineStr">
        <is>
          <t>地理</t>
        </is>
      </c>
      <c r="D79" s="8" t="inlineStr">
        <is>
          <t>7</t>
        </is>
      </c>
      <c r="E79" s="8" t="inlineStr">
        <is>
          <t>下</t>
        </is>
      </c>
      <c r="F79" s="8">
        <f>COUNTIFS(國中!$A:$A,$B79,國中!$E:$E,$C79,國中!$F:$F,"&lt;&gt;",國中!$C:$C,$D79,國中!$D:$D,$E79)</f>
        <v/>
      </c>
      <c r="G79" s="8">
        <f>IF(F79&gt;0,"已查到","未查到")</f>
        <v/>
      </c>
    </row>
    <row r="80">
      <c r="A80" s="8" t="inlineStr">
        <is>
          <t>國中</t>
        </is>
      </c>
      <c r="B80" s="8" t="inlineStr">
        <is>
          <t>康軒</t>
        </is>
      </c>
      <c r="C80" s="8" t="inlineStr">
        <is>
          <t>地理</t>
        </is>
      </c>
      <c r="D80" s="8" t="inlineStr">
        <is>
          <t>8</t>
        </is>
      </c>
      <c r="E80" s="8" t="inlineStr">
        <is>
          <t>上</t>
        </is>
      </c>
      <c r="F80" s="8">
        <f>COUNTIFS(國中!$A:$A,$B80,國中!$E:$E,$C80,國中!$F:$F,"&lt;&gt;",國中!$C:$C,$D80,國中!$D:$D,$E80)</f>
        <v/>
      </c>
      <c r="G80" s="8">
        <f>IF(F80&gt;0,"已查到","未查到")</f>
        <v/>
      </c>
    </row>
    <row r="81">
      <c r="A81" s="8" t="inlineStr">
        <is>
          <t>國中</t>
        </is>
      </c>
      <c r="B81" s="8" t="inlineStr">
        <is>
          <t>康軒</t>
        </is>
      </c>
      <c r="C81" s="8" t="inlineStr">
        <is>
          <t>地理</t>
        </is>
      </c>
      <c r="D81" s="8" t="inlineStr">
        <is>
          <t>8</t>
        </is>
      </c>
      <c r="E81" s="8" t="inlineStr">
        <is>
          <t>下</t>
        </is>
      </c>
      <c r="F81" s="8">
        <f>COUNTIFS(國中!$A:$A,$B81,國中!$E:$E,$C81,國中!$F:$F,"&lt;&gt;",國中!$C:$C,$D81,國中!$D:$D,$E81)</f>
        <v/>
      </c>
      <c r="G81" s="8">
        <f>IF(F81&gt;0,"已查到","未查到")</f>
        <v/>
      </c>
    </row>
    <row r="82">
      <c r="A82" s="8" t="inlineStr">
        <is>
          <t>國中</t>
        </is>
      </c>
      <c r="B82" s="8" t="inlineStr">
        <is>
          <t>康軒</t>
        </is>
      </c>
      <c r="C82" s="8" t="inlineStr">
        <is>
          <t>地理</t>
        </is>
      </c>
      <c r="D82" s="8" t="inlineStr">
        <is>
          <t>9</t>
        </is>
      </c>
      <c r="E82" s="8" t="inlineStr">
        <is>
          <t>上</t>
        </is>
      </c>
      <c r="F82" s="8">
        <f>COUNTIFS(國中!$A:$A,$B82,國中!$E:$E,$C82,國中!$F:$F,"&lt;&gt;",國中!$C:$C,$D82,國中!$D:$D,$E82)</f>
        <v/>
      </c>
      <c r="G82" s="8">
        <f>IF(F82&gt;0,"已查到","未查到")</f>
        <v/>
      </c>
    </row>
    <row r="83">
      <c r="A83" s="8" t="inlineStr">
        <is>
          <t>國中</t>
        </is>
      </c>
      <c r="B83" s="8" t="inlineStr">
        <is>
          <t>康軒</t>
        </is>
      </c>
      <c r="C83" s="8" t="inlineStr">
        <is>
          <t>地理</t>
        </is>
      </c>
      <c r="D83" s="8" t="inlineStr">
        <is>
          <t>9</t>
        </is>
      </c>
      <c r="E83" s="8" t="inlineStr">
        <is>
          <t>下</t>
        </is>
      </c>
      <c r="F83" s="8">
        <f>COUNTIFS(國中!$A:$A,$B83,國中!$E:$E,$C83,國中!$F:$F,"&lt;&gt;",國中!$C:$C,$D83,國中!$D:$D,$E83)</f>
        <v/>
      </c>
      <c r="G83" s="8">
        <f>IF(F83&gt;0,"已查到","未查到")</f>
        <v/>
      </c>
    </row>
    <row r="84">
      <c r="A84" s="8" t="inlineStr">
        <is>
          <t>國中</t>
        </is>
      </c>
      <c r="B84" s="8" t="inlineStr">
        <is>
          <t>康軒</t>
        </is>
      </c>
      <c r="C84" s="8" t="inlineStr">
        <is>
          <t>公民</t>
        </is>
      </c>
      <c r="D84" s="8" t="inlineStr">
        <is>
          <t>7</t>
        </is>
      </c>
      <c r="E84" s="8" t="inlineStr">
        <is>
          <t>上</t>
        </is>
      </c>
      <c r="F84" s="8">
        <f>COUNTIFS(國中!$A:$A,$B84,國中!$E:$E,$C84,國中!$F:$F,"&lt;&gt;",國中!$C:$C,$D84,國中!$D:$D,$E84)</f>
        <v/>
      </c>
      <c r="G84" s="8">
        <f>IF(F84&gt;0,"已查到","未查到")</f>
        <v/>
      </c>
    </row>
    <row r="85">
      <c r="A85" s="8" t="inlineStr">
        <is>
          <t>國中</t>
        </is>
      </c>
      <c r="B85" s="8" t="inlineStr">
        <is>
          <t>康軒</t>
        </is>
      </c>
      <c r="C85" s="8" t="inlineStr">
        <is>
          <t>公民</t>
        </is>
      </c>
      <c r="D85" s="8" t="inlineStr">
        <is>
          <t>7</t>
        </is>
      </c>
      <c r="E85" s="8" t="inlineStr">
        <is>
          <t>下</t>
        </is>
      </c>
      <c r="F85" s="8">
        <f>COUNTIFS(國中!$A:$A,$B85,國中!$E:$E,$C85,國中!$F:$F,"&lt;&gt;",國中!$C:$C,$D85,國中!$D:$D,$E85)</f>
        <v/>
      </c>
      <c r="G85" s="8">
        <f>IF(F85&gt;0,"已查到","未查到")</f>
        <v/>
      </c>
    </row>
    <row r="86">
      <c r="A86" s="8" t="inlineStr">
        <is>
          <t>國中</t>
        </is>
      </c>
      <c r="B86" s="8" t="inlineStr">
        <is>
          <t>康軒</t>
        </is>
      </c>
      <c r="C86" s="8" t="inlineStr">
        <is>
          <t>公民</t>
        </is>
      </c>
      <c r="D86" s="8" t="inlineStr">
        <is>
          <t>8</t>
        </is>
      </c>
      <c r="E86" s="8" t="inlineStr">
        <is>
          <t>上</t>
        </is>
      </c>
      <c r="F86" s="8">
        <f>COUNTIFS(國中!$A:$A,$B86,國中!$E:$E,$C86,國中!$F:$F,"&lt;&gt;",國中!$C:$C,$D86,國中!$D:$D,$E86)</f>
        <v/>
      </c>
      <c r="G86" s="8">
        <f>IF(F86&gt;0,"已查到","未查到")</f>
        <v/>
      </c>
    </row>
    <row r="87">
      <c r="A87" s="8" t="inlineStr">
        <is>
          <t>國中</t>
        </is>
      </c>
      <c r="B87" s="8" t="inlineStr">
        <is>
          <t>康軒</t>
        </is>
      </c>
      <c r="C87" s="8" t="inlineStr">
        <is>
          <t>公民</t>
        </is>
      </c>
      <c r="D87" s="8" t="inlineStr">
        <is>
          <t>8</t>
        </is>
      </c>
      <c r="E87" s="8" t="inlineStr">
        <is>
          <t>下</t>
        </is>
      </c>
      <c r="F87" s="8">
        <f>COUNTIFS(國中!$A:$A,$B87,國中!$E:$E,$C87,國中!$F:$F,"&lt;&gt;",國中!$C:$C,$D87,國中!$D:$D,$E87)</f>
        <v/>
      </c>
      <c r="G87" s="8">
        <f>IF(F87&gt;0,"已查到","未查到")</f>
        <v/>
      </c>
    </row>
    <row r="88">
      <c r="A88" s="8" t="inlineStr">
        <is>
          <t>國中</t>
        </is>
      </c>
      <c r="B88" s="8" t="inlineStr">
        <is>
          <t>康軒</t>
        </is>
      </c>
      <c r="C88" s="8" t="inlineStr">
        <is>
          <t>公民</t>
        </is>
      </c>
      <c r="D88" s="8" t="inlineStr">
        <is>
          <t>9</t>
        </is>
      </c>
      <c r="E88" s="8" t="inlineStr">
        <is>
          <t>上</t>
        </is>
      </c>
      <c r="F88" s="8">
        <f>COUNTIFS(國中!$A:$A,$B88,國中!$E:$E,$C88,國中!$F:$F,"&lt;&gt;",國中!$C:$C,$D88,國中!$D:$D,$E88)</f>
        <v/>
      </c>
      <c r="G88" s="8">
        <f>IF(F88&gt;0,"已查到","未查到")</f>
        <v/>
      </c>
    </row>
    <row r="89">
      <c r="A89" s="8" t="inlineStr">
        <is>
          <t>國中</t>
        </is>
      </c>
      <c r="B89" s="8" t="inlineStr">
        <is>
          <t>康軒</t>
        </is>
      </c>
      <c r="C89" s="8" t="inlineStr">
        <is>
          <t>公民</t>
        </is>
      </c>
      <c r="D89" s="8" t="inlineStr">
        <is>
          <t>9</t>
        </is>
      </c>
      <c r="E89" s="8" t="inlineStr">
        <is>
          <t>下</t>
        </is>
      </c>
      <c r="F89" s="8">
        <f>COUNTIFS(國中!$A:$A,$B89,國中!$E:$E,$C89,國中!$F:$F,"&lt;&gt;",國中!$C:$C,$D89,國中!$D:$D,$E89)</f>
        <v/>
      </c>
      <c r="G89" s="8">
        <f>IF(F89&gt;0,"已查到","未查到")</f>
        <v/>
      </c>
    </row>
    <row r="90">
      <c r="A90" s="8" t="inlineStr">
        <is>
          <t>國中</t>
        </is>
      </c>
      <c r="B90" s="8" t="inlineStr">
        <is>
          <t>南一</t>
        </is>
      </c>
      <c r="C90" s="8" t="inlineStr">
        <is>
          <t>國文</t>
        </is>
      </c>
      <c r="D90" s="8" t="inlineStr">
        <is>
          <t>7</t>
        </is>
      </c>
      <c r="E90" s="8" t="inlineStr">
        <is>
          <t>上</t>
        </is>
      </c>
      <c r="F90" s="8">
        <f>COUNTIFS(國中!$A:$A,$B90,國中!$E:$E,$C90,國中!$F:$F,"&lt;&gt;",國中!$C:$C,$D90,國中!$D:$D,$E90)</f>
        <v/>
      </c>
      <c r="G90" s="8">
        <f>IF(F90&gt;0,"已查到","未查到")</f>
        <v/>
      </c>
    </row>
    <row r="91">
      <c r="A91" s="8" t="inlineStr">
        <is>
          <t>國中</t>
        </is>
      </c>
      <c r="B91" s="8" t="inlineStr">
        <is>
          <t>南一</t>
        </is>
      </c>
      <c r="C91" s="8" t="inlineStr">
        <is>
          <t>國文</t>
        </is>
      </c>
      <c r="D91" s="8" t="inlineStr">
        <is>
          <t>7</t>
        </is>
      </c>
      <c r="E91" s="8" t="inlineStr">
        <is>
          <t>下</t>
        </is>
      </c>
      <c r="F91" s="8">
        <f>COUNTIFS(國中!$A:$A,$B91,國中!$E:$E,$C91,國中!$F:$F,"&lt;&gt;",國中!$C:$C,$D91,國中!$D:$D,$E91)</f>
        <v/>
      </c>
      <c r="G91" s="8">
        <f>IF(F91&gt;0,"已查到","未查到")</f>
        <v/>
      </c>
    </row>
    <row r="92">
      <c r="A92" s="8" t="inlineStr">
        <is>
          <t>國中</t>
        </is>
      </c>
      <c r="B92" s="8" t="inlineStr">
        <is>
          <t>南一</t>
        </is>
      </c>
      <c r="C92" s="8" t="inlineStr">
        <is>
          <t>國文</t>
        </is>
      </c>
      <c r="D92" s="8" t="inlineStr">
        <is>
          <t>8</t>
        </is>
      </c>
      <c r="E92" s="8" t="inlineStr">
        <is>
          <t>上</t>
        </is>
      </c>
      <c r="F92" s="8">
        <f>COUNTIFS(國中!$A:$A,$B92,國中!$E:$E,$C92,國中!$F:$F,"&lt;&gt;",國中!$C:$C,$D92,國中!$D:$D,$E92)</f>
        <v/>
      </c>
      <c r="G92" s="8">
        <f>IF(F92&gt;0,"已查到","未查到")</f>
        <v/>
      </c>
    </row>
    <row r="93">
      <c r="A93" s="8" t="inlineStr">
        <is>
          <t>國中</t>
        </is>
      </c>
      <c r="B93" s="8" t="inlineStr">
        <is>
          <t>南一</t>
        </is>
      </c>
      <c r="C93" s="8" t="inlineStr">
        <is>
          <t>國文</t>
        </is>
      </c>
      <c r="D93" s="8" t="inlineStr">
        <is>
          <t>8</t>
        </is>
      </c>
      <c r="E93" s="8" t="inlineStr">
        <is>
          <t>下</t>
        </is>
      </c>
      <c r="F93" s="8">
        <f>COUNTIFS(國中!$A:$A,$B93,國中!$E:$E,$C93,國中!$F:$F,"&lt;&gt;",國中!$C:$C,$D93,國中!$D:$D,$E93)</f>
        <v/>
      </c>
      <c r="G93" s="8">
        <f>IF(F93&gt;0,"已查到","未查到")</f>
        <v/>
      </c>
    </row>
    <row r="94">
      <c r="A94" s="8" t="inlineStr">
        <is>
          <t>國中</t>
        </is>
      </c>
      <c r="B94" s="8" t="inlineStr">
        <is>
          <t>南一</t>
        </is>
      </c>
      <c r="C94" s="8" t="inlineStr">
        <is>
          <t>國文</t>
        </is>
      </c>
      <c r="D94" s="8" t="inlineStr">
        <is>
          <t>9</t>
        </is>
      </c>
      <c r="E94" s="8" t="inlineStr">
        <is>
          <t>上</t>
        </is>
      </c>
      <c r="F94" s="8">
        <f>COUNTIFS(國中!$A:$A,$B94,國中!$E:$E,$C94,國中!$F:$F,"&lt;&gt;",國中!$C:$C,$D94,國中!$D:$D,$E94)</f>
        <v/>
      </c>
      <c r="G94" s="8">
        <f>IF(F94&gt;0,"已查到","未查到")</f>
        <v/>
      </c>
    </row>
    <row r="95">
      <c r="A95" s="8" t="inlineStr">
        <is>
          <t>國中</t>
        </is>
      </c>
      <c r="B95" s="8" t="inlineStr">
        <is>
          <t>南一</t>
        </is>
      </c>
      <c r="C95" s="8" t="inlineStr">
        <is>
          <t>國文</t>
        </is>
      </c>
      <c r="D95" s="8" t="inlineStr">
        <is>
          <t>9</t>
        </is>
      </c>
      <c r="E95" s="8" t="inlineStr">
        <is>
          <t>下</t>
        </is>
      </c>
      <c r="F95" s="8">
        <f>COUNTIFS(國中!$A:$A,$B95,國中!$E:$E,$C95,國中!$F:$F,"&lt;&gt;",國中!$C:$C,$D95,國中!$D:$D,$E95)</f>
        <v/>
      </c>
      <c r="G95" s="8">
        <f>IF(F95&gt;0,"已查到","未查到")</f>
        <v/>
      </c>
    </row>
    <row r="96">
      <c r="A96" s="8" t="inlineStr">
        <is>
          <t>高中</t>
        </is>
      </c>
      <c r="B96" s="8" t="inlineStr">
        <is>
          <t>南一</t>
        </is>
      </c>
      <c r="C96" s="8" t="inlineStr">
        <is>
          <t>國文</t>
        </is>
      </c>
      <c r="D96" s="8" t="inlineStr">
        <is>
          <t>10</t>
        </is>
      </c>
      <c r="E96" s="8" t="inlineStr">
        <is>
          <t>第一冊</t>
        </is>
      </c>
      <c r="F96" s="8">
        <f>COUNTIFS(高中!$A:$A,$B96,高中!$E:$E,$C96,高中!$F:$F,"&lt;&gt;",高中!$C:$C,$D96,高中!$D:$D,$E96)</f>
        <v/>
      </c>
      <c r="G96" s="8">
        <f>IF(F96&gt;0,"已查到","未查到")</f>
        <v/>
      </c>
    </row>
    <row r="97">
      <c r="A97" s="8" t="inlineStr">
        <is>
          <t>高中</t>
        </is>
      </c>
      <c r="B97" s="8" t="inlineStr">
        <is>
          <t>南一</t>
        </is>
      </c>
      <c r="C97" s="8" t="inlineStr">
        <is>
          <t>國文</t>
        </is>
      </c>
      <c r="D97" s="8" t="inlineStr">
        <is>
          <t>10</t>
        </is>
      </c>
      <c r="E97" s="8" t="inlineStr">
        <is>
          <t>第二冊</t>
        </is>
      </c>
      <c r="F97" s="8">
        <f>COUNTIFS(高中!$A:$A,$B97,高中!$E:$E,$C97,高中!$F:$F,"&lt;&gt;",高中!$C:$C,$D97,高中!$D:$D,$E97)</f>
        <v/>
      </c>
      <c r="G97" s="8">
        <f>IF(F97&gt;0,"已查到","未查到")</f>
        <v/>
      </c>
    </row>
    <row r="98">
      <c r="A98" s="8" t="inlineStr">
        <is>
          <t>高中</t>
        </is>
      </c>
      <c r="B98" s="8" t="inlineStr">
        <is>
          <t>南一</t>
        </is>
      </c>
      <c r="C98" s="8" t="inlineStr">
        <is>
          <t>國文</t>
        </is>
      </c>
      <c r="D98" s="8" t="inlineStr">
        <is>
          <t>11</t>
        </is>
      </c>
      <c r="E98" s="8" t="inlineStr">
        <is>
          <t>第三冊</t>
        </is>
      </c>
      <c r="F98" s="8">
        <f>COUNTIFS(高中!$A:$A,$B98,高中!$E:$E,$C98,高中!$F:$F,"&lt;&gt;",高中!$C:$C,$D98,高中!$D:$D,$E98)</f>
        <v/>
      </c>
      <c r="G98" s="8">
        <f>IF(F98&gt;0,"已查到","未查到")</f>
        <v/>
      </c>
    </row>
    <row r="99">
      <c r="A99" s="8" t="inlineStr">
        <is>
          <t>高中</t>
        </is>
      </c>
      <c r="B99" s="8" t="inlineStr">
        <is>
          <t>南一</t>
        </is>
      </c>
      <c r="C99" s="8" t="inlineStr">
        <is>
          <t>國文</t>
        </is>
      </c>
      <c r="D99" s="8" t="inlineStr">
        <is>
          <t>11</t>
        </is>
      </c>
      <c r="E99" s="8" t="inlineStr">
        <is>
          <t>第四冊</t>
        </is>
      </c>
      <c r="F99" s="8">
        <f>COUNTIFS(高中!$A:$A,$B99,高中!$E:$E,$C99,高中!$F:$F,"&lt;&gt;",高中!$C:$C,$D99,高中!$D:$D,$E99)</f>
        <v/>
      </c>
      <c r="G99" s="8">
        <f>IF(F99&gt;0,"已查到","未查到")</f>
        <v/>
      </c>
    </row>
    <row r="100">
      <c r="A100" s="8" t="inlineStr">
        <is>
          <t>高中</t>
        </is>
      </c>
      <c r="B100" s="8" t="inlineStr">
        <is>
          <t>南一</t>
        </is>
      </c>
      <c r="C100" s="8" t="inlineStr">
        <is>
          <t>國文</t>
        </is>
      </c>
      <c r="D100" s="8" t="inlineStr">
        <is>
          <t>12</t>
        </is>
      </c>
      <c r="E100" s="8" t="inlineStr">
        <is>
          <t>第五冊</t>
        </is>
      </c>
      <c r="F100" s="8">
        <f>COUNTIFS(高中!$A:$A,$B100,高中!$E:$E,$C100,高中!$F:$F,"&lt;&gt;",高中!$C:$C,$D100,高中!$D:$D,$E100)</f>
        <v/>
      </c>
      <c r="G100" s="8">
        <f>IF(F100&gt;0,"已查到","未查到")</f>
        <v/>
      </c>
    </row>
    <row r="101">
      <c r="A101" s="8" t="inlineStr">
        <is>
          <t>高中</t>
        </is>
      </c>
      <c r="B101" s="8" t="inlineStr">
        <is>
          <t>南一</t>
        </is>
      </c>
      <c r="C101" s="8" t="inlineStr">
        <is>
          <t>國文</t>
        </is>
      </c>
      <c r="D101" s="8" t="inlineStr">
        <is>
          <t>12</t>
        </is>
      </c>
      <c r="E101" s="8" t="inlineStr">
        <is>
          <t>第六冊</t>
        </is>
      </c>
      <c r="F101" s="8">
        <f>COUNTIFS(高中!$A:$A,$B101,高中!$E:$E,$C101,高中!$F:$F,"&lt;&gt;",高中!$C:$C,$D101,高中!$D:$D,$E101)</f>
        <v/>
      </c>
      <c r="G101" s="8">
        <f>IF(F101&gt;0,"已查到","未查到")</f>
        <v/>
      </c>
    </row>
    <row r="102">
      <c r="A102" s="8" t="inlineStr">
        <is>
          <t>高中</t>
        </is>
      </c>
      <c r="B102" s="8" t="inlineStr">
        <is>
          <t>南一</t>
        </is>
      </c>
      <c r="C102" s="8" t="inlineStr">
        <is>
          <t>國文</t>
        </is>
      </c>
      <c r="D102" s="8" t="n"/>
      <c r="E102" s="8" t="inlineStr">
        <is>
          <t>加深加廣選修：各類文學選讀</t>
        </is>
      </c>
      <c r="F102" s="8">
        <f>COUNTIFS(高中!$A:$A,$B102,高中!$E:$E,$C102,高中!$F:$F,"&lt;&gt;",高中!$C:$C,"",高中!$D:$D,$E102)</f>
        <v/>
      </c>
      <c r="G102" s="8">
        <f>IF(F102&gt;0,"已查到","未查到")</f>
        <v/>
      </c>
    </row>
    <row r="103">
      <c r="A103" s="8" t="inlineStr">
        <is>
          <t>高中</t>
        </is>
      </c>
      <c r="B103" s="8" t="inlineStr">
        <is>
          <t>南一</t>
        </is>
      </c>
      <c r="C103" s="8" t="inlineStr">
        <is>
          <t>國文</t>
        </is>
      </c>
      <c r="D103" s="8" t="n"/>
      <c r="E103" s="8" t="inlineStr">
        <is>
          <t>加深加廣選修：國學常識</t>
        </is>
      </c>
      <c r="F103" s="8">
        <f>COUNTIFS(高中!$A:$A,$B103,高中!$E:$E,$C103,高中!$F:$F,"&lt;&gt;",高中!$C:$C,"",高中!$D:$D,$E103)</f>
        <v/>
      </c>
      <c r="G103" s="8">
        <f>IF(F103&gt;0,"已查到","未查到")</f>
        <v/>
      </c>
    </row>
    <row r="104">
      <c r="A104" s="8" t="inlineStr">
        <is>
          <t>高中</t>
        </is>
      </c>
      <c r="B104" s="8" t="inlineStr">
        <is>
          <t>南一</t>
        </is>
      </c>
      <c r="C104" s="8" t="inlineStr">
        <is>
          <t>國文</t>
        </is>
      </c>
      <c r="D104" s="8" t="n"/>
      <c r="E104" s="8" t="inlineStr">
        <is>
          <t>加深加廣選修：專題閱讀與研究</t>
        </is>
      </c>
      <c r="F104" s="8">
        <f>COUNTIFS(高中!$A:$A,$B104,高中!$E:$E,$C104,高中!$F:$F,"&lt;&gt;",高中!$C:$C,"",高中!$D:$D,$E104)</f>
        <v/>
      </c>
      <c r="G104" s="8">
        <f>IF(F104&gt;0,"已查到","未查到")</f>
        <v/>
      </c>
    </row>
    <row r="105">
      <c r="A105" s="8" t="inlineStr">
        <is>
          <t>高中</t>
        </is>
      </c>
      <c r="B105" s="8" t="inlineStr">
        <is>
          <t>南一</t>
        </is>
      </c>
      <c r="C105" s="8" t="inlineStr">
        <is>
          <t>國文</t>
        </is>
      </c>
      <c r="D105" s="8" t="n"/>
      <c r="E105" s="8" t="inlineStr">
        <is>
          <t>加深加廣選修：語文表達及傳播應用</t>
        </is>
      </c>
      <c r="F105" s="8">
        <f>COUNTIFS(高中!$A:$A,$B105,高中!$E:$E,$C105,高中!$F:$F,"&lt;&gt;",高中!$C:$C,"",高中!$D:$D,$E105)</f>
        <v/>
      </c>
      <c r="G105" s="8">
        <f>IF(F105&gt;0,"已查到","未查到")</f>
        <v/>
      </c>
    </row>
    <row r="106">
      <c r="A106" s="8" t="inlineStr">
        <is>
          <t>國中</t>
        </is>
      </c>
      <c r="B106" s="8" t="inlineStr">
        <is>
          <t>南一</t>
        </is>
      </c>
      <c r="C106" s="8" t="inlineStr">
        <is>
          <t>英文</t>
        </is>
      </c>
      <c r="D106" s="8" t="inlineStr">
        <is>
          <t>7</t>
        </is>
      </c>
      <c r="E106" s="8" t="inlineStr">
        <is>
          <t>上</t>
        </is>
      </c>
      <c r="F106" s="8">
        <f>COUNTIFS(國中!$A:$A,$B106,國中!$E:$E,$C106,國中!$F:$F,"&lt;&gt;",國中!$C:$C,$D106,國中!$D:$D,$E106)</f>
        <v/>
      </c>
      <c r="G106" s="8">
        <f>IF(F106&gt;0,"已查到","未查到")</f>
        <v/>
      </c>
    </row>
    <row r="107">
      <c r="A107" s="8" t="inlineStr">
        <is>
          <t>國中</t>
        </is>
      </c>
      <c r="B107" s="8" t="inlineStr">
        <is>
          <t>南一</t>
        </is>
      </c>
      <c r="C107" s="8" t="inlineStr">
        <is>
          <t>英文</t>
        </is>
      </c>
      <c r="D107" s="8" t="inlineStr">
        <is>
          <t>7</t>
        </is>
      </c>
      <c r="E107" s="8" t="inlineStr">
        <is>
          <t>下</t>
        </is>
      </c>
      <c r="F107" s="8">
        <f>COUNTIFS(國中!$A:$A,$B107,國中!$E:$E,$C107,國中!$F:$F,"&lt;&gt;",國中!$C:$C,$D107,國中!$D:$D,$E107)</f>
        <v/>
      </c>
      <c r="G107" s="8">
        <f>IF(F107&gt;0,"已查到","未查到")</f>
        <v/>
      </c>
    </row>
    <row r="108">
      <c r="A108" s="8" t="inlineStr">
        <is>
          <t>國中</t>
        </is>
      </c>
      <c r="B108" s="8" t="inlineStr">
        <is>
          <t>南一</t>
        </is>
      </c>
      <c r="C108" s="8" t="inlineStr">
        <is>
          <t>英文</t>
        </is>
      </c>
      <c r="D108" s="8" t="inlineStr">
        <is>
          <t>8</t>
        </is>
      </c>
      <c r="E108" s="8" t="inlineStr">
        <is>
          <t>上</t>
        </is>
      </c>
      <c r="F108" s="8">
        <f>COUNTIFS(國中!$A:$A,$B108,國中!$E:$E,$C108,國中!$F:$F,"&lt;&gt;",國中!$C:$C,$D108,國中!$D:$D,$E108)</f>
        <v/>
      </c>
      <c r="G108" s="8">
        <f>IF(F108&gt;0,"已查到","未查到")</f>
        <v/>
      </c>
    </row>
    <row r="109">
      <c r="A109" s="8" t="inlineStr">
        <is>
          <t>國中</t>
        </is>
      </c>
      <c r="B109" s="8" t="inlineStr">
        <is>
          <t>南一</t>
        </is>
      </c>
      <c r="C109" s="8" t="inlineStr">
        <is>
          <t>英文</t>
        </is>
      </c>
      <c r="D109" s="8" t="inlineStr">
        <is>
          <t>8</t>
        </is>
      </c>
      <c r="E109" s="8" t="inlineStr">
        <is>
          <t>下</t>
        </is>
      </c>
      <c r="F109" s="8">
        <f>COUNTIFS(國中!$A:$A,$B109,國中!$E:$E,$C109,國中!$F:$F,"&lt;&gt;",國中!$C:$C,$D109,國中!$D:$D,$E109)</f>
        <v/>
      </c>
      <c r="G109" s="8">
        <f>IF(F109&gt;0,"已查到","未查到")</f>
        <v/>
      </c>
    </row>
    <row r="110">
      <c r="A110" s="8" t="inlineStr">
        <is>
          <t>國中</t>
        </is>
      </c>
      <c r="B110" s="8" t="inlineStr">
        <is>
          <t>南一</t>
        </is>
      </c>
      <c r="C110" s="8" t="inlineStr">
        <is>
          <t>英文</t>
        </is>
      </c>
      <c r="D110" s="8" t="inlineStr">
        <is>
          <t>9</t>
        </is>
      </c>
      <c r="E110" s="8" t="inlineStr">
        <is>
          <t>上</t>
        </is>
      </c>
      <c r="F110" s="8">
        <f>COUNTIFS(國中!$A:$A,$B110,國中!$E:$E,$C110,國中!$F:$F,"&lt;&gt;",國中!$C:$C,$D110,國中!$D:$D,$E110)</f>
        <v/>
      </c>
      <c r="G110" s="8">
        <f>IF(F110&gt;0,"已查到","未查到")</f>
        <v/>
      </c>
    </row>
    <row r="111">
      <c r="A111" s="8" t="inlineStr">
        <is>
          <t>國中</t>
        </is>
      </c>
      <c r="B111" s="8" t="inlineStr">
        <is>
          <t>南一</t>
        </is>
      </c>
      <c r="C111" s="8" t="inlineStr">
        <is>
          <t>英文</t>
        </is>
      </c>
      <c r="D111" s="8" t="inlineStr">
        <is>
          <t>9</t>
        </is>
      </c>
      <c r="E111" s="8" t="inlineStr">
        <is>
          <t>下</t>
        </is>
      </c>
      <c r="F111" s="8">
        <f>COUNTIFS(國中!$A:$A,$B111,國中!$E:$E,$C111,國中!$F:$F,"&lt;&gt;",國中!$C:$C,$D111,國中!$D:$D,$E111)</f>
        <v/>
      </c>
      <c r="G111" s="8">
        <f>IF(F111&gt;0,"已查到","未查到")</f>
        <v/>
      </c>
    </row>
    <row r="112">
      <c r="A112" s="8" t="inlineStr">
        <is>
          <t>高中</t>
        </is>
      </c>
      <c r="B112" s="8" t="inlineStr">
        <is>
          <t>南一</t>
        </is>
      </c>
      <c r="C112" s="8" t="inlineStr">
        <is>
          <t>英文</t>
        </is>
      </c>
      <c r="D112" s="8" t="inlineStr">
        <is>
          <t>10</t>
        </is>
      </c>
      <c r="E112" s="8" t="inlineStr">
        <is>
          <t>第一冊</t>
        </is>
      </c>
      <c r="F112" s="8">
        <f>COUNTIFS(高中!$A:$A,$B112,高中!$E:$E,$C112,高中!$F:$F,"&lt;&gt;",高中!$C:$C,$D112,高中!$D:$D,$E112)</f>
        <v/>
      </c>
      <c r="G112" s="8">
        <f>IF(F112&gt;0,"已查到","未查到")</f>
        <v/>
      </c>
    </row>
    <row r="113">
      <c r="A113" s="8" t="inlineStr">
        <is>
          <t>高中</t>
        </is>
      </c>
      <c r="B113" s="8" t="inlineStr">
        <is>
          <t>南一</t>
        </is>
      </c>
      <c r="C113" s="8" t="inlineStr">
        <is>
          <t>英文</t>
        </is>
      </c>
      <c r="D113" s="8" t="inlineStr">
        <is>
          <t>10</t>
        </is>
      </c>
      <c r="E113" s="8" t="inlineStr">
        <is>
          <t>第二冊</t>
        </is>
      </c>
      <c r="F113" s="8">
        <f>COUNTIFS(高中!$A:$A,$B113,高中!$E:$E,$C113,高中!$F:$F,"&lt;&gt;",高中!$C:$C,$D113,高中!$D:$D,$E113)</f>
        <v/>
      </c>
      <c r="G113" s="8">
        <f>IF(F113&gt;0,"已查到","未查到")</f>
        <v/>
      </c>
    </row>
    <row r="114">
      <c r="A114" s="8" t="inlineStr">
        <is>
          <t>高中</t>
        </is>
      </c>
      <c r="B114" s="8" t="inlineStr">
        <is>
          <t>南一</t>
        </is>
      </c>
      <c r="C114" s="8" t="inlineStr">
        <is>
          <t>英文</t>
        </is>
      </c>
      <c r="D114" s="8" t="inlineStr">
        <is>
          <t>11</t>
        </is>
      </c>
      <c r="E114" s="8" t="inlineStr">
        <is>
          <t>第三冊</t>
        </is>
      </c>
      <c r="F114" s="8">
        <f>COUNTIFS(高中!$A:$A,$B114,高中!$E:$E,$C114,高中!$F:$F,"&lt;&gt;",高中!$C:$C,$D114,高中!$D:$D,$E114)</f>
        <v/>
      </c>
      <c r="G114" s="8">
        <f>IF(F114&gt;0,"已查到","未查到")</f>
        <v/>
      </c>
    </row>
    <row r="115">
      <c r="A115" s="8" t="inlineStr">
        <is>
          <t>高中</t>
        </is>
      </c>
      <c r="B115" s="8" t="inlineStr">
        <is>
          <t>南一</t>
        </is>
      </c>
      <c r="C115" s="8" t="inlineStr">
        <is>
          <t>英文</t>
        </is>
      </c>
      <c r="D115" s="8" t="inlineStr">
        <is>
          <t>11</t>
        </is>
      </c>
      <c r="E115" s="8" t="inlineStr">
        <is>
          <t>第四冊</t>
        </is>
      </c>
      <c r="F115" s="8">
        <f>COUNTIFS(高中!$A:$A,$B115,高中!$E:$E,$C115,高中!$F:$F,"&lt;&gt;",高中!$C:$C,$D115,高中!$D:$D,$E115)</f>
        <v/>
      </c>
      <c r="G115" s="8">
        <f>IF(F115&gt;0,"已查到","未查到")</f>
        <v/>
      </c>
    </row>
    <row r="116">
      <c r="A116" s="8" t="inlineStr">
        <is>
          <t>高中</t>
        </is>
      </c>
      <c r="B116" s="8" t="inlineStr">
        <is>
          <t>南一</t>
        </is>
      </c>
      <c r="C116" s="8" t="inlineStr">
        <is>
          <t>英文</t>
        </is>
      </c>
      <c r="D116" s="8" t="inlineStr">
        <is>
          <t>12</t>
        </is>
      </c>
      <c r="E116" s="8" t="inlineStr">
        <is>
          <t>第五冊</t>
        </is>
      </c>
      <c r="F116" s="8">
        <f>COUNTIFS(高中!$A:$A,$B116,高中!$E:$E,$C116,高中!$F:$F,"&lt;&gt;",高中!$C:$C,$D116,高中!$D:$D,$E116)</f>
        <v/>
      </c>
      <c r="G116" s="8">
        <f>IF(F116&gt;0,"已查到","未查到")</f>
        <v/>
      </c>
    </row>
    <row r="117">
      <c r="A117" s="8" t="inlineStr">
        <is>
          <t>高中</t>
        </is>
      </c>
      <c r="B117" s="8" t="inlineStr">
        <is>
          <t>南一</t>
        </is>
      </c>
      <c r="C117" s="8" t="inlineStr">
        <is>
          <t>英文</t>
        </is>
      </c>
      <c r="D117" s="8" t="inlineStr">
        <is>
          <t>12</t>
        </is>
      </c>
      <c r="E117" s="8" t="inlineStr">
        <is>
          <t>第六冊</t>
        </is>
      </c>
      <c r="F117" s="8">
        <f>COUNTIFS(高中!$A:$A,$B117,高中!$E:$E,$C117,高中!$F:$F,"&lt;&gt;",高中!$C:$C,$D117,高中!$D:$D,$E117)</f>
        <v/>
      </c>
      <c r="G117" s="8">
        <f>IF(F117&gt;0,"已查到","未查到")</f>
        <v/>
      </c>
    </row>
    <row r="118">
      <c r="A118" s="8" t="inlineStr">
        <is>
          <t>高中</t>
        </is>
      </c>
      <c r="B118" s="8" t="inlineStr">
        <is>
          <t>南一</t>
        </is>
      </c>
      <c r="C118" s="8" t="inlineStr">
        <is>
          <t>英文</t>
        </is>
      </c>
      <c r="D118" s="8" t="n"/>
      <c r="E118" s="8" t="inlineStr">
        <is>
          <t>加深加廣選修：英文閱讀與寫作</t>
        </is>
      </c>
      <c r="F118" s="8">
        <f>COUNTIFS(高中!$A:$A,$B118,高中!$E:$E,$C118,高中!$F:$F,"&lt;&gt;",高中!$C:$C,"",高中!$D:$D,$E118)</f>
        <v/>
      </c>
      <c r="G118" s="8">
        <f>IF(F118&gt;0,"已查到","未查到")</f>
        <v/>
      </c>
    </row>
    <row r="119">
      <c r="A119" s="8" t="inlineStr">
        <is>
          <t>高中</t>
        </is>
      </c>
      <c r="B119" s="8" t="inlineStr">
        <is>
          <t>南一</t>
        </is>
      </c>
      <c r="C119" s="8" t="inlineStr">
        <is>
          <t>英文</t>
        </is>
      </c>
      <c r="D119" s="8" t="n"/>
      <c r="E119" s="8" t="inlineStr">
        <is>
          <t>加深加廣選修：英語聽講</t>
        </is>
      </c>
      <c r="F119" s="8">
        <f>COUNTIFS(高中!$A:$A,$B119,高中!$E:$E,$C119,高中!$F:$F,"&lt;&gt;",高中!$C:$C,"",高中!$D:$D,$E119)</f>
        <v/>
      </c>
      <c r="G119" s="8">
        <f>IF(F119&gt;0,"已查到","未查到")</f>
        <v/>
      </c>
    </row>
    <row r="120">
      <c r="A120" s="8" t="inlineStr">
        <is>
          <t>國中</t>
        </is>
      </c>
      <c r="B120" s="8" t="inlineStr">
        <is>
          <t>南一</t>
        </is>
      </c>
      <c r="C120" s="8" t="inlineStr">
        <is>
          <t>數學</t>
        </is>
      </c>
      <c r="D120" s="8" t="inlineStr">
        <is>
          <t>7</t>
        </is>
      </c>
      <c r="E120" s="8" t="inlineStr">
        <is>
          <t>上</t>
        </is>
      </c>
      <c r="F120" s="8">
        <f>COUNTIFS(國中!$A:$A,$B120,國中!$E:$E,$C120,國中!$F:$F,"&lt;&gt;",國中!$C:$C,$D120,國中!$D:$D,$E120)</f>
        <v/>
      </c>
      <c r="G120" s="8">
        <f>IF(F120&gt;0,"已查到","未查到")</f>
        <v/>
      </c>
    </row>
    <row r="121">
      <c r="A121" s="8" t="inlineStr">
        <is>
          <t>國中</t>
        </is>
      </c>
      <c r="B121" s="8" t="inlineStr">
        <is>
          <t>南一</t>
        </is>
      </c>
      <c r="C121" s="8" t="inlineStr">
        <is>
          <t>數學</t>
        </is>
      </c>
      <c r="D121" s="8" t="inlineStr">
        <is>
          <t>7</t>
        </is>
      </c>
      <c r="E121" s="8" t="inlineStr">
        <is>
          <t>下</t>
        </is>
      </c>
      <c r="F121" s="8">
        <f>COUNTIFS(國中!$A:$A,$B121,國中!$E:$E,$C121,國中!$F:$F,"&lt;&gt;",國中!$C:$C,$D121,國中!$D:$D,$E121)</f>
        <v/>
      </c>
      <c r="G121" s="8">
        <f>IF(F121&gt;0,"已查到","未查到")</f>
        <v/>
      </c>
    </row>
    <row r="122">
      <c r="A122" s="8" t="inlineStr">
        <is>
          <t>國中</t>
        </is>
      </c>
      <c r="B122" s="8" t="inlineStr">
        <is>
          <t>南一</t>
        </is>
      </c>
      <c r="C122" s="8" t="inlineStr">
        <is>
          <t>數學</t>
        </is>
      </c>
      <c r="D122" s="8" t="inlineStr">
        <is>
          <t>8</t>
        </is>
      </c>
      <c r="E122" s="8" t="inlineStr">
        <is>
          <t>上</t>
        </is>
      </c>
      <c r="F122" s="8">
        <f>COUNTIFS(國中!$A:$A,$B122,國中!$E:$E,$C122,國中!$F:$F,"&lt;&gt;",國中!$C:$C,$D122,國中!$D:$D,$E122)</f>
        <v/>
      </c>
      <c r="G122" s="8">
        <f>IF(F122&gt;0,"已查到","未查到")</f>
        <v/>
      </c>
    </row>
    <row r="123">
      <c r="A123" s="8" t="inlineStr">
        <is>
          <t>國中</t>
        </is>
      </c>
      <c r="B123" s="8" t="inlineStr">
        <is>
          <t>南一</t>
        </is>
      </c>
      <c r="C123" s="8" t="inlineStr">
        <is>
          <t>數學</t>
        </is>
      </c>
      <c r="D123" s="8" t="inlineStr">
        <is>
          <t>8</t>
        </is>
      </c>
      <c r="E123" s="8" t="inlineStr">
        <is>
          <t>下</t>
        </is>
      </c>
      <c r="F123" s="8">
        <f>COUNTIFS(國中!$A:$A,$B123,國中!$E:$E,$C123,國中!$F:$F,"&lt;&gt;",國中!$C:$C,$D123,國中!$D:$D,$E123)</f>
        <v/>
      </c>
      <c r="G123" s="8">
        <f>IF(F123&gt;0,"已查到","未查到")</f>
        <v/>
      </c>
    </row>
    <row r="124">
      <c r="A124" s="8" t="inlineStr">
        <is>
          <t>國中</t>
        </is>
      </c>
      <c r="B124" s="8" t="inlineStr">
        <is>
          <t>南一</t>
        </is>
      </c>
      <c r="C124" s="8" t="inlineStr">
        <is>
          <t>數學</t>
        </is>
      </c>
      <c r="D124" s="8" t="inlineStr">
        <is>
          <t>9</t>
        </is>
      </c>
      <c r="E124" s="8" t="inlineStr">
        <is>
          <t>上</t>
        </is>
      </c>
      <c r="F124" s="8">
        <f>COUNTIFS(國中!$A:$A,$B124,國中!$E:$E,$C124,國中!$F:$F,"&lt;&gt;",國中!$C:$C,$D124,國中!$D:$D,$E124)</f>
        <v/>
      </c>
      <c r="G124" s="8">
        <f>IF(F124&gt;0,"已查到","未查到")</f>
        <v/>
      </c>
    </row>
    <row r="125">
      <c r="A125" s="8" t="inlineStr">
        <is>
          <t>國中</t>
        </is>
      </c>
      <c r="B125" s="8" t="inlineStr">
        <is>
          <t>南一</t>
        </is>
      </c>
      <c r="C125" s="8" t="inlineStr">
        <is>
          <t>數學</t>
        </is>
      </c>
      <c r="D125" s="8" t="inlineStr">
        <is>
          <t>9</t>
        </is>
      </c>
      <c r="E125" s="8" t="inlineStr">
        <is>
          <t>下</t>
        </is>
      </c>
      <c r="F125" s="8">
        <f>COUNTIFS(國中!$A:$A,$B125,國中!$E:$E,$C125,國中!$F:$F,"&lt;&gt;",國中!$C:$C,$D125,國中!$D:$D,$E125)</f>
        <v/>
      </c>
      <c r="G125" s="8">
        <f>IF(F125&gt;0,"已查到","未查到")</f>
        <v/>
      </c>
    </row>
    <row r="126">
      <c r="A126" s="8" t="inlineStr">
        <is>
          <t>高中</t>
        </is>
      </c>
      <c r="B126" s="8" t="inlineStr">
        <is>
          <t>南一</t>
        </is>
      </c>
      <c r="C126" s="8" t="inlineStr">
        <is>
          <t>數學</t>
        </is>
      </c>
      <c r="D126" s="8" t="inlineStr">
        <is>
          <t>10</t>
        </is>
      </c>
      <c r="E126" s="8" t="inlineStr">
        <is>
          <t>第一冊</t>
        </is>
      </c>
      <c r="F126" s="8">
        <f>COUNTIFS(高中!$A:$A,$B126,高中!$E:$E,$C126,高中!$F:$F,"&lt;&gt;",高中!$C:$C,$D126,高中!$D:$D,$E126)</f>
        <v/>
      </c>
      <c r="G126" s="8">
        <f>IF(F126&gt;0,"已查到","未查到")</f>
        <v/>
      </c>
    </row>
    <row r="127">
      <c r="A127" s="8" t="inlineStr">
        <is>
          <t>高中</t>
        </is>
      </c>
      <c r="B127" s="8" t="inlineStr">
        <is>
          <t>南一</t>
        </is>
      </c>
      <c r="C127" s="8" t="inlineStr">
        <is>
          <t>數學</t>
        </is>
      </c>
      <c r="D127" s="8" t="inlineStr">
        <is>
          <t>10</t>
        </is>
      </c>
      <c r="E127" s="8" t="inlineStr">
        <is>
          <t>第二冊</t>
        </is>
      </c>
      <c r="F127" s="8">
        <f>COUNTIFS(高中!$A:$A,$B127,高中!$E:$E,$C127,高中!$F:$F,"&lt;&gt;",高中!$C:$C,$D127,高中!$D:$D,$E127)</f>
        <v/>
      </c>
      <c r="G127" s="8">
        <f>IF(F127&gt;0,"已查到","未查到")</f>
        <v/>
      </c>
    </row>
    <row r="128">
      <c r="A128" s="8" t="inlineStr">
        <is>
          <t>高中</t>
        </is>
      </c>
      <c r="B128" s="8" t="inlineStr">
        <is>
          <t>南一</t>
        </is>
      </c>
      <c r="C128" s="8" t="inlineStr">
        <is>
          <t>數學</t>
        </is>
      </c>
      <c r="D128" s="8" t="inlineStr">
        <is>
          <t>11</t>
        </is>
      </c>
      <c r="E128" s="8" t="inlineStr">
        <is>
          <t>第三冊A</t>
        </is>
      </c>
      <c r="F128" s="8">
        <f>COUNTIFS(高中!$A:$A,$B128,高中!$E:$E,$C128,高中!$F:$F,"&lt;&gt;",高中!$C:$C,$D128,高中!$D:$D,$E128)</f>
        <v/>
      </c>
      <c r="G128" s="8">
        <f>IF(F128&gt;0,"已查到","未查到")</f>
        <v/>
      </c>
    </row>
    <row r="129">
      <c r="A129" s="8" t="inlineStr">
        <is>
          <t>高中</t>
        </is>
      </c>
      <c r="B129" s="8" t="inlineStr">
        <is>
          <t>南一</t>
        </is>
      </c>
      <c r="C129" s="8" t="inlineStr">
        <is>
          <t>數學</t>
        </is>
      </c>
      <c r="D129" s="8" t="inlineStr">
        <is>
          <t>11</t>
        </is>
      </c>
      <c r="E129" s="8" t="inlineStr">
        <is>
          <t>第三冊B</t>
        </is>
      </c>
      <c r="F129" s="8">
        <f>COUNTIFS(高中!$A:$A,$B129,高中!$E:$E,$C129,高中!$F:$F,"&lt;&gt;",高中!$C:$C,$D129,高中!$D:$D,$E129)</f>
        <v/>
      </c>
      <c r="G129" s="8">
        <f>IF(F129&gt;0,"已查到","未查到")</f>
        <v/>
      </c>
    </row>
    <row r="130">
      <c r="A130" s="8" t="inlineStr">
        <is>
          <t>高中</t>
        </is>
      </c>
      <c r="B130" s="8" t="inlineStr">
        <is>
          <t>南一</t>
        </is>
      </c>
      <c r="C130" s="8" t="inlineStr">
        <is>
          <t>數學</t>
        </is>
      </c>
      <c r="D130" s="8" t="inlineStr">
        <is>
          <t>11</t>
        </is>
      </c>
      <c r="E130" s="8" t="inlineStr">
        <is>
          <t>第四冊A</t>
        </is>
      </c>
      <c r="F130" s="8">
        <f>COUNTIFS(高中!$A:$A,$B130,高中!$E:$E,$C130,高中!$F:$F,"&lt;&gt;",高中!$C:$C,$D130,高中!$D:$D,$E130)</f>
        <v/>
      </c>
      <c r="G130" s="8">
        <f>IF(F130&gt;0,"已查到","未查到")</f>
        <v/>
      </c>
    </row>
    <row r="131">
      <c r="A131" s="8" t="inlineStr">
        <is>
          <t>高中</t>
        </is>
      </c>
      <c r="B131" s="8" t="inlineStr">
        <is>
          <t>南一</t>
        </is>
      </c>
      <c r="C131" s="8" t="inlineStr">
        <is>
          <t>數學</t>
        </is>
      </c>
      <c r="D131" s="8" t="inlineStr">
        <is>
          <t>11</t>
        </is>
      </c>
      <c r="E131" s="8" t="inlineStr">
        <is>
          <t>第四冊B</t>
        </is>
      </c>
      <c r="F131" s="8">
        <f>COUNTIFS(高中!$A:$A,$B131,高中!$E:$E,$C131,高中!$F:$F,"&lt;&gt;",高中!$C:$C,$D131,高中!$D:$D,$E131)</f>
        <v/>
      </c>
      <c r="G131" s="8">
        <f>IF(F131&gt;0,"已查到","未查到")</f>
        <v/>
      </c>
    </row>
    <row r="132">
      <c r="A132" s="8" t="inlineStr">
        <is>
          <t>高中</t>
        </is>
      </c>
      <c r="B132" s="8" t="inlineStr">
        <is>
          <t>南一</t>
        </is>
      </c>
      <c r="C132" s="8" t="inlineStr">
        <is>
          <t>數學</t>
        </is>
      </c>
      <c r="D132" s="8" t="inlineStr">
        <is>
          <t>12</t>
        </is>
      </c>
      <c r="E132" s="8" t="inlineStr">
        <is>
          <t>數學乙上</t>
        </is>
      </c>
      <c r="F132" s="8">
        <f>COUNTIFS(高中!$A:$A,$B132,高中!$E:$E,$C132,高中!$F:$F,"&lt;&gt;",高中!$C:$C,$D132,高中!$D:$D,$E132)</f>
        <v/>
      </c>
      <c r="G132" s="8">
        <f>IF(F132&gt;0,"已查到","未查到")</f>
        <v/>
      </c>
    </row>
    <row r="133">
      <c r="A133" s="8" t="inlineStr">
        <is>
          <t>高中</t>
        </is>
      </c>
      <c r="B133" s="8" t="inlineStr">
        <is>
          <t>南一</t>
        </is>
      </c>
      <c r="C133" s="8" t="inlineStr">
        <is>
          <t>數學</t>
        </is>
      </c>
      <c r="D133" s="8" t="inlineStr">
        <is>
          <t>12</t>
        </is>
      </c>
      <c r="E133" s="8" t="inlineStr">
        <is>
          <t>數學乙下</t>
        </is>
      </c>
      <c r="F133" s="8">
        <f>COUNTIFS(高中!$A:$A,$B133,高中!$E:$E,$C133,高中!$F:$F,"&lt;&gt;",高中!$C:$C,$D133,高中!$D:$D,$E133)</f>
        <v/>
      </c>
      <c r="G133" s="8">
        <f>IF(F133&gt;0,"已查到","未查到")</f>
        <v/>
      </c>
    </row>
    <row r="134">
      <c r="A134" s="8" t="inlineStr">
        <is>
          <t>高中</t>
        </is>
      </c>
      <c r="B134" s="8" t="inlineStr">
        <is>
          <t>南一</t>
        </is>
      </c>
      <c r="C134" s="8" t="inlineStr">
        <is>
          <t>數學</t>
        </is>
      </c>
      <c r="D134" s="8" t="inlineStr">
        <is>
          <t>12</t>
        </is>
      </c>
      <c r="E134" s="8" t="inlineStr">
        <is>
          <t>數學甲上</t>
        </is>
      </c>
      <c r="F134" s="8">
        <f>COUNTIFS(高中!$A:$A,$B134,高中!$E:$E,$C134,高中!$F:$F,"&lt;&gt;",高中!$C:$C,$D134,高中!$D:$D,$E134)</f>
        <v/>
      </c>
      <c r="G134" s="8">
        <f>IF(F134&gt;0,"已查到","未查到")</f>
        <v/>
      </c>
    </row>
    <row r="135">
      <c r="A135" s="8" t="inlineStr">
        <is>
          <t>高中</t>
        </is>
      </c>
      <c r="B135" s="8" t="inlineStr">
        <is>
          <t>南一</t>
        </is>
      </c>
      <c r="C135" s="8" t="inlineStr">
        <is>
          <t>數學</t>
        </is>
      </c>
      <c r="D135" s="8" t="inlineStr">
        <is>
          <t>12</t>
        </is>
      </c>
      <c r="E135" s="8" t="inlineStr">
        <is>
          <t>數學甲下</t>
        </is>
      </c>
      <c r="F135" s="8">
        <f>COUNTIFS(高中!$A:$A,$B135,高中!$E:$E,$C135,高中!$F:$F,"&lt;&gt;",高中!$C:$C,$D135,高中!$D:$D,$E135)</f>
        <v/>
      </c>
      <c r="G135" s="8">
        <f>IF(F135&gt;0,"已查到","未查到")</f>
        <v/>
      </c>
    </row>
    <row r="136">
      <c r="A136" s="8" t="inlineStr">
        <is>
          <t>國中</t>
        </is>
      </c>
      <c r="B136" s="8" t="inlineStr">
        <is>
          <t>南一</t>
        </is>
      </c>
      <c r="C136" s="8" t="inlineStr">
        <is>
          <t>生物</t>
        </is>
      </c>
      <c r="D136" s="8" t="inlineStr">
        <is>
          <t>7</t>
        </is>
      </c>
      <c r="E136" s="8" t="inlineStr">
        <is>
          <t>上</t>
        </is>
      </c>
      <c r="F136" s="8">
        <f>COUNTIFS(國中!$A:$A,$B136,國中!$E:$E,$C136,國中!$F:$F,"&lt;&gt;",國中!$C:$C,$D136,國中!$D:$D,$E136)</f>
        <v/>
      </c>
      <c r="G136" s="8">
        <f>IF(F136&gt;0,"已查到","未查到")</f>
        <v/>
      </c>
    </row>
    <row r="137">
      <c r="A137" s="8" t="inlineStr">
        <is>
          <t>國中</t>
        </is>
      </c>
      <c r="B137" s="8" t="inlineStr">
        <is>
          <t>南一</t>
        </is>
      </c>
      <c r="C137" s="8" t="inlineStr">
        <is>
          <t>生物</t>
        </is>
      </c>
      <c r="D137" s="8" t="inlineStr">
        <is>
          <t>7</t>
        </is>
      </c>
      <c r="E137" s="8" t="inlineStr">
        <is>
          <t>下</t>
        </is>
      </c>
      <c r="F137" s="8">
        <f>COUNTIFS(國中!$A:$A,$B137,國中!$E:$E,$C137,國中!$F:$F,"&lt;&gt;",國中!$C:$C,$D137,國中!$D:$D,$E137)</f>
        <v/>
      </c>
      <c r="G137" s="8">
        <f>IF(F137&gt;0,"已查到","未查到")</f>
        <v/>
      </c>
    </row>
    <row r="138">
      <c r="A138" s="8" t="inlineStr">
        <is>
          <t>高中</t>
        </is>
      </c>
      <c r="B138" s="8" t="inlineStr">
        <is>
          <t>南一</t>
        </is>
      </c>
      <c r="C138" s="8" t="inlineStr">
        <is>
          <t>生物</t>
        </is>
      </c>
      <c r="D138" s="8" t="n"/>
      <c r="E138" s="8" t="inlineStr">
        <is>
          <t>基礎生物（一）</t>
        </is>
      </c>
      <c r="F138" s="8">
        <f>COUNTIFS(高中!$A:$A,$B138,高中!$E:$E,$C138,高中!$F:$F,"&lt;&gt;",高中!$C:$C,"",高中!$D:$D,$E138)</f>
        <v/>
      </c>
      <c r="G138" s="8">
        <f>IF(F138&gt;0,"已查到","未查到")</f>
        <v/>
      </c>
    </row>
    <row r="139">
      <c r="A139" s="8" t="inlineStr">
        <is>
          <t>高中</t>
        </is>
      </c>
      <c r="B139" s="8" t="inlineStr">
        <is>
          <t>南一</t>
        </is>
      </c>
      <c r="C139" s="8" t="inlineStr">
        <is>
          <t>生物</t>
        </is>
      </c>
      <c r="D139" s="8" t="n"/>
      <c r="E139" s="8" t="inlineStr">
        <is>
          <t>基礎生物（二）</t>
        </is>
      </c>
      <c r="F139" s="8">
        <f>COUNTIFS(高中!$A:$A,$B139,高中!$E:$E,$C139,高中!$F:$F,"&lt;&gt;",高中!$C:$C,"",高中!$D:$D,$E139)</f>
        <v/>
      </c>
      <c r="G139" s="8">
        <f>IF(F139&gt;0,"已查到","未查到")</f>
        <v/>
      </c>
    </row>
    <row r="140">
      <c r="A140" s="8" t="inlineStr">
        <is>
          <t>高中</t>
        </is>
      </c>
      <c r="B140" s="8" t="inlineStr">
        <is>
          <t>南一</t>
        </is>
      </c>
      <c r="C140" s="8" t="inlineStr">
        <is>
          <t>生物</t>
        </is>
      </c>
      <c r="D140" s="8" t="n"/>
      <c r="E140" s="8" t="inlineStr">
        <is>
          <t>選修生物I</t>
        </is>
      </c>
      <c r="F140" s="8">
        <f>COUNTIFS(高中!$A:$A,$B140,高中!$E:$E,$C140,高中!$F:$F,"&lt;&gt;",高中!$C:$C,"",高中!$D:$D,$E140)</f>
        <v/>
      </c>
      <c r="G140" s="8">
        <f>IF(F140&gt;0,"已查到","未查到")</f>
        <v/>
      </c>
    </row>
    <row r="141">
      <c r="A141" s="8" t="inlineStr">
        <is>
          <t>高中</t>
        </is>
      </c>
      <c r="B141" s="8" t="inlineStr">
        <is>
          <t>南一</t>
        </is>
      </c>
      <c r="C141" s="8" t="inlineStr">
        <is>
          <t>生物</t>
        </is>
      </c>
      <c r="D141" s="8" t="n"/>
      <c r="E141" s="8" t="inlineStr">
        <is>
          <t>選修生物II</t>
        </is>
      </c>
      <c r="F141" s="8">
        <f>COUNTIFS(高中!$A:$A,$B141,高中!$E:$E,$C141,高中!$F:$F,"&lt;&gt;",高中!$C:$C,"",高中!$D:$D,$E141)</f>
        <v/>
      </c>
      <c r="G141" s="8">
        <f>IF(F141&gt;0,"已查到","未查到")</f>
        <v/>
      </c>
    </row>
    <row r="142">
      <c r="A142" s="8" t="inlineStr">
        <is>
          <t>高中</t>
        </is>
      </c>
      <c r="B142" s="8" t="inlineStr">
        <is>
          <t>南一</t>
        </is>
      </c>
      <c r="C142" s="8" t="inlineStr">
        <is>
          <t>生物</t>
        </is>
      </c>
      <c r="D142" s="8" t="n"/>
      <c r="E142" s="8" t="inlineStr">
        <is>
          <t>選修生物III</t>
        </is>
      </c>
      <c r="F142" s="8">
        <f>COUNTIFS(高中!$A:$A,$B142,高中!$E:$E,$C142,高中!$F:$F,"&lt;&gt;",高中!$C:$C,"",高中!$D:$D,$E142)</f>
        <v/>
      </c>
      <c r="G142" s="8">
        <f>IF(F142&gt;0,"已查到","未查到")</f>
        <v/>
      </c>
    </row>
    <row r="143">
      <c r="A143" s="8" t="inlineStr">
        <is>
          <t>高中</t>
        </is>
      </c>
      <c r="B143" s="8" t="inlineStr">
        <is>
          <t>南一</t>
        </is>
      </c>
      <c r="C143" s="8" t="inlineStr">
        <is>
          <t>生物</t>
        </is>
      </c>
      <c r="D143" s="8" t="n"/>
      <c r="E143" s="8" t="inlineStr">
        <is>
          <t>選修生物IV</t>
        </is>
      </c>
      <c r="F143" s="8">
        <f>COUNTIFS(高中!$A:$A,$B143,高中!$E:$E,$C143,高中!$F:$F,"&lt;&gt;",高中!$C:$C,"",高中!$D:$D,$E143)</f>
        <v/>
      </c>
      <c r="G143" s="8">
        <f>IF(F143&gt;0,"已查到","未查到")</f>
        <v/>
      </c>
    </row>
    <row r="144">
      <c r="A144" s="8" t="inlineStr">
        <is>
          <t>國中</t>
        </is>
      </c>
      <c r="B144" s="8" t="inlineStr">
        <is>
          <t>南一</t>
        </is>
      </c>
      <c r="C144" s="8" t="inlineStr">
        <is>
          <t>理化</t>
        </is>
      </c>
      <c r="D144" s="8" t="inlineStr">
        <is>
          <t>8</t>
        </is>
      </c>
      <c r="E144" s="8" t="inlineStr">
        <is>
          <t>上</t>
        </is>
      </c>
      <c r="F144" s="8">
        <f>COUNTIFS(國中!$A:$A,$B144,國中!$E:$E,$C144,國中!$F:$F,"&lt;&gt;",國中!$C:$C,$D144,國中!$D:$D,$E144)</f>
        <v/>
      </c>
      <c r="G144" s="8">
        <f>IF(F144&gt;0,"已查到","未查到")</f>
        <v/>
      </c>
    </row>
    <row r="145">
      <c r="A145" s="8" t="inlineStr">
        <is>
          <t>國中</t>
        </is>
      </c>
      <c r="B145" s="8" t="inlineStr">
        <is>
          <t>南一</t>
        </is>
      </c>
      <c r="C145" s="8" t="inlineStr">
        <is>
          <t>理化</t>
        </is>
      </c>
      <c r="D145" s="8" t="inlineStr">
        <is>
          <t>8</t>
        </is>
      </c>
      <c r="E145" s="8" t="inlineStr">
        <is>
          <t>下</t>
        </is>
      </c>
      <c r="F145" s="8">
        <f>COUNTIFS(國中!$A:$A,$B145,國中!$E:$E,$C145,國中!$F:$F,"&lt;&gt;",國中!$C:$C,$D145,國中!$D:$D,$E145)</f>
        <v/>
      </c>
      <c r="G145" s="8">
        <f>IF(F145&gt;0,"已查到","未查到")</f>
        <v/>
      </c>
    </row>
    <row r="146">
      <c r="A146" s="8" t="inlineStr">
        <is>
          <t>國中</t>
        </is>
      </c>
      <c r="B146" s="8" t="inlineStr">
        <is>
          <t>南一</t>
        </is>
      </c>
      <c r="C146" s="8" t="inlineStr">
        <is>
          <t>理化</t>
        </is>
      </c>
      <c r="D146" s="8" t="inlineStr">
        <is>
          <t>9</t>
        </is>
      </c>
      <c r="E146" s="8" t="inlineStr">
        <is>
          <t>上</t>
        </is>
      </c>
      <c r="F146" s="8">
        <f>COUNTIFS(國中!$A:$A,$B146,國中!$E:$E,$C146,國中!$F:$F,"&lt;&gt;",國中!$C:$C,$D146,國中!$D:$D,$E146)</f>
        <v/>
      </c>
      <c r="G146" s="8">
        <f>IF(F146&gt;0,"已查到","未查到")</f>
        <v/>
      </c>
    </row>
    <row r="147">
      <c r="A147" s="8" t="inlineStr">
        <is>
          <t>國中</t>
        </is>
      </c>
      <c r="B147" s="8" t="inlineStr">
        <is>
          <t>南一</t>
        </is>
      </c>
      <c r="C147" s="8" t="inlineStr">
        <is>
          <t>理化</t>
        </is>
      </c>
      <c r="D147" s="8" t="inlineStr">
        <is>
          <t>9</t>
        </is>
      </c>
      <c r="E147" s="8" t="inlineStr">
        <is>
          <t>下</t>
        </is>
      </c>
      <c r="F147" s="8">
        <f>COUNTIFS(國中!$A:$A,$B147,國中!$E:$E,$C147,國中!$F:$F,"&lt;&gt;",國中!$C:$C,$D147,國中!$D:$D,$E147)</f>
        <v/>
      </c>
      <c r="G147" s="8">
        <f>IF(F147&gt;0,"已查到","未查到")</f>
        <v/>
      </c>
    </row>
    <row r="148">
      <c r="A148" s="8" t="inlineStr">
        <is>
          <t>高中</t>
        </is>
      </c>
      <c r="B148" s="8" t="inlineStr">
        <is>
          <t>南一</t>
        </is>
      </c>
      <c r="C148" s="8" t="inlineStr">
        <is>
          <t>物理</t>
        </is>
      </c>
      <c r="D148" s="8" t="n"/>
      <c r="E148" s="8" t="inlineStr">
        <is>
          <t>基礎物理（一）</t>
        </is>
      </c>
      <c r="F148" s="8">
        <f>COUNTIFS(高中!$A:$A,$B148,高中!$E:$E,$C148,高中!$F:$F,"&lt;&gt;",高中!$C:$C,"",高中!$D:$D,$E148)</f>
        <v/>
      </c>
      <c r="G148" s="8">
        <f>IF(F148&gt;0,"已查到","未查到")</f>
        <v/>
      </c>
    </row>
    <row r="149">
      <c r="A149" s="8" t="inlineStr">
        <is>
          <t>高中</t>
        </is>
      </c>
      <c r="B149" s="8" t="inlineStr">
        <is>
          <t>南一</t>
        </is>
      </c>
      <c r="C149" s="8" t="inlineStr">
        <is>
          <t>物理</t>
        </is>
      </c>
      <c r="D149" s="8" t="n"/>
      <c r="E149" s="8" t="inlineStr">
        <is>
          <t>選修物理I</t>
        </is>
      </c>
      <c r="F149" s="8">
        <f>COUNTIFS(高中!$A:$A,$B149,高中!$E:$E,$C149,高中!$F:$F,"&lt;&gt;",高中!$C:$C,"",高中!$D:$D,$E149)</f>
        <v/>
      </c>
      <c r="G149" s="8">
        <f>IF(F149&gt;0,"已查到","未查到")</f>
        <v/>
      </c>
    </row>
    <row r="150">
      <c r="A150" s="8" t="inlineStr">
        <is>
          <t>高中</t>
        </is>
      </c>
      <c r="B150" s="8" t="inlineStr">
        <is>
          <t>南一</t>
        </is>
      </c>
      <c r="C150" s="8" t="inlineStr">
        <is>
          <t>物理</t>
        </is>
      </c>
      <c r="D150" s="8" t="n"/>
      <c r="E150" s="8" t="inlineStr">
        <is>
          <t>選修物理II</t>
        </is>
      </c>
      <c r="F150" s="8">
        <f>COUNTIFS(高中!$A:$A,$B150,高中!$E:$E,$C150,高中!$F:$F,"&lt;&gt;",高中!$C:$C,"",高中!$D:$D,$E150)</f>
        <v/>
      </c>
      <c r="G150" s="8">
        <f>IF(F150&gt;0,"已查到","未查到")</f>
        <v/>
      </c>
    </row>
    <row r="151">
      <c r="A151" s="8" t="inlineStr">
        <is>
          <t>高中</t>
        </is>
      </c>
      <c r="B151" s="8" t="inlineStr">
        <is>
          <t>南一</t>
        </is>
      </c>
      <c r="C151" s="8" t="inlineStr">
        <is>
          <t>物理</t>
        </is>
      </c>
      <c r="D151" s="8" t="n"/>
      <c r="E151" s="8" t="inlineStr">
        <is>
          <t>選修物理III</t>
        </is>
      </c>
      <c r="F151" s="8">
        <f>COUNTIFS(高中!$A:$A,$B151,高中!$E:$E,$C151,高中!$F:$F,"&lt;&gt;",高中!$C:$C,"",高中!$D:$D,$E151)</f>
        <v/>
      </c>
      <c r="G151" s="8">
        <f>IF(F151&gt;0,"已查到","未查到")</f>
        <v/>
      </c>
    </row>
    <row r="152">
      <c r="A152" s="8" t="inlineStr">
        <is>
          <t>高中</t>
        </is>
      </c>
      <c r="B152" s="8" t="inlineStr">
        <is>
          <t>南一</t>
        </is>
      </c>
      <c r="C152" s="8" t="inlineStr">
        <is>
          <t>物理</t>
        </is>
      </c>
      <c r="D152" s="8" t="n"/>
      <c r="E152" s="8" t="inlineStr">
        <is>
          <t>選修物理IV</t>
        </is>
      </c>
      <c r="F152" s="8">
        <f>COUNTIFS(高中!$A:$A,$B152,高中!$E:$E,$C152,高中!$F:$F,"&lt;&gt;",高中!$C:$C,"",高中!$D:$D,$E152)</f>
        <v/>
      </c>
      <c r="G152" s="8">
        <f>IF(F152&gt;0,"已查到","未查到")</f>
        <v/>
      </c>
    </row>
    <row r="153">
      <c r="A153" s="8" t="inlineStr">
        <is>
          <t>高中</t>
        </is>
      </c>
      <c r="B153" s="8" t="inlineStr">
        <is>
          <t>南一</t>
        </is>
      </c>
      <c r="C153" s="8" t="inlineStr">
        <is>
          <t>物理</t>
        </is>
      </c>
      <c r="D153" s="8" t="n"/>
      <c r="E153" s="8" t="inlineStr">
        <is>
          <t>選修物理V</t>
        </is>
      </c>
      <c r="F153" s="8">
        <f>COUNTIFS(高中!$A:$A,$B153,高中!$E:$E,$C153,高中!$F:$F,"&lt;&gt;",高中!$C:$C,"",高中!$D:$D,$E153)</f>
        <v/>
      </c>
      <c r="G153" s="8">
        <f>IF(F153&gt;0,"已查到","未查到")</f>
        <v/>
      </c>
    </row>
    <row r="154">
      <c r="A154" s="8" t="inlineStr">
        <is>
          <t>高中</t>
        </is>
      </c>
      <c r="B154" s="8" t="inlineStr">
        <is>
          <t>南一</t>
        </is>
      </c>
      <c r="C154" s="8" t="inlineStr">
        <is>
          <t>化學</t>
        </is>
      </c>
      <c r="D154" s="8" t="inlineStr">
        <is>
          <t>10</t>
        </is>
      </c>
      <c r="E154" s="8" t="inlineStr">
        <is>
          <t>高一化學（來源未寫冊名）</t>
        </is>
      </c>
      <c r="F154" s="8">
        <f>COUNTIFS(高中!$A:$A,$B154,高中!$E:$E,$C154,高中!$F:$F,"&lt;&gt;",高中!$C:$C,$D154,高中!$D:$D,$E154)</f>
        <v/>
      </c>
      <c r="G154" s="8">
        <f>IF(F154&gt;0,"已查到","未查到")</f>
        <v/>
      </c>
    </row>
    <row r="155">
      <c r="A155" s="8" t="inlineStr">
        <is>
          <t>高中</t>
        </is>
      </c>
      <c r="B155" s="8" t="inlineStr">
        <is>
          <t>南一</t>
        </is>
      </c>
      <c r="C155" s="8" t="inlineStr">
        <is>
          <t>化學</t>
        </is>
      </c>
      <c r="D155" s="8" t="inlineStr">
        <is>
          <t>12</t>
        </is>
      </c>
      <c r="E155" s="8" t="inlineStr">
        <is>
          <t>選修化學V（來源只寫「選修化學」）</t>
        </is>
      </c>
      <c r="F155" s="8">
        <f>COUNTIFS(高中!$A:$A,$B155,高中!$E:$E,$C155,高中!$F:$F,"&lt;&gt;",高中!$C:$C,$D155,高中!$D:$D,$E155)</f>
        <v/>
      </c>
      <c r="G155" s="8">
        <f>IF(F155&gt;0,"已查到","未查到")</f>
        <v/>
      </c>
    </row>
    <row r="156">
      <c r="A156" s="8" t="inlineStr">
        <is>
          <t>高中</t>
        </is>
      </c>
      <c r="B156" s="8" t="inlineStr">
        <is>
          <t>南一</t>
        </is>
      </c>
      <c r="C156" s="8" t="inlineStr">
        <is>
          <t>化學</t>
        </is>
      </c>
      <c r="D156" s="8" t="n"/>
      <c r="E156" s="8" t="inlineStr">
        <is>
          <t>基礎化學（三）</t>
        </is>
      </c>
      <c r="F156" s="8">
        <f>COUNTIFS(高中!$A:$A,$B156,高中!$E:$E,$C156,高中!$F:$F,"&lt;&gt;",高中!$C:$C,"",高中!$D:$D,$E156)</f>
        <v/>
      </c>
      <c r="G156" s="8">
        <f>IF(F156&gt;0,"已查到","未查到")</f>
        <v/>
      </c>
    </row>
    <row r="157">
      <c r="A157" s="8" t="inlineStr">
        <is>
          <t>高中</t>
        </is>
      </c>
      <c r="B157" s="8" t="inlineStr">
        <is>
          <t>南一</t>
        </is>
      </c>
      <c r="C157" s="8" t="inlineStr">
        <is>
          <t>化學</t>
        </is>
      </c>
      <c r="D157" s="8" t="n"/>
      <c r="E157" s="8" t="inlineStr">
        <is>
          <t>基礎化學（二）</t>
        </is>
      </c>
      <c r="F157" s="8">
        <f>COUNTIFS(高中!$A:$A,$B157,高中!$E:$E,$C157,高中!$F:$F,"&lt;&gt;",高中!$C:$C,"",高中!$D:$D,$E157)</f>
        <v/>
      </c>
      <c r="G157" s="8">
        <f>IF(F157&gt;0,"已查到","未查到")</f>
        <v/>
      </c>
    </row>
    <row r="158">
      <c r="A158" s="8" t="inlineStr">
        <is>
          <t>高中</t>
        </is>
      </c>
      <c r="B158" s="8" t="inlineStr">
        <is>
          <t>南一</t>
        </is>
      </c>
      <c r="C158" s="8" t="inlineStr">
        <is>
          <t>化學</t>
        </is>
      </c>
      <c r="D158" s="8" t="n"/>
      <c r="E158" s="8" t="inlineStr">
        <is>
          <t>選修化學I</t>
        </is>
      </c>
      <c r="F158" s="8">
        <f>COUNTIFS(高中!$A:$A,$B158,高中!$E:$E,$C158,高中!$F:$F,"&lt;&gt;",高中!$C:$C,"",高中!$D:$D,$E158)</f>
        <v/>
      </c>
      <c r="G158" s="8">
        <f>IF(F158&gt;0,"已查到","未查到")</f>
        <v/>
      </c>
    </row>
    <row r="159">
      <c r="A159" s="8" t="inlineStr">
        <is>
          <t>高中</t>
        </is>
      </c>
      <c r="B159" s="8" t="inlineStr">
        <is>
          <t>南一</t>
        </is>
      </c>
      <c r="C159" s="8" t="inlineStr">
        <is>
          <t>化學</t>
        </is>
      </c>
      <c r="D159" s="8" t="n"/>
      <c r="E159" s="8" t="inlineStr">
        <is>
          <t>選修化學II</t>
        </is>
      </c>
      <c r="F159" s="8">
        <f>COUNTIFS(高中!$A:$A,$B159,高中!$E:$E,$C159,高中!$F:$F,"&lt;&gt;",高中!$C:$C,"",高中!$D:$D,$E159)</f>
        <v/>
      </c>
      <c r="G159" s="8">
        <f>IF(F159&gt;0,"已查到","未查到")</f>
        <v/>
      </c>
    </row>
    <row r="160">
      <c r="A160" s="8" t="inlineStr">
        <is>
          <t>高中</t>
        </is>
      </c>
      <c r="B160" s="8" t="inlineStr">
        <is>
          <t>南一</t>
        </is>
      </c>
      <c r="C160" s="8" t="inlineStr">
        <is>
          <t>化學</t>
        </is>
      </c>
      <c r="D160" s="8" t="n"/>
      <c r="E160" s="8" t="inlineStr">
        <is>
          <t>選修化學III</t>
        </is>
      </c>
      <c r="F160" s="8">
        <f>COUNTIFS(高中!$A:$A,$B160,高中!$E:$E,$C160,高中!$F:$F,"&lt;&gt;",高中!$C:$C,"",高中!$D:$D,$E160)</f>
        <v/>
      </c>
      <c r="G160" s="8">
        <f>IF(F160&gt;0,"已查到","未查到")</f>
        <v/>
      </c>
    </row>
    <row r="161">
      <c r="A161" s="8" t="inlineStr">
        <is>
          <t>高中</t>
        </is>
      </c>
      <c r="B161" s="8" t="inlineStr">
        <is>
          <t>南一</t>
        </is>
      </c>
      <c r="C161" s="8" t="inlineStr">
        <is>
          <t>化學</t>
        </is>
      </c>
      <c r="D161" s="8" t="n"/>
      <c r="E161" s="8" t="inlineStr">
        <is>
          <t>選修化學IV</t>
        </is>
      </c>
      <c r="F161" s="8">
        <f>COUNTIFS(高中!$A:$A,$B161,高中!$E:$E,$C161,高中!$F:$F,"&lt;&gt;",高中!$C:$C,"",高中!$D:$D,$E161)</f>
        <v/>
      </c>
      <c r="G161" s="8">
        <f>IF(F161&gt;0,"已查到","未查到")</f>
        <v/>
      </c>
    </row>
    <row r="162">
      <c r="A162" s="8" t="inlineStr">
        <is>
          <t>國中</t>
        </is>
      </c>
      <c r="B162" s="8" t="inlineStr">
        <is>
          <t>南一</t>
        </is>
      </c>
      <c r="C162" s="8" t="inlineStr">
        <is>
          <t>地球科學</t>
        </is>
      </c>
      <c r="D162" s="8" t="inlineStr">
        <is>
          <t>9</t>
        </is>
      </c>
      <c r="E162" s="8" t="inlineStr">
        <is>
          <t>上</t>
        </is>
      </c>
      <c r="F162" s="8">
        <f>COUNTIFS(國中!$A:$A,$B162,國中!$E:$E,$C162,國中!$F:$F,"&lt;&gt;",國中!$C:$C,$D162,國中!$D:$D,$E162)</f>
        <v/>
      </c>
      <c r="G162" s="8">
        <f>IF(F162&gt;0,"已查到","未查到")</f>
        <v/>
      </c>
    </row>
    <row r="163">
      <c r="A163" s="8" t="inlineStr">
        <is>
          <t>國中</t>
        </is>
      </c>
      <c r="B163" s="8" t="inlineStr">
        <is>
          <t>南一</t>
        </is>
      </c>
      <c r="C163" s="8" t="inlineStr">
        <is>
          <t>地球科學</t>
        </is>
      </c>
      <c r="D163" s="8" t="inlineStr">
        <is>
          <t>9</t>
        </is>
      </c>
      <c r="E163" s="8" t="inlineStr">
        <is>
          <t>下</t>
        </is>
      </c>
      <c r="F163" s="8">
        <f>COUNTIFS(國中!$A:$A,$B163,國中!$E:$E,$C163,國中!$F:$F,"&lt;&gt;",國中!$C:$C,$D163,國中!$D:$D,$E163)</f>
        <v/>
      </c>
      <c r="G163" s="8">
        <f>IF(F163&gt;0,"已查到","未查到")</f>
        <v/>
      </c>
    </row>
    <row r="164">
      <c r="A164" s="8" t="inlineStr">
        <is>
          <t>高中</t>
        </is>
      </c>
      <c r="B164" s="8" t="inlineStr">
        <is>
          <t>南一</t>
        </is>
      </c>
      <c r="C164" s="8" t="inlineStr">
        <is>
          <t>地球科學</t>
        </is>
      </c>
      <c r="D164" s="8" t="n"/>
      <c r="E164" s="8" t="inlineStr">
        <is>
          <t>基礎地球科學（一）</t>
        </is>
      </c>
      <c r="F164" s="8">
        <f>COUNTIFS(高中!$A:$A,$B164,高中!$E:$E,$C164,高中!$F:$F,"&lt;&gt;",高中!$C:$C,"",高中!$D:$D,$E164)</f>
        <v/>
      </c>
      <c r="G164" s="8">
        <f>IF(F164&gt;0,"已查到","未查到")</f>
        <v/>
      </c>
    </row>
    <row r="165">
      <c r="A165" s="8" t="inlineStr">
        <is>
          <t>高中</t>
        </is>
      </c>
      <c r="B165" s="8" t="inlineStr">
        <is>
          <t>南一</t>
        </is>
      </c>
      <c r="C165" s="8" t="inlineStr">
        <is>
          <t>地球科學</t>
        </is>
      </c>
      <c r="D165" s="8" t="n"/>
      <c r="E165" s="8" t="inlineStr">
        <is>
          <t>基礎地球科學（二）</t>
        </is>
      </c>
      <c r="F165" s="8">
        <f>COUNTIFS(高中!$A:$A,$B165,高中!$E:$E,$C165,高中!$F:$F,"&lt;&gt;",高中!$C:$C,"",高中!$D:$D,$E165)</f>
        <v/>
      </c>
      <c r="G165" s="8">
        <f>IF(F165&gt;0,"已查到","未查到")</f>
        <v/>
      </c>
    </row>
    <row r="166">
      <c r="A166" s="8" t="inlineStr">
        <is>
          <t>高中</t>
        </is>
      </c>
      <c r="B166" s="8" t="inlineStr">
        <is>
          <t>南一</t>
        </is>
      </c>
      <c r="C166" s="8" t="inlineStr">
        <is>
          <t>地球科學</t>
        </is>
      </c>
      <c r="D166" s="8" t="n"/>
      <c r="E166" s="8" t="inlineStr">
        <is>
          <t>選修地球科學I</t>
        </is>
      </c>
      <c r="F166" s="8">
        <f>COUNTIFS(高中!$A:$A,$B166,高中!$E:$E,$C166,高中!$F:$F,"&lt;&gt;",高中!$C:$C,"",高中!$D:$D,$E166)</f>
        <v/>
      </c>
      <c r="G166" s="8">
        <f>IF(F166&gt;0,"已查到","未查到")</f>
        <v/>
      </c>
    </row>
    <row r="167">
      <c r="A167" s="8" t="inlineStr">
        <is>
          <t>高中</t>
        </is>
      </c>
      <c r="B167" s="8" t="inlineStr">
        <is>
          <t>南一</t>
        </is>
      </c>
      <c r="C167" s="8" t="inlineStr">
        <is>
          <t>地球科學</t>
        </is>
      </c>
      <c r="D167" s="8" t="n"/>
      <c r="E167" s="8" t="inlineStr">
        <is>
          <t>選修地球科學II</t>
        </is>
      </c>
      <c r="F167" s="8">
        <f>COUNTIFS(高中!$A:$A,$B167,高中!$E:$E,$C167,高中!$F:$F,"&lt;&gt;",高中!$C:$C,"",高中!$D:$D,$E167)</f>
        <v/>
      </c>
      <c r="G167" s="8">
        <f>IF(F167&gt;0,"已查到","未查到")</f>
        <v/>
      </c>
    </row>
    <row r="168">
      <c r="A168" s="8" t="inlineStr">
        <is>
          <t>高中</t>
        </is>
      </c>
      <c r="B168" s="8" t="inlineStr">
        <is>
          <t>南一</t>
        </is>
      </c>
      <c r="C168" s="8" t="inlineStr">
        <is>
          <t>地球科學</t>
        </is>
      </c>
      <c r="D168" s="8" t="n"/>
      <c r="E168" s="8" t="inlineStr">
        <is>
          <t>選修地球科學III</t>
        </is>
      </c>
      <c r="F168" s="8">
        <f>COUNTIFS(高中!$A:$A,$B168,高中!$E:$E,$C168,高中!$F:$F,"&lt;&gt;",高中!$C:$C,"",高中!$D:$D,$E168)</f>
        <v/>
      </c>
      <c r="G168" s="8">
        <f>IF(F168&gt;0,"已查到","未查到")</f>
        <v/>
      </c>
    </row>
    <row r="169">
      <c r="A169" s="8" t="inlineStr">
        <is>
          <t>高中</t>
        </is>
      </c>
      <c r="B169" s="8" t="inlineStr">
        <is>
          <t>南一</t>
        </is>
      </c>
      <c r="C169" s="8" t="inlineStr">
        <is>
          <t>地球科學</t>
        </is>
      </c>
      <c r="D169" s="8" t="n"/>
      <c r="E169" s="8" t="inlineStr">
        <is>
          <t>選修地球科學IV</t>
        </is>
      </c>
      <c r="F169" s="8">
        <f>COUNTIFS(高中!$A:$A,$B169,高中!$E:$E,$C169,高中!$F:$F,"&lt;&gt;",高中!$C:$C,"",高中!$D:$D,$E169)</f>
        <v/>
      </c>
      <c r="G169" s="8">
        <f>IF(F169&gt;0,"已查到","未查到")</f>
        <v/>
      </c>
    </row>
    <row r="170">
      <c r="A170" s="8" t="inlineStr">
        <is>
          <t>國中</t>
        </is>
      </c>
      <c r="B170" s="8" t="inlineStr">
        <is>
          <t>南一</t>
        </is>
      </c>
      <c r="C170" s="8" t="inlineStr">
        <is>
          <t>歷史</t>
        </is>
      </c>
      <c r="D170" s="8" t="inlineStr">
        <is>
          <t>7</t>
        </is>
      </c>
      <c r="E170" s="8" t="inlineStr">
        <is>
          <t>上</t>
        </is>
      </c>
      <c r="F170" s="8">
        <f>COUNTIFS(國中!$A:$A,$B170,國中!$E:$E,$C170,國中!$F:$F,"&lt;&gt;",國中!$C:$C,$D170,國中!$D:$D,$E170)</f>
        <v/>
      </c>
      <c r="G170" s="8">
        <f>IF(F170&gt;0,"已查到","未查到")</f>
        <v/>
      </c>
    </row>
    <row r="171">
      <c r="A171" s="8" t="inlineStr">
        <is>
          <t>國中</t>
        </is>
      </c>
      <c r="B171" s="8" t="inlineStr">
        <is>
          <t>南一</t>
        </is>
      </c>
      <c r="C171" s="8" t="inlineStr">
        <is>
          <t>歷史</t>
        </is>
      </c>
      <c r="D171" s="8" t="inlineStr">
        <is>
          <t>7</t>
        </is>
      </c>
      <c r="E171" s="8" t="inlineStr">
        <is>
          <t>下</t>
        </is>
      </c>
      <c r="F171" s="8">
        <f>COUNTIFS(國中!$A:$A,$B171,國中!$E:$E,$C171,國中!$F:$F,"&lt;&gt;",國中!$C:$C,$D171,國中!$D:$D,$E171)</f>
        <v/>
      </c>
      <c r="G171" s="8">
        <f>IF(F171&gt;0,"已查到","未查到")</f>
        <v/>
      </c>
    </row>
    <row r="172">
      <c r="A172" s="8" t="inlineStr">
        <is>
          <t>國中</t>
        </is>
      </c>
      <c r="B172" s="8" t="inlineStr">
        <is>
          <t>南一</t>
        </is>
      </c>
      <c r="C172" s="8" t="inlineStr">
        <is>
          <t>歷史</t>
        </is>
      </c>
      <c r="D172" s="8" t="inlineStr">
        <is>
          <t>8</t>
        </is>
      </c>
      <c r="E172" s="8" t="inlineStr">
        <is>
          <t>上</t>
        </is>
      </c>
      <c r="F172" s="8">
        <f>COUNTIFS(國中!$A:$A,$B172,國中!$E:$E,$C172,國中!$F:$F,"&lt;&gt;",國中!$C:$C,$D172,國中!$D:$D,$E172)</f>
        <v/>
      </c>
      <c r="G172" s="8">
        <f>IF(F172&gt;0,"已查到","未查到")</f>
        <v/>
      </c>
    </row>
    <row r="173">
      <c r="A173" s="8" t="inlineStr">
        <is>
          <t>國中</t>
        </is>
      </c>
      <c r="B173" s="8" t="inlineStr">
        <is>
          <t>南一</t>
        </is>
      </c>
      <c r="C173" s="8" t="inlineStr">
        <is>
          <t>歷史</t>
        </is>
      </c>
      <c r="D173" s="8" t="inlineStr">
        <is>
          <t>8</t>
        </is>
      </c>
      <c r="E173" s="8" t="inlineStr">
        <is>
          <t>下</t>
        </is>
      </c>
      <c r="F173" s="8">
        <f>COUNTIFS(國中!$A:$A,$B173,國中!$E:$E,$C173,國中!$F:$F,"&lt;&gt;",國中!$C:$C,$D173,國中!$D:$D,$E173)</f>
        <v/>
      </c>
      <c r="G173" s="8">
        <f>IF(F173&gt;0,"已查到","未查到")</f>
        <v/>
      </c>
    </row>
    <row r="174">
      <c r="A174" s="8" t="inlineStr">
        <is>
          <t>國中</t>
        </is>
      </c>
      <c r="B174" s="8" t="inlineStr">
        <is>
          <t>南一</t>
        </is>
      </c>
      <c r="C174" s="8" t="inlineStr">
        <is>
          <t>歷史</t>
        </is>
      </c>
      <c r="D174" s="8" t="inlineStr">
        <is>
          <t>9</t>
        </is>
      </c>
      <c r="E174" s="8" t="inlineStr">
        <is>
          <t>上</t>
        </is>
      </c>
      <c r="F174" s="8">
        <f>COUNTIFS(國中!$A:$A,$B174,國中!$E:$E,$C174,國中!$F:$F,"&lt;&gt;",國中!$C:$C,$D174,國中!$D:$D,$E174)</f>
        <v/>
      </c>
      <c r="G174" s="8">
        <f>IF(F174&gt;0,"已查到","未查到")</f>
        <v/>
      </c>
    </row>
    <row r="175">
      <c r="A175" s="8" t="inlineStr">
        <is>
          <t>國中</t>
        </is>
      </c>
      <c r="B175" s="8" t="inlineStr">
        <is>
          <t>南一</t>
        </is>
      </c>
      <c r="C175" s="8" t="inlineStr">
        <is>
          <t>歷史</t>
        </is>
      </c>
      <c r="D175" s="8" t="inlineStr">
        <is>
          <t>9</t>
        </is>
      </c>
      <c r="E175" s="8" t="inlineStr">
        <is>
          <t>下</t>
        </is>
      </c>
      <c r="F175" s="8">
        <f>COUNTIFS(國中!$A:$A,$B175,國中!$E:$E,$C175,國中!$F:$F,"&lt;&gt;",國中!$C:$C,$D175,國中!$D:$D,$E175)</f>
        <v/>
      </c>
      <c r="G175" s="8">
        <f>IF(F175&gt;0,"已查到","未查到")</f>
        <v/>
      </c>
    </row>
    <row r="176">
      <c r="A176" s="8" t="inlineStr">
        <is>
          <t>高中</t>
        </is>
      </c>
      <c r="B176" s="8" t="inlineStr">
        <is>
          <t>南一</t>
        </is>
      </c>
      <c r="C176" s="8" t="inlineStr">
        <is>
          <t>歷史</t>
        </is>
      </c>
      <c r="D176" s="8" t="inlineStr">
        <is>
          <t>10</t>
        </is>
      </c>
      <c r="E176" s="8" t="inlineStr">
        <is>
          <t>第一冊</t>
        </is>
      </c>
      <c r="F176" s="8">
        <f>COUNTIFS(高中!$A:$A,$B176,高中!$E:$E,$C176,高中!$F:$F,"&lt;&gt;",高中!$C:$C,$D176,高中!$D:$D,$E176)</f>
        <v/>
      </c>
      <c r="G176" s="8">
        <f>IF(F176&gt;0,"已查到","未查到")</f>
        <v/>
      </c>
    </row>
    <row r="177">
      <c r="A177" s="8" t="inlineStr">
        <is>
          <t>高中</t>
        </is>
      </c>
      <c r="B177" s="8" t="inlineStr">
        <is>
          <t>南一</t>
        </is>
      </c>
      <c r="C177" s="8" t="inlineStr">
        <is>
          <t>歷史</t>
        </is>
      </c>
      <c r="D177" s="8" t="inlineStr">
        <is>
          <t>10</t>
        </is>
      </c>
      <c r="E177" s="8" t="inlineStr">
        <is>
          <t>第二冊</t>
        </is>
      </c>
      <c r="F177" s="8">
        <f>COUNTIFS(高中!$A:$A,$B177,高中!$E:$E,$C177,高中!$F:$F,"&lt;&gt;",高中!$C:$C,$D177,高中!$D:$D,$E177)</f>
        <v/>
      </c>
      <c r="G177" s="8">
        <f>IF(F177&gt;0,"已查到","未查到")</f>
        <v/>
      </c>
    </row>
    <row r="178">
      <c r="A178" s="8" t="inlineStr">
        <is>
          <t>高中</t>
        </is>
      </c>
      <c r="B178" s="8" t="inlineStr">
        <is>
          <t>南一</t>
        </is>
      </c>
      <c r="C178" s="8" t="inlineStr">
        <is>
          <t>歷史</t>
        </is>
      </c>
      <c r="D178" s="8" t="inlineStr">
        <is>
          <t>11</t>
        </is>
      </c>
      <c r="E178" s="8" t="inlineStr">
        <is>
          <t>第三冊</t>
        </is>
      </c>
      <c r="F178" s="8">
        <f>COUNTIFS(高中!$A:$A,$B178,高中!$E:$E,$C178,高中!$F:$F,"&lt;&gt;",高中!$C:$C,$D178,高中!$D:$D,$E178)</f>
        <v/>
      </c>
      <c r="G178" s="8">
        <f>IF(F178&gt;0,"已查到","未查到")</f>
        <v/>
      </c>
    </row>
    <row r="179">
      <c r="A179" s="8" t="inlineStr">
        <is>
          <t>高中</t>
        </is>
      </c>
      <c r="B179" s="8" t="inlineStr">
        <is>
          <t>南一</t>
        </is>
      </c>
      <c r="C179" s="8" t="inlineStr">
        <is>
          <t>歷史</t>
        </is>
      </c>
      <c r="D179" s="8" t="n"/>
      <c r="E179" s="8" t="inlineStr">
        <is>
          <t>加深加廣選修 探究與實作：歷史學探究</t>
        </is>
      </c>
      <c r="F179" s="8">
        <f>COUNTIFS(高中!$A:$A,$B179,高中!$E:$E,$C179,高中!$F:$F,"&lt;&gt;",高中!$C:$C,"",高中!$D:$D,$E179)</f>
        <v/>
      </c>
      <c r="G179" s="8">
        <f>IF(F179&gt;0,"已查到","未查到")</f>
        <v/>
      </c>
    </row>
    <row r="180">
      <c r="A180" s="8" t="inlineStr">
        <is>
          <t>高中</t>
        </is>
      </c>
      <c r="B180" s="8" t="inlineStr">
        <is>
          <t>南一</t>
        </is>
      </c>
      <c r="C180" s="8" t="inlineStr">
        <is>
          <t>歷史</t>
        </is>
      </c>
      <c r="D180" s="8" t="n"/>
      <c r="E180" s="8" t="inlineStr">
        <is>
          <t>加深加廣選修 族群、性別與國家的歷史</t>
        </is>
      </c>
      <c r="F180" s="8">
        <f>COUNTIFS(高中!$A:$A,$B180,高中!$E:$E,$C180,高中!$F:$F,"&lt;&gt;",高中!$C:$C,"",高中!$D:$D,$E180)</f>
        <v/>
      </c>
      <c r="G180" s="8">
        <f>IF(F180&gt;0,"已查到","未查到")</f>
        <v/>
      </c>
    </row>
    <row r="181">
      <c r="A181" s="8" t="inlineStr">
        <is>
          <t>高中</t>
        </is>
      </c>
      <c r="B181" s="8" t="inlineStr">
        <is>
          <t>南一</t>
        </is>
      </c>
      <c r="C181" s="8" t="inlineStr">
        <is>
          <t>歷史</t>
        </is>
      </c>
      <c r="D181" s="8" t="n"/>
      <c r="E181" s="8" t="inlineStr">
        <is>
          <t>加深加廣選修 科技、環境與藝術的歷史</t>
        </is>
      </c>
      <c r="F181" s="8">
        <f>COUNTIFS(高中!$A:$A,$B181,高中!$E:$E,$C181,高中!$F:$F,"&lt;&gt;",高中!$C:$C,"",高中!$D:$D,$E181)</f>
        <v/>
      </c>
      <c r="G181" s="8">
        <f>IF(F181&gt;0,"已查到","未查到")</f>
        <v/>
      </c>
    </row>
    <row r="182">
      <c r="A182" s="8" t="inlineStr">
        <is>
          <t>國中</t>
        </is>
      </c>
      <c r="B182" s="8" t="inlineStr">
        <is>
          <t>南一</t>
        </is>
      </c>
      <c r="C182" s="8" t="inlineStr">
        <is>
          <t>地理</t>
        </is>
      </c>
      <c r="D182" s="8" t="inlineStr">
        <is>
          <t>7</t>
        </is>
      </c>
      <c r="E182" s="8" t="inlineStr">
        <is>
          <t>上</t>
        </is>
      </c>
      <c r="F182" s="8">
        <f>COUNTIFS(國中!$A:$A,$B182,國中!$E:$E,$C182,國中!$F:$F,"&lt;&gt;",國中!$C:$C,$D182,國中!$D:$D,$E182)</f>
        <v/>
      </c>
      <c r="G182" s="8">
        <f>IF(F182&gt;0,"已查到","未查到")</f>
        <v/>
      </c>
    </row>
    <row r="183">
      <c r="A183" s="8" t="inlineStr">
        <is>
          <t>國中</t>
        </is>
      </c>
      <c r="B183" s="8" t="inlineStr">
        <is>
          <t>南一</t>
        </is>
      </c>
      <c r="C183" s="8" t="inlineStr">
        <is>
          <t>地理</t>
        </is>
      </c>
      <c r="D183" s="8" t="inlineStr">
        <is>
          <t>7</t>
        </is>
      </c>
      <c r="E183" s="8" t="inlineStr">
        <is>
          <t>下</t>
        </is>
      </c>
      <c r="F183" s="8">
        <f>COUNTIFS(國中!$A:$A,$B183,國中!$E:$E,$C183,國中!$F:$F,"&lt;&gt;",國中!$C:$C,$D183,國中!$D:$D,$E183)</f>
        <v/>
      </c>
      <c r="G183" s="8">
        <f>IF(F183&gt;0,"已查到","未查到")</f>
        <v/>
      </c>
    </row>
    <row r="184">
      <c r="A184" s="8" t="inlineStr">
        <is>
          <t>國中</t>
        </is>
      </c>
      <c r="B184" s="8" t="inlineStr">
        <is>
          <t>南一</t>
        </is>
      </c>
      <c r="C184" s="8" t="inlineStr">
        <is>
          <t>地理</t>
        </is>
      </c>
      <c r="D184" s="8" t="inlineStr">
        <is>
          <t>8</t>
        </is>
      </c>
      <c r="E184" s="8" t="inlineStr">
        <is>
          <t>上</t>
        </is>
      </c>
      <c r="F184" s="8">
        <f>COUNTIFS(國中!$A:$A,$B184,國中!$E:$E,$C184,國中!$F:$F,"&lt;&gt;",國中!$C:$C,$D184,國中!$D:$D,$E184)</f>
        <v/>
      </c>
      <c r="G184" s="8">
        <f>IF(F184&gt;0,"已查到","未查到")</f>
        <v/>
      </c>
    </row>
    <row r="185">
      <c r="A185" s="8" t="inlineStr">
        <is>
          <t>國中</t>
        </is>
      </c>
      <c r="B185" s="8" t="inlineStr">
        <is>
          <t>南一</t>
        </is>
      </c>
      <c r="C185" s="8" t="inlineStr">
        <is>
          <t>地理</t>
        </is>
      </c>
      <c r="D185" s="8" t="inlineStr">
        <is>
          <t>8</t>
        </is>
      </c>
      <c r="E185" s="8" t="inlineStr">
        <is>
          <t>下</t>
        </is>
      </c>
      <c r="F185" s="8">
        <f>COUNTIFS(國中!$A:$A,$B185,國中!$E:$E,$C185,國中!$F:$F,"&lt;&gt;",國中!$C:$C,$D185,國中!$D:$D,$E185)</f>
        <v/>
      </c>
      <c r="G185" s="8">
        <f>IF(F185&gt;0,"已查到","未查到")</f>
        <v/>
      </c>
    </row>
    <row r="186">
      <c r="A186" s="8" t="inlineStr">
        <is>
          <t>國中</t>
        </is>
      </c>
      <c r="B186" s="8" t="inlineStr">
        <is>
          <t>南一</t>
        </is>
      </c>
      <c r="C186" s="8" t="inlineStr">
        <is>
          <t>地理</t>
        </is>
      </c>
      <c r="D186" s="8" t="inlineStr">
        <is>
          <t>9</t>
        </is>
      </c>
      <c r="E186" s="8" t="inlineStr">
        <is>
          <t>上</t>
        </is>
      </c>
      <c r="F186" s="8">
        <f>COUNTIFS(國中!$A:$A,$B186,國中!$E:$E,$C186,國中!$F:$F,"&lt;&gt;",國中!$C:$C,$D186,國中!$D:$D,$E186)</f>
        <v/>
      </c>
      <c r="G186" s="8">
        <f>IF(F186&gt;0,"已查到","未查到")</f>
        <v/>
      </c>
    </row>
    <row r="187">
      <c r="A187" s="8" t="inlineStr">
        <is>
          <t>國中</t>
        </is>
      </c>
      <c r="B187" s="8" t="inlineStr">
        <is>
          <t>南一</t>
        </is>
      </c>
      <c r="C187" s="8" t="inlineStr">
        <is>
          <t>地理</t>
        </is>
      </c>
      <c r="D187" s="8" t="inlineStr">
        <is>
          <t>9</t>
        </is>
      </c>
      <c r="E187" s="8" t="inlineStr">
        <is>
          <t>下</t>
        </is>
      </c>
      <c r="F187" s="8">
        <f>COUNTIFS(國中!$A:$A,$B187,國中!$E:$E,$C187,國中!$F:$F,"&lt;&gt;",國中!$C:$C,$D187,國中!$D:$D,$E187)</f>
        <v/>
      </c>
      <c r="G187" s="8">
        <f>IF(F187&gt;0,"已查到","未查到")</f>
        <v/>
      </c>
    </row>
    <row r="188">
      <c r="A188" s="8" t="inlineStr">
        <is>
          <t>高中</t>
        </is>
      </c>
      <c r="B188" s="8" t="inlineStr">
        <is>
          <t>南一</t>
        </is>
      </c>
      <c r="C188" s="8" t="inlineStr">
        <is>
          <t>地理</t>
        </is>
      </c>
      <c r="D188" s="8" t="inlineStr">
        <is>
          <t>10</t>
        </is>
      </c>
      <c r="E188" s="8" t="inlineStr">
        <is>
          <t>第一冊</t>
        </is>
      </c>
      <c r="F188" s="8">
        <f>COUNTIFS(高中!$A:$A,$B188,高中!$E:$E,$C188,高中!$F:$F,"&lt;&gt;",高中!$C:$C,$D188,高中!$D:$D,$E188)</f>
        <v/>
      </c>
      <c r="G188" s="8">
        <f>IF(F188&gt;0,"已查到","未查到")</f>
        <v/>
      </c>
    </row>
    <row r="189">
      <c r="A189" s="8" t="inlineStr">
        <is>
          <t>高中</t>
        </is>
      </c>
      <c r="B189" s="8" t="inlineStr">
        <is>
          <t>南一</t>
        </is>
      </c>
      <c r="C189" s="8" t="inlineStr">
        <is>
          <t>地理</t>
        </is>
      </c>
      <c r="D189" s="8" t="inlineStr">
        <is>
          <t>10</t>
        </is>
      </c>
      <c r="E189" s="8" t="inlineStr">
        <is>
          <t>第二冊</t>
        </is>
      </c>
      <c r="F189" s="8">
        <f>COUNTIFS(高中!$A:$A,$B189,高中!$E:$E,$C189,高中!$F:$F,"&lt;&gt;",高中!$C:$C,$D189,高中!$D:$D,$E189)</f>
        <v/>
      </c>
      <c r="G189" s="8">
        <f>IF(F189&gt;0,"已查到","未查到")</f>
        <v/>
      </c>
    </row>
    <row r="190">
      <c r="A190" s="8" t="inlineStr">
        <is>
          <t>高中</t>
        </is>
      </c>
      <c r="B190" s="8" t="inlineStr">
        <is>
          <t>南一</t>
        </is>
      </c>
      <c r="C190" s="8" t="inlineStr">
        <is>
          <t>地理</t>
        </is>
      </c>
      <c r="D190" s="8" t="inlineStr">
        <is>
          <t>11</t>
        </is>
      </c>
      <c r="E190" s="8" t="inlineStr">
        <is>
          <t>第三冊</t>
        </is>
      </c>
      <c r="F190" s="8">
        <f>COUNTIFS(高中!$A:$A,$B190,高中!$E:$E,$C190,高中!$F:$F,"&lt;&gt;",高中!$C:$C,$D190,高中!$D:$D,$E190)</f>
        <v/>
      </c>
      <c r="G190" s="8">
        <f>IF(F190&gt;0,"已查到","未查到")</f>
        <v/>
      </c>
    </row>
    <row r="191">
      <c r="A191" s="8" t="inlineStr">
        <is>
          <t>高中</t>
        </is>
      </c>
      <c r="B191" s="8" t="inlineStr">
        <is>
          <t>南一</t>
        </is>
      </c>
      <c r="C191" s="8" t="inlineStr">
        <is>
          <t>地理</t>
        </is>
      </c>
      <c r="D191" s="8" t="n"/>
      <c r="E191" s="8" t="inlineStr">
        <is>
          <t>加深加廣選修 探究與實作：地理與人文社會科學研究</t>
        </is>
      </c>
      <c r="F191" s="8">
        <f>COUNTIFS(高中!$A:$A,$B191,高中!$E:$E,$C191,高中!$F:$F,"&lt;&gt;",高中!$C:$C,"",高中!$D:$D,$E191)</f>
        <v/>
      </c>
      <c r="G191" s="8">
        <f>IF(F191&gt;0,"已查到","未查到")</f>
        <v/>
      </c>
    </row>
    <row r="192">
      <c r="A192" s="8" t="inlineStr">
        <is>
          <t>高中</t>
        </is>
      </c>
      <c r="B192" s="8" t="inlineStr">
        <is>
          <t>南一</t>
        </is>
      </c>
      <c r="C192" s="8" t="inlineStr">
        <is>
          <t>地理</t>
        </is>
      </c>
      <c r="D192" s="8" t="n"/>
      <c r="E192" s="8" t="inlineStr">
        <is>
          <t>加深加廣選修 社會環境議題</t>
        </is>
      </c>
      <c r="F192" s="8">
        <f>COUNTIFS(高中!$A:$A,$B192,高中!$E:$E,$C192,高中!$F:$F,"&lt;&gt;",高中!$C:$C,"",高中!$D:$D,$E192)</f>
        <v/>
      </c>
      <c r="G192" s="8">
        <f>IF(F192&gt;0,"已查到","未查到")</f>
        <v/>
      </c>
    </row>
    <row r="193">
      <c r="A193" s="8" t="inlineStr">
        <is>
          <t>高中</t>
        </is>
      </c>
      <c r="B193" s="8" t="inlineStr">
        <is>
          <t>南一</t>
        </is>
      </c>
      <c r="C193" s="8" t="inlineStr">
        <is>
          <t>地理</t>
        </is>
      </c>
      <c r="D193" s="8" t="n"/>
      <c r="E193" s="8" t="inlineStr">
        <is>
          <t>加深加廣選修 空間資訊科技</t>
        </is>
      </c>
      <c r="F193" s="8">
        <f>COUNTIFS(高中!$A:$A,$B193,高中!$E:$E,$C193,高中!$F:$F,"&lt;&gt;",高中!$C:$C,"",高中!$D:$D,$E193)</f>
        <v/>
      </c>
      <c r="G193" s="8">
        <f>IF(F193&gt;0,"已查到","未查到")</f>
        <v/>
      </c>
    </row>
    <row r="194">
      <c r="A194" s="8" t="inlineStr">
        <is>
          <t>國中</t>
        </is>
      </c>
      <c r="B194" s="8" t="inlineStr">
        <is>
          <t>南一</t>
        </is>
      </c>
      <c r="C194" s="8" t="inlineStr">
        <is>
          <t>公民</t>
        </is>
      </c>
      <c r="D194" s="8" t="inlineStr">
        <is>
          <t>7</t>
        </is>
      </c>
      <c r="E194" s="8" t="inlineStr">
        <is>
          <t>上</t>
        </is>
      </c>
      <c r="F194" s="8">
        <f>COUNTIFS(國中!$A:$A,$B194,國中!$E:$E,$C194,國中!$F:$F,"&lt;&gt;",國中!$C:$C,$D194,國中!$D:$D,$E194)</f>
        <v/>
      </c>
      <c r="G194" s="8">
        <f>IF(F194&gt;0,"已查到","未查到")</f>
        <v/>
      </c>
    </row>
    <row r="195">
      <c r="A195" s="8" t="inlineStr">
        <is>
          <t>國中</t>
        </is>
      </c>
      <c r="B195" s="8" t="inlineStr">
        <is>
          <t>南一</t>
        </is>
      </c>
      <c r="C195" s="8" t="inlineStr">
        <is>
          <t>公民</t>
        </is>
      </c>
      <c r="D195" s="8" t="inlineStr">
        <is>
          <t>7</t>
        </is>
      </c>
      <c r="E195" s="8" t="inlineStr">
        <is>
          <t>下</t>
        </is>
      </c>
      <c r="F195" s="8">
        <f>COUNTIFS(國中!$A:$A,$B195,國中!$E:$E,$C195,國中!$F:$F,"&lt;&gt;",國中!$C:$C,$D195,國中!$D:$D,$E195)</f>
        <v/>
      </c>
      <c r="G195" s="8">
        <f>IF(F195&gt;0,"已查到","未查到")</f>
        <v/>
      </c>
    </row>
    <row r="196">
      <c r="A196" s="8" t="inlineStr">
        <is>
          <t>國中</t>
        </is>
      </c>
      <c r="B196" s="8" t="inlineStr">
        <is>
          <t>南一</t>
        </is>
      </c>
      <c r="C196" s="8" t="inlineStr">
        <is>
          <t>公民</t>
        </is>
      </c>
      <c r="D196" s="8" t="inlineStr">
        <is>
          <t>8</t>
        </is>
      </c>
      <c r="E196" s="8" t="inlineStr">
        <is>
          <t>上</t>
        </is>
      </c>
      <c r="F196" s="8">
        <f>COUNTIFS(國中!$A:$A,$B196,國中!$E:$E,$C196,國中!$F:$F,"&lt;&gt;",國中!$C:$C,$D196,國中!$D:$D,$E196)</f>
        <v/>
      </c>
      <c r="G196" s="8">
        <f>IF(F196&gt;0,"已查到","未查到")</f>
        <v/>
      </c>
    </row>
    <row r="197">
      <c r="A197" s="8" t="inlineStr">
        <is>
          <t>國中</t>
        </is>
      </c>
      <c r="B197" s="8" t="inlineStr">
        <is>
          <t>南一</t>
        </is>
      </c>
      <c r="C197" s="8" t="inlineStr">
        <is>
          <t>公民</t>
        </is>
      </c>
      <c r="D197" s="8" t="inlineStr">
        <is>
          <t>8</t>
        </is>
      </c>
      <c r="E197" s="8" t="inlineStr">
        <is>
          <t>下</t>
        </is>
      </c>
      <c r="F197" s="8">
        <f>COUNTIFS(國中!$A:$A,$B197,國中!$E:$E,$C197,國中!$F:$F,"&lt;&gt;",國中!$C:$C,$D197,國中!$D:$D,$E197)</f>
        <v/>
      </c>
      <c r="G197" s="8">
        <f>IF(F197&gt;0,"已查到","未查到")</f>
        <v/>
      </c>
    </row>
    <row r="198">
      <c r="A198" s="8" t="inlineStr">
        <is>
          <t>國中</t>
        </is>
      </c>
      <c r="B198" s="8" t="inlineStr">
        <is>
          <t>南一</t>
        </is>
      </c>
      <c r="C198" s="8" t="inlineStr">
        <is>
          <t>公民</t>
        </is>
      </c>
      <c r="D198" s="8" t="inlineStr">
        <is>
          <t>9</t>
        </is>
      </c>
      <c r="E198" s="8" t="inlineStr">
        <is>
          <t>上</t>
        </is>
      </c>
      <c r="F198" s="8">
        <f>COUNTIFS(國中!$A:$A,$B198,國中!$E:$E,$C198,國中!$F:$F,"&lt;&gt;",國中!$C:$C,$D198,國中!$D:$D,$E198)</f>
        <v/>
      </c>
      <c r="G198" s="8">
        <f>IF(F198&gt;0,"已查到","未查到")</f>
        <v/>
      </c>
    </row>
    <row r="199">
      <c r="A199" s="8" t="inlineStr">
        <is>
          <t>國中</t>
        </is>
      </c>
      <c r="B199" s="8" t="inlineStr">
        <is>
          <t>南一</t>
        </is>
      </c>
      <c r="C199" s="8" t="inlineStr">
        <is>
          <t>公民</t>
        </is>
      </c>
      <c r="D199" s="8" t="inlineStr">
        <is>
          <t>9</t>
        </is>
      </c>
      <c r="E199" s="8" t="inlineStr">
        <is>
          <t>下</t>
        </is>
      </c>
      <c r="F199" s="8">
        <f>COUNTIFS(國中!$A:$A,$B199,國中!$E:$E,$C199,國中!$F:$F,"&lt;&gt;",國中!$C:$C,$D199,國中!$D:$D,$E199)</f>
        <v/>
      </c>
      <c r="G199" s="8">
        <f>IF(F199&gt;0,"已查到","未查到")</f>
        <v/>
      </c>
    </row>
    <row r="200">
      <c r="A200" s="8" t="inlineStr">
        <is>
          <t>高中</t>
        </is>
      </c>
      <c r="B200" s="8" t="inlineStr">
        <is>
          <t>南一</t>
        </is>
      </c>
      <c r="C200" s="8" t="inlineStr">
        <is>
          <t>公民與社會</t>
        </is>
      </c>
      <c r="D200" s="8" t="inlineStr">
        <is>
          <t>10</t>
        </is>
      </c>
      <c r="E200" s="8" t="inlineStr">
        <is>
          <t>第一冊</t>
        </is>
      </c>
      <c r="F200" s="8">
        <f>COUNTIFS(高中!$A:$A,$B200,高中!$E:$E,$C200,高中!$F:$F,"&lt;&gt;",高中!$C:$C,$D200,高中!$D:$D,$E200)</f>
        <v/>
      </c>
      <c r="G200" s="8">
        <f>IF(F200&gt;0,"已查到","未查到")</f>
        <v/>
      </c>
    </row>
    <row r="201">
      <c r="A201" s="8" t="inlineStr">
        <is>
          <t>高中</t>
        </is>
      </c>
      <c r="B201" s="8" t="inlineStr">
        <is>
          <t>南一</t>
        </is>
      </c>
      <c r="C201" s="8" t="inlineStr">
        <is>
          <t>公民與社會</t>
        </is>
      </c>
      <c r="D201" s="8" t="inlineStr">
        <is>
          <t>10</t>
        </is>
      </c>
      <c r="E201" s="8" t="inlineStr">
        <is>
          <t>第二冊</t>
        </is>
      </c>
      <c r="F201" s="8">
        <f>COUNTIFS(高中!$A:$A,$B201,高中!$E:$E,$C201,高中!$F:$F,"&lt;&gt;",高中!$C:$C,$D201,高中!$D:$D,$E201)</f>
        <v/>
      </c>
      <c r="G201" s="8">
        <f>IF(F201&gt;0,"已查到","未查到")</f>
        <v/>
      </c>
    </row>
    <row r="202">
      <c r="A202" s="8" t="inlineStr">
        <is>
          <t>高中</t>
        </is>
      </c>
      <c r="B202" s="8" t="inlineStr">
        <is>
          <t>南一</t>
        </is>
      </c>
      <c r="C202" s="8" t="inlineStr">
        <is>
          <t>公民與社會</t>
        </is>
      </c>
      <c r="D202" s="8" t="inlineStr">
        <is>
          <t>11</t>
        </is>
      </c>
      <c r="E202" s="8" t="inlineStr">
        <is>
          <t>第三冊</t>
        </is>
      </c>
      <c r="F202" s="8">
        <f>COUNTIFS(高中!$A:$A,$B202,高中!$E:$E,$C202,高中!$F:$F,"&lt;&gt;",高中!$C:$C,$D202,高中!$D:$D,$E202)</f>
        <v/>
      </c>
      <c r="G202" s="8">
        <f>IF(F202&gt;0,"已查到","未查到")</f>
        <v/>
      </c>
    </row>
    <row r="203">
      <c r="A203" s="8" t="inlineStr">
        <is>
          <t>高中</t>
        </is>
      </c>
      <c r="B203" s="8" t="inlineStr">
        <is>
          <t>南一</t>
        </is>
      </c>
      <c r="C203" s="8" t="inlineStr">
        <is>
          <t>公民與社會</t>
        </is>
      </c>
      <c r="D203" s="8" t="n"/>
      <c r="E203" s="8" t="inlineStr">
        <is>
          <t>加深加廣選修 探究與實作：公共議題與社會探究</t>
        </is>
      </c>
      <c r="F203" s="8">
        <f>COUNTIFS(高中!$A:$A,$B203,高中!$E:$E,$C203,高中!$F:$F,"&lt;&gt;",高中!$C:$C,"",高中!$D:$D,$E203)</f>
        <v/>
      </c>
      <c r="G203" s="8">
        <f>IF(F203&gt;0,"已查到","未查到")</f>
        <v/>
      </c>
    </row>
    <row r="204">
      <c r="A204" s="8" t="inlineStr">
        <is>
          <t>高中</t>
        </is>
      </c>
      <c r="B204" s="8" t="inlineStr">
        <is>
          <t>南一</t>
        </is>
      </c>
      <c r="C204" s="8" t="inlineStr">
        <is>
          <t>公民與社會</t>
        </is>
      </c>
      <c r="D204" s="8" t="n"/>
      <c r="E204" s="8" t="inlineStr">
        <is>
          <t>加深加廣選修 民主政治與法律</t>
        </is>
      </c>
      <c r="F204" s="8">
        <f>COUNTIFS(高中!$A:$A,$B204,高中!$E:$E,$C204,高中!$F:$F,"&lt;&gt;",高中!$C:$C,"",高中!$D:$D,$E204)</f>
        <v/>
      </c>
      <c r="G204" s="8">
        <f>IF(F204&gt;0,"已查到","未查到")</f>
        <v/>
      </c>
    </row>
    <row r="205">
      <c r="A205" s="8" t="inlineStr">
        <is>
          <t>高中</t>
        </is>
      </c>
      <c r="B205" s="8" t="inlineStr">
        <is>
          <t>南一</t>
        </is>
      </c>
      <c r="C205" s="8" t="inlineStr">
        <is>
          <t>公民與社會</t>
        </is>
      </c>
      <c r="D205" s="8" t="n"/>
      <c r="E205" s="8" t="inlineStr">
        <is>
          <t>加深加廣選修 現代社會與經濟</t>
        </is>
      </c>
      <c r="F205" s="8">
        <f>COUNTIFS(高中!$A:$A,$B205,高中!$E:$E,$C205,高中!$F:$F,"&lt;&gt;",高中!$C:$C,"",高中!$D:$D,$E205)</f>
        <v/>
      </c>
      <c r="G205" s="8">
        <f>IF(F205&gt;0,"已查到","未查到")</f>
        <v/>
      </c>
    </row>
    <row r="206">
      <c r="A206" s="8" t="inlineStr">
        <is>
          <t>高中</t>
        </is>
      </c>
      <c r="B206" s="8" t="inlineStr">
        <is>
          <t>三民</t>
        </is>
      </c>
      <c r="C206" s="8" t="inlineStr">
        <is>
          <t>國文</t>
        </is>
      </c>
      <c r="D206" s="8" t="inlineStr">
        <is>
          <t>10</t>
        </is>
      </c>
      <c r="E206" s="8" t="inlineStr">
        <is>
          <t>第一冊</t>
        </is>
      </c>
      <c r="F206" s="8">
        <f>COUNTIFS(高中!$A:$A,$B206,高中!$E:$E,$C206,高中!$F:$F,"&lt;&gt;",高中!$C:$C,$D206,高中!$D:$D,$E206)</f>
        <v/>
      </c>
      <c r="G206" s="8">
        <f>IF(F206&gt;0,"已查到","未查到")</f>
        <v/>
      </c>
    </row>
    <row r="207">
      <c r="A207" s="8" t="inlineStr">
        <is>
          <t>高中</t>
        </is>
      </c>
      <c r="B207" s="8" t="inlineStr">
        <is>
          <t>三民</t>
        </is>
      </c>
      <c r="C207" s="8" t="inlineStr">
        <is>
          <t>國文</t>
        </is>
      </c>
      <c r="D207" s="8" t="inlineStr">
        <is>
          <t>10</t>
        </is>
      </c>
      <c r="E207" s="8" t="inlineStr">
        <is>
          <t>第二冊</t>
        </is>
      </c>
      <c r="F207" s="8">
        <f>COUNTIFS(高中!$A:$A,$B207,高中!$E:$E,$C207,高中!$F:$F,"&lt;&gt;",高中!$C:$C,$D207,高中!$D:$D,$E207)</f>
        <v/>
      </c>
      <c r="G207" s="8">
        <f>IF(F207&gt;0,"已查到","未查到")</f>
        <v/>
      </c>
    </row>
    <row r="208">
      <c r="A208" s="8" t="inlineStr">
        <is>
          <t>高中</t>
        </is>
      </c>
      <c r="B208" s="8" t="inlineStr">
        <is>
          <t>三民</t>
        </is>
      </c>
      <c r="C208" s="8" t="inlineStr">
        <is>
          <t>國文</t>
        </is>
      </c>
      <c r="D208" s="8" t="inlineStr">
        <is>
          <t>11</t>
        </is>
      </c>
      <c r="E208" s="8" t="inlineStr">
        <is>
          <t>第三冊</t>
        </is>
      </c>
      <c r="F208" s="8">
        <f>COUNTIFS(高中!$A:$A,$B208,高中!$E:$E,$C208,高中!$F:$F,"&lt;&gt;",高中!$C:$C,$D208,高中!$D:$D,$E208)</f>
        <v/>
      </c>
      <c r="G208" s="8">
        <f>IF(F208&gt;0,"已查到","未查到")</f>
        <v/>
      </c>
    </row>
    <row r="209">
      <c r="A209" s="8" t="inlineStr">
        <is>
          <t>高中</t>
        </is>
      </c>
      <c r="B209" s="8" t="inlineStr">
        <is>
          <t>三民</t>
        </is>
      </c>
      <c r="C209" s="8" t="inlineStr">
        <is>
          <t>國文</t>
        </is>
      </c>
      <c r="D209" s="8" t="inlineStr">
        <is>
          <t>11</t>
        </is>
      </c>
      <c r="E209" s="8" t="inlineStr">
        <is>
          <t>第四冊</t>
        </is>
      </c>
      <c r="F209" s="8">
        <f>COUNTIFS(高中!$A:$A,$B209,高中!$E:$E,$C209,高中!$F:$F,"&lt;&gt;",高中!$C:$C,$D209,高中!$D:$D,$E209)</f>
        <v/>
      </c>
      <c r="G209" s="8">
        <f>IF(F209&gt;0,"已查到","未查到")</f>
        <v/>
      </c>
    </row>
    <row r="210">
      <c r="A210" s="8" t="inlineStr">
        <is>
          <t>高中</t>
        </is>
      </c>
      <c r="B210" s="8" t="inlineStr">
        <is>
          <t>三民</t>
        </is>
      </c>
      <c r="C210" s="8" t="inlineStr">
        <is>
          <t>國文</t>
        </is>
      </c>
      <c r="D210" s="8" t="inlineStr">
        <is>
          <t>12</t>
        </is>
      </c>
      <c r="E210" s="8" t="inlineStr">
        <is>
          <t>第五冊</t>
        </is>
      </c>
      <c r="F210" s="8">
        <f>COUNTIFS(高中!$A:$A,$B210,高中!$E:$E,$C210,高中!$F:$F,"&lt;&gt;",高中!$C:$C,$D210,高中!$D:$D,$E210)</f>
        <v/>
      </c>
      <c r="G210" s="8">
        <f>IF(F210&gt;0,"已查到","未查到")</f>
        <v/>
      </c>
    </row>
    <row r="211">
      <c r="A211" s="8" t="inlineStr">
        <is>
          <t>高中</t>
        </is>
      </c>
      <c r="B211" s="8" t="inlineStr">
        <is>
          <t>三民</t>
        </is>
      </c>
      <c r="C211" s="8" t="inlineStr">
        <is>
          <t>國文</t>
        </is>
      </c>
      <c r="D211" s="8" t="inlineStr">
        <is>
          <t>12</t>
        </is>
      </c>
      <c r="E211" s="8" t="inlineStr">
        <is>
          <t>第六冊</t>
        </is>
      </c>
      <c r="F211" s="8">
        <f>COUNTIFS(高中!$A:$A,$B211,高中!$E:$E,$C211,高中!$F:$F,"&lt;&gt;",高中!$C:$C,$D211,高中!$D:$D,$E211)</f>
        <v/>
      </c>
      <c r="G211" s="8">
        <f>IF(F211&gt;0,"已查到","未查到")</f>
        <v/>
      </c>
    </row>
    <row r="212">
      <c r="A212" s="8" t="inlineStr">
        <is>
          <t>高中</t>
        </is>
      </c>
      <c r="B212" s="8" t="inlineStr">
        <is>
          <t>三民</t>
        </is>
      </c>
      <c r="C212" s="8" t="inlineStr">
        <is>
          <t>國文</t>
        </is>
      </c>
      <c r="D212" s="8" t="n"/>
      <c r="E212" s="8" t="inlineStr">
        <is>
          <t>加深加廣選修：各類文學選讀</t>
        </is>
      </c>
      <c r="F212" s="8">
        <f>COUNTIFS(高中!$A:$A,$B212,高中!$E:$E,$C212,高中!$F:$F,"&lt;&gt;",高中!$C:$C,"",高中!$D:$D,$E212)</f>
        <v/>
      </c>
      <c r="G212" s="8">
        <f>IF(F212&gt;0,"已查到","未查到")</f>
        <v/>
      </c>
    </row>
    <row r="213">
      <c r="A213" s="8" t="inlineStr">
        <is>
          <t>高中</t>
        </is>
      </c>
      <c r="B213" s="8" t="inlineStr">
        <is>
          <t>三民</t>
        </is>
      </c>
      <c r="C213" s="8" t="inlineStr">
        <is>
          <t>國文</t>
        </is>
      </c>
      <c r="D213" s="8" t="n"/>
      <c r="E213" s="8" t="inlineStr">
        <is>
          <t>加深加廣選修：國學常識</t>
        </is>
      </c>
      <c r="F213" s="8">
        <f>COUNTIFS(高中!$A:$A,$B213,高中!$E:$E,$C213,高中!$F:$F,"&lt;&gt;",高中!$C:$C,"",高中!$D:$D,$E213)</f>
        <v/>
      </c>
      <c r="G213" s="8">
        <f>IF(F213&gt;0,"已查到","未查到")</f>
        <v/>
      </c>
    </row>
    <row r="214">
      <c r="A214" s="8" t="inlineStr">
        <is>
          <t>高中</t>
        </is>
      </c>
      <c r="B214" s="8" t="inlineStr">
        <is>
          <t>三民</t>
        </is>
      </c>
      <c r="C214" s="8" t="inlineStr">
        <is>
          <t>國文</t>
        </is>
      </c>
      <c r="D214" s="8" t="n"/>
      <c r="E214" s="8" t="inlineStr">
        <is>
          <t>加深加廣選修：專題閱讀與研究</t>
        </is>
      </c>
      <c r="F214" s="8">
        <f>COUNTIFS(高中!$A:$A,$B214,高中!$E:$E,$C214,高中!$F:$F,"&lt;&gt;",高中!$C:$C,"",高中!$D:$D,$E214)</f>
        <v/>
      </c>
      <c r="G214" s="8">
        <f>IF(F214&gt;0,"已查到","未查到")</f>
        <v/>
      </c>
    </row>
    <row r="215">
      <c r="A215" s="8" t="inlineStr">
        <is>
          <t>高中</t>
        </is>
      </c>
      <c r="B215" s="8" t="inlineStr">
        <is>
          <t>三民</t>
        </is>
      </c>
      <c r="C215" s="8" t="inlineStr">
        <is>
          <t>國文</t>
        </is>
      </c>
      <c r="D215" s="8" t="n"/>
      <c r="E215" s="8" t="inlineStr">
        <is>
          <t>加深加廣選修：語文表達及傳播應用</t>
        </is>
      </c>
      <c r="F215" s="8">
        <f>COUNTIFS(高中!$A:$A,$B215,高中!$E:$E,$C215,高中!$F:$F,"&lt;&gt;",高中!$C:$C,"",高中!$D:$D,$E215)</f>
        <v/>
      </c>
      <c r="G215" s="8">
        <f>IF(F215&gt;0,"已查到","未查到")</f>
        <v/>
      </c>
    </row>
    <row r="216">
      <c r="A216" s="8" t="inlineStr">
        <is>
          <t>高中</t>
        </is>
      </c>
      <c r="B216" s="8" t="inlineStr">
        <is>
          <t>三民</t>
        </is>
      </c>
      <c r="C216" s="8" t="inlineStr">
        <is>
          <t>英文</t>
        </is>
      </c>
      <c r="D216" s="8" t="inlineStr">
        <is>
          <t>10</t>
        </is>
      </c>
      <c r="E216" s="8" t="inlineStr">
        <is>
          <t>第一冊</t>
        </is>
      </c>
      <c r="F216" s="8">
        <f>COUNTIFS(高中!$A:$A,$B216,高中!$E:$E,$C216,高中!$F:$F,"&lt;&gt;",高中!$C:$C,$D216,高中!$D:$D,$E216)</f>
        <v/>
      </c>
      <c r="G216" s="8">
        <f>IF(F216&gt;0,"已查到","未查到")</f>
        <v/>
      </c>
    </row>
    <row r="217">
      <c r="A217" s="8" t="inlineStr">
        <is>
          <t>高中</t>
        </is>
      </c>
      <c r="B217" s="8" t="inlineStr">
        <is>
          <t>三民</t>
        </is>
      </c>
      <c r="C217" s="8" t="inlineStr">
        <is>
          <t>英文</t>
        </is>
      </c>
      <c r="D217" s="8" t="inlineStr">
        <is>
          <t>10</t>
        </is>
      </c>
      <c r="E217" s="8" t="inlineStr">
        <is>
          <t>第二冊</t>
        </is>
      </c>
      <c r="F217" s="8">
        <f>COUNTIFS(高中!$A:$A,$B217,高中!$E:$E,$C217,高中!$F:$F,"&lt;&gt;",高中!$C:$C,$D217,高中!$D:$D,$E217)</f>
        <v/>
      </c>
      <c r="G217" s="8">
        <f>IF(F217&gt;0,"已查到","未查到")</f>
        <v/>
      </c>
    </row>
    <row r="218">
      <c r="A218" s="8" t="inlineStr">
        <is>
          <t>高中</t>
        </is>
      </c>
      <c r="B218" s="8" t="inlineStr">
        <is>
          <t>三民</t>
        </is>
      </c>
      <c r="C218" s="8" t="inlineStr">
        <is>
          <t>英文</t>
        </is>
      </c>
      <c r="D218" s="8" t="inlineStr">
        <is>
          <t>11</t>
        </is>
      </c>
      <c r="E218" s="8" t="inlineStr">
        <is>
          <t>第三冊</t>
        </is>
      </c>
      <c r="F218" s="8">
        <f>COUNTIFS(高中!$A:$A,$B218,高中!$E:$E,$C218,高中!$F:$F,"&lt;&gt;",高中!$C:$C,$D218,高中!$D:$D,$E218)</f>
        <v/>
      </c>
      <c r="G218" s="8">
        <f>IF(F218&gt;0,"已查到","未查到")</f>
        <v/>
      </c>
    </row>
    <row r="219">
      <c r="A219" s="8" t="inlineStr">
        <is>
          <t>高中</t>
        </is>
      </c>
      <c r="B219" s="8" t="inlineStr">
        <is>
          <t>三民</t>
        </is>
      </c>
      <c r="C219" s="8" t="inlineStr">
        <is>
          <t>英文</t>
        </is>
      </c>
      <c r="D219" s="8" t="inlineStr">
        <is>
          <t>11</t>
        </is>
      </c>
      <c r="E219" s="8" t="inlineStr">
        <is>
          <t>第四冊</t>
        </is>
      </c>
      <c r="F219" s="8">
        <f>COUNTIFS(高中!$A:$A,$B219,高中!$E:$E,$C219,高中!$F:$F,"&lt;&gt;",高中!$C:$C,$D219,高中!$D:$D,$E219)</f>
        <v/>
      </c>
      <c r="G219" s="8">
        <f>IF(F219&gt;0,"已查到","未查到")</f>
        <v/>
      </c>
    </row>
    <row r="220">
      <c r="A220" s="8" t="inlineStr">
        <is>
          <t>高中</t>
        </is>
      </c>
      <c r="B220" s="8" t="inlineStr">
        <is>
          <t>三民</t>
        </is>
      </c>
      <c r="C220" s="8" t="inlineStr">
        <is>
          <t>英文</t>
        </is>
      </c>
      <c r="D220" s="8" t="inlineStr">
        <is>
          <t>12</t>
        </is>
      </c>
      <c r="E220" s="8" t="inlineStr">
        <is>
          <t>第五冊</t>
        </is>
      </c>
      <c r="F220" s="8">
        <f>COUNTIFS(高中!$A:$A,$B220,高中!$E:$E,$C220,高中!$F:$F,"&lt;&gt;",高中!$C:$C,$D220,高中!$D:$D,$E220)</f>
        <v/>
      </c>
      <c r="G220" s="8">
        <f>IF(F220&gt;0,"已查到","未查到")</f>
        <v/>
      </c>
    </row>
    <row r="221">
      <c r="A221" s="8" t="inlineStr">
        <is>
          <t>高中</t>
        </is>
      </c>
      <c r="B221" s="8" t="inlineStr">
        <is>
          <t>三民</t>
        </is>
      </c>
      <c r="C221" s="8" t="inlineStr">
        <is>
          <t>英文</t>
        </is>
      </c>
      <c r="D221" s="8" t="inlineStr">
        <is>
          <t>12</t>
        </is>
      </c>
      <c r="E221" s="8" t="inlineStr">
        <is>
          <t>第六冊</t>
        </is>
      </c>
      <c r="F221" s="8">
        <f>COUNTIFS(高中!$A:$A,$B221,高中!$E:$E,$C221,高中!$F:$F,"&lt;&gt;",高中!$C:$C,$D221,高中!$D:$D,$E221)</f>
        <v/>
      </c>
      <c r="G221" s="8">
        <f>IF(F221&gt;0,"已查到","未查到")</f>
        <v/>
      </c>
    </row>
    <row r="222">
      <c r="A222" s="8" t="inlineStr">
        <is>
          <t>高中</t>
        </is>
      </c>
      <c r="B222" s="8" t="inlineStr">
        <is>
          <t>三民</t>
        </is>
      </c>
      <c r="C222" s="8" t="inlineStr">
        <is>
          <t>英文</t>
        </is>
      </c>
      <c r="D222" s="8" t="n"/>
      <c r="E222" s="8" t="inlineStr">
        <is>
          <t>加深加廣選修：英文閱讀與寫作</t>
        </is>
      </c>
      <c r="F222" s="8">
        <f>COUNTIFS(高中!$A:$A,$B222,高中!$E:$E,$C222,高中!$F:$F,"&lt;&gt;",高中!$C:$C,"",高中!$D:$D,$E222)</f>
        <v/>
      </c>
      <c r="G222" s="8">
        <f>IF(F222&gt;0,"已查到","未查到")</f>
        <v/>
      </c>
    </row>
    <row r="223">
      <c r="A223" s="8" t="inlineStr">
        <is>
          <t>高中</t>
        </is>
      </c>
      <c r="B223" s="8" t="inlineStr">
        <is>
          <t>三民</t>
        </is>
      </c>
      <c r="C223" s="8" t="inlineStr">
        <is>
          <t>英文</t>
        </is>
      </c>
      <c r="D223" s="8" t="n"/>
      <c r="E223" s="8" t="inlineStr">
        <is>
          <t>加深加廣選修：英語聽講</t>
        </is>
      </c>
      <c r="F223" s="8">
        <f>COUNTIFS(高中!$A:$A,$B223,高中!$E:$E,$C223,高中!$F:$F,"&lt;&gt;",高中!$C:$C,"",高中!$D:$D,$E223)</f>
        <v/>
      </c>
      <c r="G223" s="8">
        <f>IF(F223&gt;0,"已查到","未查到")</f>
        <v/>
      </c>
    </row>
    <row r="224">
      <c r="A224" s="8" t="inlineStr">
        <is>
          <t>高中</t>
        </is>
      </c>
      <c r="B224" s="8" t="inlineStr">
        <is>
          <t>三民</t>
        </is>
      </c>
      <c r="C224" s="8" t="inlineStr">
        <is>
          <t>數學</t>
        </is>
      </c>
      <c r="D224" s="8" t="inlineStr">
        <is>
          <t>10</t>
        </is>
      </c>
      <c r="E224" s="8" t="inlineStr">
        <is>
          <t>第一冊</t>
        </is>
      </c>
      <c r="F224" s="8">
        <f>COUNTIFS(高中!$A:$A,$B224,高中!$E:$E,$C224,高中!$F:$F,"&lt;&gt;",高中!$C:$C,$D224,高中!$D:$D,$E224)</f>
        <v/>
      </c>
      <c r="G224" s="8">
        <f>IF(F224&gt;0,"已查到","未查到")</f>
        <v/>
      </c>
    </row>
    <row r="225">
      <c r="A225" s="8" t="inlineStr">
        <is>
          <t>高中</t>
        </is>
      </c>
      <c r="B225" s="8" t="inlineStr">
        <is>
          <t>三民</t>
        </is>
      </c>
      <c r="C225" s="8" t="inlineStr">
        <is>
          <t>數學</t>
        </is>
      </c>
      <c r="D225" s="8" t="inlineStr">
        <is>
          <t>10</t>
        </is>
      </c>
      <c r="E225" s="8" t="inlineStr">
        <is>
          <t>第二冊</t>
        </is>
      </c>
      <c r="F225" s="8">
        <f>COUNTIFS(高中!$A:$A,$B225,高中!$E:$E,$C225,高中!$F:$F,"&lt;&gt;",高中!$C:$C,$D225,高中!$D:$D,$E225)</f>
        <v/>
      </c>
      <c r="G225" s="8">
        <f>IF(F225&gt;0,"已查到","未查到")</f>
        <v/>
      </c>
    </row>
    <row r="226">
      <c r="A226" s="8" t="inlineStr">
        <is>
          <t>高中</t>
        </is>
      </c>
      <c r="B226" s="8" t="inlineStr">
        <is>
          <t>三民</t>
        </is>
      </c>
      <c r="C226" s="8" t="inlineStr">
        <is>
          <t>數學</t>
        </is>
      </c>
      <c r="D226" s="8" t="inlineStr">
        <is>
          <t>11</t>
        </is>
      </c>
      <c r="E226" s="8" t="inlineStr">
        <is>
          <t>第三冊A</t>
        </is>
      </c>
      <c r="F226" s="8">
        <f>COUNTIFS(高中!$A:$A,$B226,高中!$E:$E,$C226,高中!$F:$F,"&lt;&gt;",高中!$C:$C,$D226,高中!$D:$D,$E226)</f>
        <v/>
      </c>
      <c r="G226" s="8">
        <f>IF(F226&gt;0,"已查到","未查到")</f>
        <v/>
      </c>
    </row>
    <row r="227">
      <c r="A227" s="8" t="inlineStr">
        <is>
          <t>高中</t>
        </is>
      </c>
      <c r="B227" s="8" t="inlineStr">
        <is>
          <t>三民</t>
        </is>
      </c>
      <c r="C227" s="8" t="inlineStr">
        <is>
          <t>數學</t>
        </is>
      </c>
      <c r="D227" s="8" t="inlineStr">
        <is>
          <t>11</t>
        </is>
      </c>
      <c r="E227" s="8" t="inlineStr">
        <is>
          <t>第三冊B</t>
        </is>
      </c>
      <c r="F227" s="8">
        <f>COUNTIFS(高中!$A:$A,$B227,高中!$E:$E,$C227,高中!$F:$F,"&lt;&gt;",高中!$C:$C,$D227,高中!$D:$D,$E227)</f>
        <v/>
      </c>
      <c r="G227" s="8">
        <f>IF(F227&gt;0,"已查到","未查到")</f>
        <v/>
      </c>
    </row>
    <row r="228">
      <c r="A228" s="8" t="inlineStr">
        <is>
          <t>高中</t>
        </is>
      </c>
      <c r="B228" s="8" t="inlineStr">
        <is>
          <t>三民</t>
        </is>
      </c>
      <c r="C228" s="8" t="inlineStr">
        <is>
          <t>數學</t>
        </is>
      </c>
      <c r="D228" s="8" t="inlineStr">
        <is>
          <t>11</t>
        </is>
      </c>
      <c r="E228" s="8" t="inlineStr">
        <is>
          <t>第四冊A</t>
        </is>
      </c>
      <c r="F228" s="8">
        <f>COUNTIFS(高中!$A:$A,$B228,高中!$E:$E,$C228,高中!$F:$F,"&lt;&gt;",高中!$C:$C,$D228,高中!$D:$D,$E228)</f>
        <v/>
      </c>
      <c r="G228" s="8">
        <f>IF(F228&gt;0,"已查到","未查到")</f>
        <v/>
      </c>
    </row>
    <row r="229">
      <c r="A229" s="8" t="inlineStr">
        <is>
          <t>高中</t>
        </is>
      </c>
      <c r="B229" s="8" t="inlineStr">
        <is>
          <t>三民</t>
        </is>
      </c>
      <c r="C229" s="8" t="inlineStr">
        <is>
          <t>數學</t>
        </is>
      </c>
      <c r="D229" s="8" t="inlineStr">
        <is>
          <t>11</t>
        </is>
      </c>
      <c r="E229" s="8" t="inlineStr">
        <is>
          <t>第四冊B</t>
        </is>
      </c>
      <c r="F229" s="8">
        <f>COUNTIFS(高中!$A:$A,$B229,高中!$E:$E,$C229,高中!$F:$F,"&lt;&gt;",高中!$C:$C,$D229,高中!$D:$D,$E229)</f>
        <v/>
      </c>
      <c r="G229" s="8">
        <f>IF(F229&gt;0,"已查到","未查到")</f>
        <v/>
      </c>
    </row>
    <row r="230">
      <c r="A230" s="8" t="inlineStr">
        <is>
          <t>高中</t>
        </is>
      </c>
      <c r="B230" s="8" t="inlineStr">
        <is>
          <t>三民</t>
        </is>
      </c>
      <c r="C230" s="8" t="inlineStr">
        <is>
          <t>數學</t>
        </is>
      </c>
      <c r="D230" s="8" t="inlineStr">
        <is>
          <t>12</t>
        </is>
      </c>
      <c r="E230" s="8" t="inlineStr">
        <is>
          <t>數學乙上</t>
        </is>
      </c>
      <c r="F230" s="8">
        <f>COUNTIFS(高中!$A:$A,$B230,高中!$E:$E,$C230,高中!$F:$F,"&lt;&gt;",高中!$C:$C,$D230,高中!$D:$D,$E230)</f>
        <v/>
      </c>
      <c r="G230" s="8">
        <f>IF(F230&gt;0,"已查到","未查到")</f>
        <v/>
      </c>
    </row>
    <row r="231">
      <c r="A231" s="8" t="inlineStr">
        <is>
          <t>高中</t>
        </is>
      </c>
      <c r="B231" s="8" t="inlineStr">
        <is>
          <t>三民</t>
        </is>
      </c>
      <c r="C231" s="8" t="inlineStr">
        <is>
          <t>數學</t>
        </is>
      </c>
      <c r="D231" s="8" t="inlineStr">
        <is>
          <t>12</t>
        </is>
      </c>
      <c r="E231" s="8" t="inlineStr">
        <is>
          <t>數學乙下</t>
        </is>
      </c>
      <c r="F231" s="8">
        <f>COUNTIFS(高中!$A:$A,$B231,高中!$E:$E,$C231,高中!$F:$F,"&lt;&gt;",高中!$C:$C,$D231,高中!$D:$D,$E231)</f>
        <v/>
      </c>
      <c r="G231" s="8">
        <f>IF(F231&gt;0,"已查到","未查到")</f>
        <v/>
      </c>
    </row>
    <row r="232">
      <c r="A232" s="8" t="inlineStr">
        <is>
          <t>高中</t>
        </is>
      </c>
      <c r="B232" s="8" t="inlineStr">
        <is>
          <t>三民</t>
        </is>
      </c>
      <c r="C232" s="8" t="inlineStr">
        <is>
          <t>數學</t>
        </is>
      </c>
      <c r="D232" s="8" t="inlineStr">
        <is>
          <t>12</t>
        </is>
      </c>
      <c r="E232" s="8" t="inlineStr">
        <is>
          <t>數學甲上</t>
        </is>
      </c>
      <c r="F232" s="8">
        <f>COUNTIFS(高中!$A:$A,$B232,高中!$E:$E,$C232,高中!$F:$F,"&lt;&gt;",高中!$C:$C,$D232,高中!$D:$D,$E232)</f>
        <v/>
      </c>
      <c r="G232" s="8">
        <f>IF(F232&gt;0,"已查到","未查到")</f>
        <v/>
      </c>
    </row>
    <row r="233">
      <c r="A233" s="8" t="inlineStr">
        <is>
          <t>高中</t>
        </is>
      </c>
      <c r="B233" s="8" t="inlineStr">
        <is>
          <t>三民</t>
        </is>
      </c>
      <c r="C233" s="8" t="inlineStr">
        <is>
          <t>數學</t>
        </is>
      </c>
      <c r="D233" s="8" t="inlineStr">
        <is>
          <t>12</t>
        </is>
      </c>
      <c r="E233" s="8" t="inlineStr">
        <is>
          <t>數學甲下</t>
        </is>
      </c>
      <c r="F233" s="8">
        <f>COUNTIFS(高中!$A:$A,$B233,高中!$E:$E,$C233,高中!$F:$F,"&lt;&gt;",高中!$C:$C,$D233,高中!$D:$D,$E233)</f>
        <v/>
      </c>
      <c r="G233" s="8">
        <f>IF(F233&gt;0,"已查到","未查到")</f>
        <v/>
      </c>
    </row>
    <row r="234">
      <c r="A234" s="8" t="inlineStr">
        <is>
          <t>高中</t>
        </is>
      </c>
      <c r="B234" s="8" t="inlineStr">
        <is>
          <t>三民</t>
        </is>
      </c>
      <c r="C234" s="8" t="inlineStr">
        <is>
          <t>生物</t>
        </is>
      </c>
      <c r="D234" s="8" t="n"/>
      <c r="E234" s="8" t="inlineStr">
        <is>
          <t>基礎生物（一）</t>
        </is>
      </c>
      <c r="F234" s="8">
        <f>COUNTIFS(高中!$A:$A,$B234,高中!$E:$E,$C234,高中!$F:$F,"&lt;&gt;",高中!$C:$C,"",高中!$D:$D,$E234)</f>
        <v/>
      </c>
      <c r="G234" s="8">
        <f>IF(F234&gt;0,"已查到","未查到")</f>
        <v/>
      </c>
    </row>
    <row r="235">
      <c r="A235" s="8" t="inlineStr">
        <is>
          <t>高中</t>
        </is>
      </c>
      <c r="B235" s="8" t="inlineStr">
        <is>
          <t>三民</t>
        </is>
      </c>
      <c r="C235" s="8" t="inlineStr">
        <is>
          <t>生物</t>
        </is>
      </c>
      <c r="D235" s="8" t="n"/>
      <c r="E235" s="8" t="inlineStr">
        <is>
          <t>基礎生物（二）</t>
        </is>
      </c>
      <c r="F235" s="8">
        <f>COUNTIFS(高中!$A:$A,$B235,高中!$E:$E,$C235,高中!$F:$F,"&lt;&gt;",高中!$C:$C,"",高中!$D:$D,$E235)</f>
        <v/>
      </c>
      <c r="G235" s="8">
        <f>IF(F235&gt;0,"已查到","未查到")</f>
        <v/>
      </c>
    </row>
    <row r="236">
      <c r="A236" s="8" t="inlineStr">
        <is>
          <t>高中</t>
        </is>
      </c>
      <c r="B236" s="8" t="inlineStr">
        <is>
          <t>三民</t>
        </is>
      </c>
      <c r="C236" s="8" t="inlineStr">
        <is>
          <t>生物</t>
        </is>
      </c>
      <c r="D236" s="8" t="n"/>
      <c r="E236" s="8" t="inlineStr">
        <is>
          <t>選修生物I</t>
        </is>
      </c>
      <c r="F236" s="8">
        <f>COUNTIFS(高中!$A:$A,$B236,高中!$E:$E,$C236,高中!$F:$F,"&lt;&gt;",高中!$C:$C,"",高中!$D:$D,$E236)</f>
        <v/>
      </c>
      <c r="G236" s="8">
        <f>IF(F236&gt;0,"已查到","未查到")</f>
        <v/>
      </c>
    </row>
    <row r="237">
      <c r="A237" s="8" t="inlineStr">
        <is>
          <t>高中</t>
        </is>
      </c>
      <c r="B237" s="8" t="inlineStr">
        <is>
          <t>三民</t>
        </is>
      </c>
      <c r="C237" s="8" t="inlineStr">
        <is>
          <t>生物</t>
        </is>
      </c>
      <c r="D237" s="8" t="n"/>
      <c r="E237" s="8" t="inlineStr">
        <is>
          <t>選修生物II</t>
        </is>
      </c>
      <c r="F237" s="8">
        <f>COUNTIFS(高中!$A:$A,$B237,高中!$E:$E,$C237,高中!$F:$F,"&lt;&gt;",高中!$C:$C,"",高中!$D:$D,$E237)</f>
        <v/>
      </c>
      <c r="G237" s="8">
        <f>IF(F237&gt;0,"已查到","未查到")</f>
        <v/>
      </c>
    </row>
    <row r="238">
      <c r="A238" s="8" t="inlineStr">
        <is>
          <t>高中</t>
        </is>
      </c>
      <c r="B238" s="8" t="inlineStr">
        <is>
          <t>三民</t>
        </is>
      </c>
      <c r="C238" s="8" t="inlineStr">
        <is>
          <t>生物</t>
        </is>
      </c>
      <c r="D238" s="8" t="n"/>
      <c r="E238" s="8" t="inlineStr">
        <is>
          <t>選修生物III</t>
        </is>
      </c>
      <c r="F238" s="8">
        <f>COUNTIFS(高中!$A:$A,$B238,高中!$E:$E,$C238,高中!$F:$F,"&lt;&gt;",高中!$C:$C,"",高中!$D:$D,$E238)</f>
        <v/>
      </c>
      <c r="G238" s="8">
        <f>IF(F238&gt;0,"已查到","未查到")</f>
        <v/>
      </c>
    </row>
    <row r="239">
      <c r="A239" s="8" t="inlineStr">
        <is>
          <t>高中</t>
        </is>
      </c>
      <c r="B239" s="8" t="inlineStr">
        <is>
          <t>三民</t>
        </is>
      </c>
      <c r="C239" s="8" t="inlineStr">
        <is>
          <t>生物</t>
        </is>
      </c>
      <c r="D239" s="8" t="n"/>
      <c r="E239" s="8" t="inlineStr">
        <is>
          <t>選修生物IV</t>
        </is>
      </c>
      <c r="F239" s="8">
        <f>COUNTIFS(高中!$A:$A,$B239,高中!$E:$E,$C239,高中!$F:$F,"&lt;&gt;",高中!$C:$C,"",高中!$D:$D,$E239)</f>
        <v/>
      </c>
      <c r="G239" s="8">
        <f>IF(F239&gt;0,"已查到","未查到")</f>
        <v/>
      </c>
    </row>
    <row r="240">
      <c r="A240" s="8" t="inlineStr">
        <is>
          <t>高中</t>
        </is>
      </c>
      <c r="B240" s="8" t="inlineStr">
        <is>
          <t>三民</t>
        </is>
      </c>
      <c r="C240" s="8" t="inlineStr">
        <is>
          <t>物理</t>
        </is>
      </c>
      <c r="D240" s="8" t="n"/>
      <c r="E240" s="8" t="inlineStr">
        <is>
          <t>基礎物理（一）</t>
        </is>
      </c>
      <c r="F240" s="8">
        <f>COUNTIFS(高中!$A:$A,$B240,高中!$E:$E,$C240,高中!$F:$F,"&lt;&gt;",高中!$C:$C,"",高中!$D:$D,$E240)</f>
        <v/>
      </c>
      <c r="G240" s="8">
        <f>IF(F240&gt;0,"已查到","未查到")</f>
        <v/>
      </c>
    </row>
    <row r="241">
      <c r="A241" s="8" t="inlineStr">
        <is>
          <t>高中</t>
        </is>
      </c>
      <c r="B241" s="8" t="inlineStr">
        <is>
          <t>三民</t>
        </is>
      </c>
      <c r="C241" s="8" t="inlineStr">
        <is>
          <t>物理</t>
        </is>
      </c>
      <c r="D241" s="8" t="n"/>
      <c r="E241" s="8" t="inlineStr">
        <is>
          <t>選修物理I</t>
        </is>
      </c>
      <c r="F241" s="8">
        <f>COUNTIFS(高中!$A:$A,$B241,高中!$E:$E,$C241,高中!$F:$F,"&lt;&gt;",高中!$C:$C,"",高中!$D:$D,$E241)</f>
        <v/>
      </c>
      <c r="G241" s="8">
        <f>IF(F241&gt;0,"已查到","未查到")</f>
        <v/>
      </c>
    </row>
    <row r="242">
      <c r="A242" s="8" t="inlineStr">
        <is>
          <t>高中</t>
        </is>
      </c>
      <c r="B242" s="8" t="inlineStr">
        <is>
          <t>三民</t>
        </is>
      </c>
      <c r="C242" s="8" t="inlineStr">
        <is>
          <t>物理</t>
        </is>
      </c>
      <c r="D242" s="8" t="n"/>
      <c r="E242" s="8" t="inlineStr">
        <is>
          <t>選修物理II</t>
        </is>
      </c>
      <c r="F242" s="8">
        <f>COUNTIFS(高中!$A:$A,$B242,高中!$E:$E,$C242,高中!$F:$F,"&lt;&gt;",高中!$C:$C,"",高中!$D:$D,$E242)</f>
        <v/>
      </c>
      <c r="G242" s="8">
        <f>IF(F242&gt;0,"已查到","未查到")</f>
        <v/>
      </c>
    </row>
    <row r="243">
      <c r="A243" s="8" t="inlineStr">
        <is>
          <t>高中</t>
        </is>
      </c>
      <c r="B243" s="8" t="inlineStr">
        <is>
          <t>三民</t>
        </is>
      </c>
      <c r="C243" s="8" t="inlineStr">
        <is>
          <t>物理</t>
        </is>
      </c>
      <c r="D243" s="8" t="n"/>
      <c r="E243" s="8" t="inlineStr">
        <is>
          <t>選修物理III</t>
        </is>
      </c>
      <c r="F243" s="8">
        <f>COUNTIFS(高中!$A:$A,$B243,高中!$E:$E,$C243,高中!$F:$F,"&lt;&gt;",高中!$C:$C,"",高中!$D:$D,$E243)</f>
        <v/>
      </c>
      <c r="G243" s="8">
        <f>IF(F243&gt;0,"已查到","未查到")</f>
        <v/>
      </c>
    </row>
    <row r="244">
      <c r="A244" s="8" t="inlineStr">
        <is>
          <t>高中</t>
        </is>
      </c>
      <c r="B244" s="8" t="inlineStr">
        <is>
          <t>三民</t>
        </is>
      </c>
      <c r="C244" s="8" t="inlineStr">
        <is>
          <t>物理</t>
        </is>
      </c>
      <c r="D244" s="8" t="n"/>
      <c r="E244" s="8" t="inlineStr">
        <is>
          <t>選修物理IV</t>
        </is>
      </c>
      <c r="F244" s="8">
        <f>COUNTIFS(高中!$A:$A,$B244,高中!$E:$E,$C244,高中!$F:$F,"&lt;&gt;",高中!$C:$C,"",高中!$D:$D,$E244)</f>
        <v/>
      </c>
      <c r="G244" s="8">
        <f>IF(F244&gt;0,"已查到","未查到")</f>
        <v/>
      </c>
    </row>
    <row r="245">
      <c r="A245" s="8" t="inlineStr">
        <is>
          <t>高中</t>
        </is>
      </c>
      <c r="B245" s="8" t="inlineStr">
        <is>
          <t>三民</t>
        </is>
      </c>
      <c r="C245" s="8" t="inlineStr">
        <is>
          <t>物理</t>
        </is>
      </c>
      <c r="D245" s="8" t="n"/>
      <c r="E245" s="8" t="inlineStr">
        <is>
          <t>選修物理V</t>
        </is>
      </c>
      <c r="F245" s="8">
        <f>COUNTIFS(高中!$A:$A,$B245,高中!$E:$E,$C245,高中!$F:$F,"&lt;&gt;",高中!$C:$C,"",高中!$D:$D,$E245)</f>
        <v/>
      </c>
      <c r="G245" s="8">
        <f>IF(F245&gt;0,"已查到","未查到")</f>
        <v/>
      </c>
    </row>
    <row r="246">
      <c r="A246" s="8" t="inlineStr">
        <is>
          <t>高中</t>
        </is>
      </c>
      <c r="B246" s="8" t="inlineStr">
        <is>
          <t>三民</t>
        </is>
      </c>
      <c r="C246" s="8" t="inlineStr">
        <is>
          <t>化學</t>
        </is>
      </c>
      <c r="D246" s="8" t="n"/>
      <c r="E246" s="8" t="inlineStr">
        <is>
          <t>基礎化學（一）</t>
        </is>
      </c>
      <c r="F246" s="8">
        <f>COUNTIFS(高中!$A:$A,$B246,高中!$E:$E,$C246,高中!$F:$F,"&lt;&gt;",高中!$C:$C,"",高中!$D:$D,$E246)</f>
        <v/>
      </c>
      <c r="G246" s="8">
        <f>IF(F246&gt;0,"已查到","未查到")</f>
        <v/>
      </c>
    </row>
    <row r="247">
      <c r="A247" s="8" t="inlineStr">
        <is>
          <t>高中</t>
        </is>
      </c>
      <c r="B247" s="8" t="inlineStr">
        <is>
          <t>三民</t>
        </is>
      </c>
      <c r="C247" s="8" t="inlineStr">
        <is>
          <t>化學</t>
        </is>
      </c>
      <c r="D247" s="8" t="n"/>
      <c r="E247" s="8" t="inlineStr">
        <is>
          <t>基礎化學（三）</t>
        </is>
      </c>
      <c r="F247" s="8">
        <f>COUNTIFS(高中!$A:$A,$B247,高中!$E:$E,$C247,高中!$F:$F,"&lt;&gt;",高中!$C:$C,"",高中!$D:$D,$E247)</f>
        <v/>
      </c>
      <c r="G247" s="8">
        <f>IF(F247&gt;0,"已查到","未查到")</f>
        <v/>
      </c>
    </row>
    <row r="248">
      <c r="A248" s="8" t="inlineStr">
        <is>
          <t>高中</t>
        </is>
      </c>
      <c r="B248" s="8" t="inlineStr">
        <is>
          <t>三民</t>
        </is>
      </c>
      <c r="C248" s="8" t="inlineStr">
        <is>
          <t>化學</t>
        </is>
      </c>
      <c r="D248" s="8" t="n"/>
      <c r="E248" s="8" t="inlineStr">
        <is>
          <t>基礎化學（二）</t>
        </is>
      </c>
      <c r="F248" s="8">
        <f>COUNTIFS(高中!$A:$A,$B248,高中!$E:$E,$C248,高中!$F:$F,"&lt;&gt;",高中!$C:$C,"",高中!$D:$D,$E248)</f>
        <v/>
      </c>
      <c r="G248" s="8">
        <f>IF(F248&gt;0,"已查到","未查到")</f>
        <v/>
      </c>
    </row>
    <row r="249">
      <c r="A249" s="8" t="inlineStr">
        <is>
          <t>高中</t>
        </is>
      </c>
      <c r="B249" s="8" t="inlineStr">
        <is>
          <t>三民</t>
        </is>
      </c>
      <c r="C249" s="8" t="inlineStr">
        <is>
          <t>化學</t>
        </is>
      </c>
      <c r="D249" s="8" t="n"/>
      <c r="E249" s="8" t="inlineStr">
        <is>
          <t>選修化學I</t>
        </is>
      </c>
      <c r="F249" s="8">
        <f>COUNTIFS(高中!$A:$A,$B249,高中!$E:$E,$C249,高中!$F:$F,"&lt;&gt;",高中!$C:$C,"",高中!$D:$D,$E249)</f>
        <v/>
      </c>
      <c r="G249" s="8">
        <f>IF(F249&gt;0,"已查到","未查到")</f>
        <v/>
      </c>
    </row>
    <row r="250">
      <c r="A250" s="8" t="inlineStr">
        <is>
          <t>高中</t>
        </is>
      </c>
      <c r="B250" s="8" t="inlineStr">
        <is>
          <t>三民</t>
        </is>
      </c>
      <c r="C250" s="8" t="inlineStr">
        <is>
          <t>化學</t>
        </is>
      </c>
      <c r="D250" s="8" t="n"/>
      <c r="E250" s="8" t="inlineStr">
        <is>
          <t>選修化學II</t>
        </is>
      </c>
      <c r="F250" s="8">
        <f>COUNTIFS(高中!$A:$A,$B250,高中!$E:$E,$C250,高中!$F:$F,"&lt;&gt;",高中!$C:$C,"",高中!$D:$D,$E250)</f>
        <v/>
      </c>
      <c r="G250" s="8">
        <f>IF(F250&gt;0,"已查到","未查到")</f>
        <v/>
      </c>
    </row>
    <row r="251">
      <c r="A251" s="8" t="inlineStr">
        <is>
          <t>高中</t>
        </is>
      </c>
      <c r="B251" s="8" t="inlineStr">
        <is>
          <t>三民</t>
        </is>
      </c>
      <c r="C251" s="8" t="inlineStr">
        <is>
          <t>化學</t>
        </is>
      </c>
      <c r="D251" s="8" t="n"/>
      <c r="E251" s="8" t="inlineStr">
        <is>
          <t>選修化學III</t>
        </is>
      </c>
      <c r="F251" s="8">
        <f>COUNTIFS(高中!$A:$A,$B251,高中!$E:$E,$C251,高中!$F:$F,"&lt;&gt;",高中!$C:$C,"",高中!$D:$D,$E251)</f>
        <v/>
      </c>
      <c r="G251" s="8">
        <f>IF(F251&gt;0,"已查到","未查到")</f>
        <v/>
      </c>
    </row>
    <row r="252">
      <c r="A252" s="8" t="inlineStr">
        <is>
          <t>高中</t>
        </is>
      </c>
      <c r="B252" s="8" t="inlineStr">
        <is>
          <t>三民</t>
        </is>
      </c>
      <c r="C252" s="8" t="inlineStr">
        <is>
          <t>化學</t>
        </is>
      </c>
      <c r="D252" s="8" t="n"/>
      <c r="E252" s="8" t="inlineStr">
        <is>
          <t>選修化學IV</t>
        </is>
      </c>
      <c r="F252" s="8">
        <f>COUNTIFS(高中!$A:$A,$B252,高中!$E:$E,$C252,高中!$F:$F,"&lt;&gt;",高中!$C:$C,"",高中!$D:$D,$E252)</f>
        <v/>
      </c>
      <c r="G252" s="8">
        <f>IF(F252&gt;0,"已查到","未查到")</f>
        <v/>
      </c>
    </row>
    <row r="253">
      <c r="A253" s="8" t="inlineStr">
        <is>
          <t>高中</t>
        </is>
      </c>
      <c r="B253" s="8" t="inlineStr">
        <is>
          <t>三民</t>
        </is>
      </c>
      <c r="C253" s="8" t="inlineStr">
        <is>
          <t>化學</t>
        </is>
      </c>
      <c r="D253" s="8" t="n"/>
      <c r="E253" s="8" t="inlineStr">
        <is>
          <t>選修化學V</t>
        </is>
      </c>
      <c r="F253" s="8">
        <f>COUNTIFS(高中!$A:$A,$B253,高中!$E:$E,$C253,高中!$F:$F,"&lt;&gt;",高中!$C:$C,"",高中!$D:$D,$E253)</f>
        <v/>
      </c>
      <c r="G253" s="8">
        <f>IF(F253&gt;0,"已查到","未查到")</f>
        <v/>
      </c>
    </row>
    <row r="254">
      <c r="A254" s="8" t="inlineStr">
        <is>
          <t>高中</t>
        </is>
      </c>
      <c r="B254" s="8" t="inlineStr">
        <is>
          <t>三民</t>
        </is>
      </c>
      <c r="C254" s="8" t="inlineStr">
        <is>
          <t>地球科學</t>
        </is>
      </c>
      <c r="D254" s="8" t="n"/>
      <c r="E254" s="8" t="inlineStr">
        <is>
          <t>基礎地球科學（一）</t>
        </is>
      </c>
      <c r="F254" s="8">
        <f>COUNTIFS(高中!$A:$A,$B254,高中!$E:$E,$C254,高中!$F:$F,"&lt;&gt;",高中!$C:$C,"",高中!$D:$D,$E254)</f>
        <v/>
      </c>
      <c r="G254" s="8">
        <f>IF(F254&gt;0,"已查到","未查到")</f>
        <v/>
      </c>
    </row>
    <row r="255">
      <c r="A255" s="8" t="inlineStr">
        <is>
          <t>高中</t>
        </is>
      </c>
      <c r="B255" s="8" t="inlineStr">
        <is>
          <t>三民</t>
        </is>
      </c>
      <c r="C255" s="8" t="inlineStr">
        <is>
          <t>地球科學</t>
        </is>
      </c>
      <c r="D255" s="8" t="n"/>
      <c r="E255" s="8" t="inlineStr">
        <is>
          <t>基礎地球科學（二）</t>
        </is>
      </c>
      <c r="F255" s="8">
        <f>COUNTIFS(高中!$A:$A,$B255,高中!$E:$E,$C255,高中!$F:$F,"&lt;&gt;",高中!$C:$C,"",高中!$D:$D,$E255)</f>
        <v/>
      </c>
      <c r="G255" s="8">
        <f>IF(F255&gt;0,"已查到","未查到")</f>
        <v/>
      </c>
    </row>
    <row r="256">
      <c r="A256" s="8" t="inlineStr">
        <is>
          <t>高中</t>
        </is>
      </c>
      <c r="B256" s="8" t="inlineStr">
        <is>
          <t>三民</t>
        </is>
      </c>
      <c r="C256" s="8" t="inlineStr">
        <is>
          <t>地球科學</t>
        </is>
      </c>
      <c r="D256" s="8" t="n"/>
      <c r="E256" s="8" t="inlineStr">
        <is>
          <t>選修地球科學I</t>
        </is>
      </c>
      <c r="F256" s="8">
        <f>COUNTIFS(高中!$A:$A,$B256,高中!$E:$E,$C256,高中!$F:$F,"&lt;&gt;",高中!$C:$C,"",高中!$D:$D,$E256)</f>
        <v/>
      </c>
      <c r="G256" s="8">
        <f>IF(F256&gt;0,"已查到","未查到")</f>
        <v/>
      </c>
    </row>
    <row r="257">
      <c r="A257" s="8" t="inlineStr">
        <is>
          <t>高中</t>
        </is>
      </c>
      <c r="B257" s="8" t="inlineStr">
        <is>
          <t>三民</t>
        </is>
      </c>
      <c r="C257" s="8" t="inlineStr">
        <is>
          <t>地球科學</t>
        </is>
      </c>
      <c r="D257" s="8" t="n"/>
      <c r="E257" s="8" t="inlineStr">
        <is>
          <t>選修地球科學II</t>
        </is>
      </c>
      <c r="F257" s="8">
        <f>COUNTIFS(高中!$A:$A,$B257,高中!$E:$E,$C257,高中!$F:$F,"&lt;&gt;",高中!$C:$C,"",高中!$D:$D,$E257)</f>
        <v/>
      </c>
      <c r="G257" s="8">
        <f>IF(F257&gt;0,"已查到","未查到")</f>
        <v/>
      </c>
    </row>
    <row r="258">
      <c r="A258" s="8" t="inlineStr">
        <is>
          <t>高中</t>
        </is>
      </c>
      <c r="B258" s="8" t="inlineStr">
        <is>
          <t>三民</t>
        </is>
      </c>
      <c r="C258" s="8" t="inlineStr">
        <is>
          <t>地球科學</t>
        </is>
      </c>
      <c r="D258" s="8" t="n"/>
      <c r="E258" s="8" t="inlineStr">
        <is>
          <t>選修地球科學III</t>
        </is>
      </c>
      <c r="F258" s="8">
        <f>COUNTIFS(高中!$A:$A,$B258,高中!$E:$E,$C258,高中!$F:$F,"&lt;&gt;",高中!$C:$C,"",高中!$D:$D,$E258)</f>
        <v/>
      </c>
      <c r="G258" s="8">
        <f>IF(F258&gt;0,"已查到","未查到")</f>
        <v/>
      </c>
    </row>
    <row r="259">
      <c r="A259" s="8" t="inlineStr">
        <is>
          <t>高中</t>
        </is>
      </c>
      <c r="B259" s="8" t="inlineStr">
        <is>
          <t>三民</t>
        </is>
      </c>
      <c r="C259" s="8" t="inlineStr">
        <is>
          <t>地球科學</t>
        </is>
      </c>
      <c r="D259" s="8" t="n"/>
      <c r="E259" s="8" t="inlineStr">
        <is>
          <t>選修地球科學IV</t>
        </is>
      </c>
      <c r="F259" s="8">
        <f>COUNTIFS(高中!$A:$A,$B259,高中!$E:$E,$C259,高中!$F:$F,"&lt;&gt;",高中!$C:$C,"",高中!$D:$D,$E259)</f>
        <v/>
      </c>
      <c r="G259" s="8">
        <f>IF(F259&gt;0,"已查到","未查到")</f>
        <v/>
      </c>
    </row>
    <row r="260">
      <c r="A260" s="8" t="inlineStr">
        <is>
          <t>高中</t>
        </is>
      </c>
      <c r="B260" s="8" t="inlineStr">
        <is>
          <t>三民</t>
        </is>
      </c>
      <c r="C260" s="8" t="inlineStr">
        <is>
          <t>歷史</t>
        </is>
      </c>
      <c r="D260" s="8" t="inlineStr">
        <is>
          <t>10</t>
        </is>
      </c>
      <c r="E260" s="8" t="inlineStr">
        <is>
          <t>第一冊</t>
        </is>
      </c>
      <c r="F260" s="8">
        <f>COUNTIFS(高中!$A:$A,$B260,高中!$E:$E,$C260,高中!$F:$F,"&lt;&gt;",高中!$C:$C,$D260,高中!$D:$D,$E260)</f>
        <v/>
      </c>
      <c r="G260" s="8">
        <f>IF(F260&gt;0,"已查到","未查到")</f>
        <v/>
      </c>
    </row>
    <row r="261">
      <c r="A261" s="8" t="inlineStr">
        <is>
          <t>高中</t>
        </is>
      </c>
      <c r="B261" s="8" t="inlineStr">
        <is>
          <t>三民</t>
        </is>
      </c>
      <c r="C261" s="8" t="inlineStr">
        <is>
          <t>歷史</t>
        </is>
      </c>
      <c r="D261" s="8" t="inlineStr">
        <is>
          <t>10</t>
        </is>
      </c>
      <c r="E261" s="8" t="inlineStr">
        <is>
          <t>第二冊</t>
        </is>
      </c>
      <c r="F261" s="8">
        <f>COUNTIFS(高中!$A:$A,$B261,高中!$E:$E,$C261,高中!$F:$F,"&lt;&gt;",高中!$C:$C,$D261,高中!$D:$D,$E261)</f>
        <v/>
      </c>
      <c r="G261" s="8">
        <f>IF(F261&gt;0,"已查到","未查到")</f>
        <v/>
      </c>
    </row>
    <row r="262">
      <c r="A262" s="8" t="inlineStr">
        <is>
          <t>高中</t>
        </is>
      </c>
      <c r="B262" s="8" t="inlineStr">
        <is>
          <t>三民</t>
        </is>
      </c>
      <c r="C262" s="8" t="inlineStr">
        <is>
          <t>歷史</t>
        </is>
      </c>
      <c r="D262" s="8" t="inlineStr">
        <is>
          <t>11</t>
        </is>
      </c>
      <c r="E262" s="8" t="inlineStr">
        <is>
          <t>第三冊</t>
        </is>
      </c>
      <c r="F262" s="8">
        <f>COUNTIFS(高中!$A:$A,$B262,高中!$E:$E,$C262,高中!$F:$F,"&lt;&gt;",高中!$C:$C,$D262,高中!$D:$D,$E262)</f>
        <v/>
      </c>
      <c r="G262" s="8">
        <f>IF(F262&gt;0,"已查到","未查到")</f>
        <v/>
      </c>
    </row>
    <row r="263">
      <c r="A263" s="8" t="inlineStr">
        <is>
          <t>高中</t>
        </is>
      </c>
      <c r="B263" s="8" t="inlineStr">
        <is>
          <t>三民</t>
        </is>
      </c>
      <c r="C263" s="8" t="inlineStr">
        <is>
          <t>歷史</t>
        </is>
      </c>
      <c r="D263" s="8" t="n"/>
      <c r="E263" s="8" t="inlineStr">
        <is>
          <t>加深加廣選修 探究與實作：歷史學探究</t>
        </is>
      </c>
      <c r="F263" s="8">
        <f>COUNTIFS(高中!$A:$A,$B263,高中!$E:$E,$C263,高中!$F:$F,"&lt;&gt;",高中!$C:$C,"",高中!$D:$D,$E263)</f>
        <v/>
      </c>
      <c r="G263" s="8">
        <f>IF(F263&gt;0,"已查到","未查到")</f>
        <v/>
      </c>
    </row>
    <row r="264">
      <c r="A264" s="8" t="inlineStr">
        <is>
          <t>高中</t>
        </is>
      </c>
      <c r="B264" s="8" t="inlineStr">
        <is>
          <t>三民</t>
        </is>
      </c>
      <c r="C264" s="8" t="inlineStr">
        <is>
          <t>歷史</t>
        </is>
      </c>
      <c r="D264" s="8" t="n"/>
      <c r="E264" s="8" t="inlineStr">
        <is>
          <t>加深加廣選修 族群、性別與國家的歷史</t>
        </is>
      </c>
      <c r="F264" s="8">
        <f>COUNTIFS(高中!$A:$A,$B264,高中!$E:$E,$C264,高中!$F:$F,"&lt;&gt;",高中!$C:$C,"",高中!$D:$D,$E264)</f>
        <v/>
      </c>
      <c r="G264" s="8">
        <f>IF(F264&gt;0,"已查到","未查到")</f>
        <v/>
      </c>
    </row>
    <row r="265">
      <c r="A265" s="8" t="inlineStr">
        <is>
          <t>高中</t>
        </is>
      </c>
      <c r="B265" s="8" t="inlineStr">
        <is>
          <t>三民</t>
        </is>
      </c>
      <c r="C265" s="8" t="inlineStr">
        <is>
          <t>歷史</t>
        </is>
      </c>
      <c r="D265" s="8" t="n"/>
      <c r="E265" s="8" t="inlineStr">
        <is>
          <t>加深加廣選修 科技、環境與藝術的歷史</t>
        </is>
      </c>
      <c r="F265" s="8">
        <f>COUNTIFS(高中!$A:$A,$B265,高中!$E:$E,$C265,高中!$F:$F,"&lt;&gt;",高中!$C:$C,"",高中!$D:$D,$E265)</f>
        <v/>
      </c>
      <c r="G265" s="8">
        <f>IF(F265&gt;0,"已查到","未查到")</f>
        <v/>
      </c>
    </row>
    <row r="266">
      <c r="A266" s="8" t="inlineStr">
        <is>
          <t>高中</t>
        </is>
      </c>
      <c r="B266" s="8" t="inlineStr">
        <is>
          <t>三民</t>
        </is>
      </c>
      <c r="C266" s="8" t="inlineStr">
        <is>
          <t>地理</t>
        </is>
      </c>
      <c r="D266" s="8" t="inlineStr">
        <is>
          <t>10</t>
        </is>
      </c>
      <c r="E266" s="8" t="inlineStr">
        <is>
          <t>第一冊</t>
        </is>
      </c>
      <c r="F266" s="8">
        <f>COUNTIFS(高中!$A:$A,$B266,高中!$E:$E,$C266,高中!$F:$F,"&lt;&gt;",高中!$C:$C,$D266,高中!$D:$D,$E266)</f>
        <v/>
      </c>
      <c r="G266" s="8">
        <f>IF(F266&gt;0,"已查到","未查到")</f>
        <v/>
      </c>
    </row>
    <row r="267">
      <c r="A267" s="8" t="inlineStr">
        <is>
          <t>高中</t>
        </is>
      </c>
      <c r="B267" s="8" t="inlineStr">
        <is>
          <t>三民</t>
        </is>
      </c>
      <c r="C267" s="8" t="inlineStr">
        <is>
          <t>地理</t>
        </is>
      </c>
      <c r="D267" s="8" t="inlineStr">
        <is>
          <t>10</t>
        </is>
      </c>
      <c r="E267" s="8" t="inlineStr">
        <is>
          <t>第二冊</t>
        </is>
      </c>
      <c r="F267" s="8">
        <f>COUNTIFS(高中!$A:$A,$B267,高中!$E:$E,$C267,高中!$F:$F,"&lt;&gt;",高中!$C:$C,$D267,高中!$D:$D,$E267)</f>
        <v/>
      </c>
      <c r="G267" s="8">
        <f>IF(F267&gt;0,"已查到","未查到")</f>
        <v/>
      </c>
    </row>
    <row r="268">
      <c r="A268" s="8" t="inlineStr">
        <is>
          <t>高中</t>
        </is>
      </c>
      <c r="B268" s="8" t="inlineStr">
        <is>
          <t>三民</t>
        </is>
      </c>
      <c r="C268" s="8" t="inlineStr">
        <is>
          <t>地理</t>
        </is>
      </c>
      <c r="D268" s="8" t="inlineStr">
        <is>
          <t>11</t>
        </is>
      </c>
      <c r="E268" s="8" t="inlineStr">
        <is>
          <t>第三冊</t>
        </is>
      </c>
      <c r="F268" s="8">
        <f>COUNTIFS(高中!$A:$A,$B268,高中!$E:$E,$C268,高中!$F:$F,"&lt;&gt;",高中!$C:$C,$D268,高中!$D:$D,$E268)</f>
        <v/>
      </c>
      <c r="G268" s="8">
        <f>IF(F268&gt;0,"已查到","未查到")</f>
        <v/>
      </c>
    </row>
    <row r="269">
      <c r="A269" s="8" t="inlineStr">
        <is>
          <t>高中</t>
        </is>
      </c>
      <c r="B269" s="8" t="inlineStr">
        <is>
          <t>三民</t>
        </is>
      </c>
      <c r="C269" s="8" t="inlineStr">
        <is>
          <t>地理</t>
        </is>
      </c>
      <c r="D269" s="8" t="n"/>
      <c r="E269" s="8" t="inlineStr">
        <is>
          <t>加深加廣選修 探究與實作：地理與人文社會科學研究</t>
        </is>
      </c>
      <c r="F269" s="8">
        <f>COUNTIFS(高中!$A:$A,$B269,高中!$E:$E,$C269,高中!$F:$F,"&lt;&gt;",高中!$C:$C,"",高中!$D:$D,$E269)</f>
        <v/>
      </c>
      <c r="G269" s="8">
        <f>IF(F269&gt;0,"已查到","未查到")</f>
        <v/>
      </c>
    </row>
    <row r="270">
      <c r="A270" s="8" t="inlineStr">
        <is>
          <t>高中</t>
        </is>
      </c>
      <c r="B270" s="8" t="inlineStr">
        <is>
          <t>三民</t>
        </is>
      </c>
      <c r="C270" s="8" t="inlineStr">
        <is>
          <t>地理</t>
        </is>
      </c>
      <c r="D270" s="8" t="n"/>
      <c r="E270" s="8" t="inlineStr">
        <is>
          <t>加深加廣選修 社會環境議題</t>
        </is>
      </c>
      <c r="F270" s="8">
        <f>COUNTIFS(高中!$A:$A,$B270,高中!$E:$E,$C270,高中!$F:$F,"&lt;&gt;",高中!$C:$C,"",高中!$D:$D,$E270)</f>
        <v/>
      </c>
      <c r="G270" s="8">
        <f>IF(F270&gt;0,"已查到","未查到")</f>
        <v/>
      </c>
    </row>
    <row r="271">
      <c r="A271" s="8" t="inlineStr">
        <is>
          <t>高中</t>
        </is>
      </c>
      <c r="B271" s="8" t="inlineStr">
        <is>
          <t>三民</t>
        </is>
      </c>
      <c r="C271" s="8" t="inlineStr">
        <is>
          <t>地理</t>
        </is>
      </c>
      <c r="D271" s="8" t="n"/>
      <c r="E271" s="8" t="inlineStr">
        <is>
          <t>加深加廣選修 空間資訊科技</t>
        </is>
      </c>
      <c r="F271" s="8">
        <f>COUNTIFS(高中!$A:$A,$B271,高中!$E:$E,$C271,高中!$F:$F,"&lt;&gt;",高中!$C:$C,"",高中!$D:$D,$E271)</f>
        <v/>
      </c>
      <c r="G271" s="8">
        <f>IF(F271&gt;0,"已查到","未查到")</f>
        <v/>
      </c>
    </row>
    <row r="272">
      <c r="A272" s="8" t="inlineStr">
        <is>
          <t>高中</t>
        </is>
      </c>
      <c r="B272" s="8" t="inlineStr">
        <is>
          <t>三民</t>
        </is>
      </c>
      <c r="C272" s="8" t="inlineStr">
        <is>
          <t>公民與社會</t>
        </is>
      </c>
      <c r="D272" s="8" t="inlineStr">
        <is>
          <t>10</t>
        </is>
      </c>
      <c r="E272" s="8" t="inlineStr">
        <is>
          <t>第一冊</t>
        </is>
      </c>
      <c r="F272" s="8">
        <f>COUNTIFS(高中!$A:$A,$B272,高中!$E:$E,$C272,高中!$F:$F,"&lt;&gt;",高中!$C:$C,$D272,高中!$D:$D,$E272)</f>
        <v/>
      </c>
      <c r="G272" s="8">
        <f>IF(F272&gt;0,"已查到","未查到")</f>
        <v/>
      </c>
    </row>
    <row r="273">
      <c r="A273" s="8" t="inlineStr">
        <is>
          <t>高中</t>
        </is>
      </c>
      <c r="B273" s="8" t="inlineStr">
        <is>
          <t>三民</t>
        </is>
      </c>
      <c r="C273" s="8" t="inlineStr">
        <is>
          <t>公民與社會</t>
        </is>
      </c>
      <c r="D273" s="8" t="inlineStr">
        <is>
          <t>10</t>
        </is>
      </c>
      <c r="E273" s="8" t="inlineStr">
        <is>
          <t>第二冊</t>
        </is>
      </c>
      <c r="F273" s="8">
        <f>COUNTIFS(高中!$A:$A,$B273,高中!$E:$E,$C273,高中!$F:$F,"&lt;&gt;",高中!$C:$C,$D273,高中!$D:$D,$E273)</f>
        <v/>
      </c>
      <c r="G273" s="8">
        <f>IF(F273&gt;0,"已查到","未查到")</f>
        <v/>
      </c>
    </row>
    <row r="274">
      <c r="A274" s="8" t="inlineStr">
        <is>
          <t>高中</t>
        </is>
      </c>
      <c r="B274" s="8" t="inlineStr">
        <is>
          <t>三民</t>
        </is>
      </c>
      <c r="C274" s="8" t="inlineStr">
        <is>
          <t>公民與社會</t>
        </is>
      </c>
      <c r="D274" s="8" t="inlineStr">
        <is>
          <t>11</t>
        </is>
      </c>
      <c r="E274" s="8" t="inlineStr">
        <is>
          <t>第三冊</t>
        </is>
      </c>
      <c r="F274" s="8">
        <f>COUNTIFS(高中!$A:$A,$B274,高中!$E:$E,$C274,高中!$F:$F,"&lt;&gt;",高中!$C:$C,$D274,高中!$D:$D,$E274)</f>
        <v/>
      </c>
      <c r="G274" s="8">
        <f>IF(F274&gt;0,"已查到","未查到")</f>
        <v/>
      </c>
    </row>
    <row r="275">
      <c r="A275" s="8" t="inlineStr">
        <is>
          <t>高中</t>
        </is>
      </c>
      <c r="B275" s="8" t="inlineStr">
        <is>
          <t>三民</t>
        </is>
      </c>
      <c r="C275" s="8" t="inlineStr">
        <is>
          <t>公民與社會</t>
        </is>
      </c>
      <c r="D275" s="8" t="n"/>
      <c r="E275" s="8" t="inlineStr">
        <is>
          <t>加深加廣選修 探究與實作：公共議題與社會探究</t>
        </is>
      </c>
      <c r="F275" s="8">
        <f>COUNTIFS(高中!$A:$A,$B275,高中!$E:$E,$C275,高中!$F:$F,"&lt;&gt;",高中!$C:$C,"",高中!$D:$D,$E275)</f>
        <v/>
      </c>
      <c r="G275" s="8">
        <f>IF(F275&gt;0,"已查到","未查到")</f>
        <v/>
      </c>
    </row>
    <row r="276">
      <c r="A276" s="8" t="inlineStr">
        <is>
          <t>高中</t>
        </is>
      </c>
      <c r="B276" s="8" t="inlineStr">
        <is>
          <t>三民</t>
        </is>
      </c>
      <c r="C276" s="8" t="inlineStr">
        <is>
          <t>公民與社會</t>
        </is>
      </c>
      <c r="D276" s="8" t="n"/>
      <c r="E276" s="8" t="inlineStr">
        <is>
          <t>加深加廣選修 民主政治與法律</t>
        </is>
      </c>
      <c r="F276" s="8">
        <f>COUNTIFS(高中!$A:$A,$B276,高中!$E:$E,$C276,高中!$F:$F,"&lt;&gt;",高中!$C:$C,"",高中!$D:$D,$E276)</f>
        <v/>
      </c>
      <c r="G276" s="8">
        <f>IF(F276&gt;0,"已查到","未查到")</f>
        <v/>
      </c>
    </row>
    <row r="277">
      <c r="A277" s="8" t="inlineStr">
        <is>
          <t>高中</t>
        </is>
      </c>
      <c r="B277" s="8" t="inlineStr">
        <is>
          <t>三民</t>
        </is>
      </c>
      <c r="C277" s="8" t="inlineStr">
        <is>
          <t>公民與社會</t>
        </is>
      </c>
      <c r="D277" s="8" t="n"/>
      <c r="E277" s="8" t="inlineStr">
        <is>
          <t>加深加廣選修 現代社會與經濟</t>
        </is>
      </c>
      <c r="F277" s="8">
        <f>COUNTIFS(高中!$A:$A,$B277,高中!$E:$E,$C277,高中!$F:$F,"&lt;&gt;",高中!$C:$C,"",高中!$D:$D,$E277)</f>
        <v/>
      </c>
      <c r="G277" s="8">
        <f>IF(F277&gt;0,"已查到","未查到")</f>
        <v/>
      </c>
    </row>
    <row r="278">
      <c r="A278" s="8" t="inlineStr">
        <is>
          <t>高中</t>
        </is>
      </c>
      <c r="B278" s="8" t="inlineStr">
        <is>
          <t>龍騰</t>
        </is>
      </c>
      <c r="C278" s="8" t="inlineStr">
        <is>
          <t>國文</t>
        </is>
      </c>
      <c r="D278" s="8" t="inlineStr">
        <is>
          <t>10</t>
        </is>
      </c>
      <c r="E278" s="8" t="inlineStr">
        <is>
          <t>第一冊</t>
        </is>
      </c>
      <c r="F278" s="8">
        <f>COUNTIFS(高中!$A:$A,$B278,高中!$E:$E,$C278,高中!$F:$F,"&lt;&gt;",高中!$C:$C,$D278,高中!$D:$D,$E278)</f>
        <v/>
      </c>
      <c r="G278" s="8">
        <f>IF(F278&gt;0,"已查到","未查到")</f>
        <v/>
      </c>
    </row>
    <row r="279">
      <c r="A279" s="8" t="inlineStr">
        <is>
          <t>高中</t>
        </is>
      </c>
      <c r="B279" s="8" t="inlineStr">
        <is>
          <t>龍騰</t>
        </is>
      </c>
      <c r="C279" s="8" t="inlineStr">
        <is>
          <t>國文</t>
        </is>
      </c>
      <c r="D279" s="8" t="inlineStr">
        <is>
          <t>10</t>
        </is>
      </c>
      <c r="E279" s="8" t="inlineStr">
        <is>
          <t>第二冊</t>
        </is>
      </c>
      <c r="F279" s="8">
        <f>COUNTIFS(高中!$A:$A,$B279,高中!$E:$E,$C279,高中!$F:$F,"&lt;&gt;",高中!$C:$C,$D279,高中!$D:$D,$E279)</f>
        <v/>
      </c>
      <c r="G279" s="8">
        <f>IF(F279&gt;0,"已查到","未查到")</f>
        <v/>
      </c>
    </row>
    <row r="280">
      <c r="A280" s="8" t="inlineStr">
        <is>
          <t>高中</t>
        </is>
      </c>
      <c r="B280" s="8" t="inlineStr">
        <is>
          <t>龍騰</t>
        </is>
      </c>
      <c r="C280" s="8" t="inlineStr">
        <is>
          <t>國文</t>
        </is>
      </c>
      <c r="D280" s="8" t="inlineStr">
        <is>
          <t>11</t>
        </is>
      </c>
      <c r="E280" s="8" t="inlineStr">
        <is>
          <t>第三冊</t>
        </is>
      </c>
      <c r="F280" s="8">
        <f>COUNTIFS(高中!$A:$A,$B280,高中!$E:$E,$C280,高中!$F:$F,"&lt;&gt;",高中!$C:$C,$D280,高中!$D:$D,$E280)</f>
        <v/>
      </c>
      <c r="G280" s="8">
        <f>IF(F280&gt;0,"已查到","未查到")</f>
        <v/>
      </c>
    </row>
    <row r="281">
      <c r="A281" s="8" t="inlineStr">
        <is>
          <t>高中</t>
        </is>
      </c>
      <c r="B281" s="8" t="inlineStr">
        <is>
          <t>龍騰</t>
        </is>
      </c>
      <c r="C281" s="8" t="inlineStr">
        <is>
          <t>國文</t>
        </is>
      </c>
      <c r="D281" s="8" t="inlineStr">
        <is>
          <t>11</t>
        </is>
      </c>
      <c r="E281" s="8" t="inlineStr">
        <is>
          <t>第四冊</t>
        </is>
      </c>
      <c r="F281" s="8">
        <f>COUNTIFS(高中!$A:$A,$B281,高中!$E:$E,$C281,高中!$F:$F,"&lt;&gt;",高中!$C:$C,$D281,高中!$D:$D,$E281)</f>
        <v/>
      </c>
      <c r="G281" s="8">
        <f>IF(F281&gt;0,"已查到","未查到")</f>
        <v/>
      </c>
    </row>
    <row r="282">
      <c r="A282" s="8" t="inlineStr">
        <is>
          <t>高中</t>
        </is>
      </c>
      <c r="B282" s="8" t="inlineStr">
        <is>
          <t>龍騰</t>
        </is>
      </c>
      <c r="C282" s="8" t="inlineStr">
        <is>
          <t>國文</t>
        </is>
      </c>
      <c r="D282" s="8" t="inlineStr">
        <is>
          <t>12</t>
        </is>
      </c>
      <c r="E282" s="8" t="inlineStr">
        <is>
          <t>第五冊</t>
        </is>
      </c>
      <c r="F282" s="8">
        <f>COUNTIFS(高中!$A:$A,$B282,高中!$E:$E,$C282,高中!$F:$F,"&lt;&gt;",高中!$C:$C,$D282,高中!$D:$D,$E282)</f>
        <v/>
      </c>
      <c r="G282" s="8">
        <f>IF(F282&gt;0,"已查到","未查到")</f>
        <v/>
      </c>
    </row>
    <row r="283">
      <c r="A283" s="8" t="inlineStr">
        <is>
          <t>高中</t>
        </is>
      </c>
      <c r="B283" s="8" t="inlineStr">
        <is>
          <t>龍騰</t>
        </is>
      </c>
      <c r="C283" s="8" t="inlineStr">
        <is>
          <t>國文</t>
        </is>
      </c>
      <c r="D283" s="8" t="inlineStr">
        <is>
          <t>12</t>
        </is>
      </c>
      <c r="E283" s="8" t="inlineStr">
        <is>
          <t>第六冊</t>
        </is>
      </c>
      <c r="F283" s="8">
        <f>COUNTIFS(高中!$A:$A,$B283,高中!$E:$E,$C283,高中!$F:$F,"&lt;&gt;",高中!$C:$C,$D283,高中!$D:$D,$E283)</f>
        <v/>
      </c>
      <c r="G283" s="8">
        <f>IF(F283&gt;0,"已查到","未查到")</f>
        <v/>
      </c>
    </row>
    <row r="284">
      <c r="A284" s="8" t="inlineStr">
        <is>
          <t>高中</t>
        </is>
      </c>
      <c r="B284" s="8" t="inlineStr">
        <is>
          <t>龍騰</t>
        </is>
      </c>
      <c r="C284" s="8" t="inlineStr">
        <is>
          <t>國文</t>
        </is>
      </c>
      <c r="D284" s="8" t="n"/>
      <c r="E284" s="8" t="inlineStr">
        <is>
          <t>加深加廣選修：各類文學選讀</t>
        </is>
      </c>
      <c r="F284" s="8">
        <f>COUNTIFS(高中!$A:$A,$B284,高中!$E:$E,$C284,高中!$F:$F,"&lt;&gt;",高中!$C:$C,"",高中!$D:$D,$E284)</f>
        <v/>
      </c>
      <c r="G284" s="8">
        <f>IF(F284&gt;0,"已查到","未查到")</f>
        <v/>
      </c>
    </row>
    <row r="285">
      <c r="A285" s="8" t="inlineStr">
        <is>
          <t>高中</t>
        </is>
      </c>
      <c r="B285" s="8" t="inlineStr">
        <is>
          <t>龍騰</t>
        </is>
      </c>
      <c r="C285" s="8" t="inlineStr">
        <is>
          <t>國文</t>
        </is>
      </c>
      <c r="D285" s="8" t="n"/>
      <c r="E285" s="8" t="inlineStr">
        <is>
          <t>加深加廣選修：國學常識</t>
        </is>
      </c>
      <c r="F285" s="8">
        <f>COUNTIFS(高中!$A:$A,$B285,高中!$E:$E,$C285,高中!$F:$F,"&lt;&gt;",高中!$C:$C,"",高中!$D:$D,$E285)</f>
        <v/>
      </c>
      <c r="G285" s="8">
        <f>IF(F285&gt;0,"已查到","未查到")</f>
        <v/>
      </c>
    </row>
    <row r="286">
      <c r="A286" s="8" t="inlineStr">
        <is>
          <t>高中</t>
        </is>
      </c>
      <c r="B286" s="8" t="inlineStr">
        <is>
          <t>龍騰</t>
        </is>
      </c>
      <c r="C286" s="8" t="inlineStr">
        <is>
          <t>國文</t>
        </is>
      </c>
      <c r="D286" s="8" t="n"/>
      <c r="E286" s="8" t="inlineStr">
        <is>
          <t>加深加廣選修：專題閱讀與研究</t>
        </is>
      </c>
      <c r="F286" s="8">
        <f>COUNTIFS(高中!$A:$A,$B286,高中!$E:$E,$C286,高中!$F:$F,"&lt;&gt;",高中!$C:$C,"",高中!$D:$D,$E286)</f>
        <v/>
      </c>
      <c r="G286" s="8">
        <f>IF(F286&gt;0,"已查到","未查到")</f>
        <v/>
      </c>
    </row>
    <row r="287">
      <c r="A287" s="8" t="inlineStr">
        <is>
          <t>高中</t>
        </is>
      </c>
      <c r="B287" s="8" t="inlineStr">
        <is>
          <t>龍騰</t>
        </is>
      </c>
      <c r="C287" s="8" t="inlineStr">
        <is>
          <t>國文</t>
        </is>
      </c>
      <c r="D287" s="8" t="n"/>
      <c r="E287" s="8" t="inlineStr">
        <is>
          <t>加深加廣選修：語文表達及傳播應用</t>
        </is>
      </c>
      <c r="F287" s="8">
        <f>COUNTIFS(高中!$A:$A,$B287,高中!$E:$E,$C287,高中!$F:$F,"&lt;&gt;",高中!$C:$C,"",高中!$D:$D,$E287)</f>
        <v/>
      </c>
      <c r="G287" s="8">
        <f>IF(F287&gt;0,"已查到","未查到")</f>
        <v/>
      </c>
    </row>
    <row r="288">
      <c r="A288" s="8" t="inlineStr">
        <is>
          <t>高中</t>
        </is>
      </c>
      <c r="B288" s="8" t="inlineStr">
        <is>
          <t>龍騰</t>
        </is>
      </c>
      <c r="C288" s="8" t="inlineStr">
        <is>
          <t>英文</t>
        </is>
      </c>
      <c r="D288" s="8" t="inlineStr">
        <is>
          <t>10</t>
        </is>
      </c>
      <c r="E288" s="8" t="inlineStr">
        <is>
          <t>第一冊</t>
        </is>
      </c>
      <c r="F288" s="8">
        <f>COUNTIFS(高中!$A:$A,$B288,高中!$E:$E,$C288,高中!$F:$F,"&lt;&gt;",高中!$C:$C,$D288,高中!$D:$D,$E288)</f>
        <v/>
      </c>
      <c r="G288" s="8">
        <f>IF(F288&gt;0,"已查到","未查到")</f>
        <v/>
      </c>
    </row>
    <row r="289">
      <c r="A289" s="8" t="inlineStr">
        <is>
          <t>高中</t>
        </is>
      </c>
      <c r="B289" s="8" t="inlineStr">
        <is>
          <t>龍騰</t>
        </is>
      </c>
      <c r="C289" s="8" t="inlineStr">
        <is>
          <t>英文</t>
        </is>
      </c>
      <c r="D289" s="8" t="inlineStr">
        <is>
          <t>10</t>
        </is>
      </c>
      <c r="E289" s="8" t="inlineStr">
        <is>
          <t>第二冊</t>
        </is>
      </c>
      <c r="F289" s="8">
        <f>COUNTIFS(高中!$A:$A,$B289,高中!$E:$E,$C289,高中!$F:$F,"&lt;&gt;",高中!$C:$C,$D289,高中!$D:$D,$E289)</f>
        <v/>
      </c>
      <c r="G289" s="8">
        <f>IF(F289&gt;0,"已查到","未查到")</f>
        <v/>
      </c>
    </row>
    <row r="290">
      <c r="A290" s="8" t="inlineStr">
        <is>
          <t>高中</t>
        </is>
      </c>
      <c r="B290" s="8" t="inlineStr">
        <is>
          <t>龍騰</t>
        </is>
      </c>
      <c r="C290" s="8" t="inlineStr">
        <is>
          <t>英文</t>
        </is>
      </c>
      <c r="D290" s="8" t="inlineStr">
        <is>
          <t>11</t>
        </is>
      </c>
      <c r="E290" s="8" t="inlineStr">
        <is>
          <t>第三冊</t>
        </is>
      </c>
      <c r="F290" s="8">
        <f>COUNTIFS(高中!$A:$A,$B290,高中!$E:$E,$C290,高中!$F:$F,"&lt;&gt;",高中!$C:$C,$D290,高中!$D:$D,$E290)</f>
        <v/>
      </c>
      <c r="G290" s="8">
        <f>IF(F290&gt;0,"已查到","未查到")</f>
        <v/>
      </c>
    </row>
    <row r="291">
      <c r="A291" s="8" t="inlineStr">
        <is>
          <t>高中</t>
        </is>
      </c>
      <c r="B291" s="8" t="inlineStr">
        <is>
          <t>龍騰</t>
        </is>
      </c>
      <c r="C291" s="8" t="inlineStr">
        <is>
          <t>英文</t>
        </is>
      </c>
      <c r="D291" s="8" t="inlineStr">
        <is>
          <t>11</t>
        </is>
      </c>
      <c r="E291" s="8" t="inlineStr">
        <is>
          <t>第四冊</t>
        </is>
      </c>
      <c r="F291" s="8">
        <f>COUNTIFS(高中!$A:$A,$B291,高中!$E:$E,$C291,高中!$F:$F,"&lt;&gt;",高中!$C:$C,$D291,高中!$D:$D,$E291)</f>
        <v/>
      </c>
      <c r="G291" s="8">
        <f>IF(F291&gt;0,"已查到","未查到")</f>
        <v/>
      </c>
    </row>
    <row r="292">
      <c r="A292" s="8" t="inlineStr">
        <is>
          <t>高中</t>
        </is>
      </c>
      <c r="B292" s="8" t="inlineStr">
        <is>
          <t>龍騰</t>
        </is>
      </c>
      <c r="C292" s="8" t="inlineStr">
        <is>
          <t>英文</t>
        </is>
      </c>
      <c r="D292" s="8" t="inlineStr">
        <is>
          <t>12</t>
        </is>
      </c>
      <c r="E292" s="8" t="inlineStr">
        <is>
          <t>第五冊</t>
        </is>
      </c>
      <c r="F292" s="8">
        <f>COUNTIFS(高中!$A:$A,$B292,高中!$E:$E,$C292,高中!$F:$F,"&lt;&gt;",高中!$C:$C,$D292,高中!$D:$D,$E292)</f>
        <v/>
      </c>
      <c r="G292" s="8">
        <f>IF(F292&gt;0,"已查到","未查到")</f>
        <v/>
      </c>
    </row>
    <row r="293">
      <c r="A293" s="8" t="inlineStr">
        <is>
          <t>高中</t>
        </is>
      </c>
      <c r="B293" s="8" t="inlineStr">
        <is>
          <t>龍騰</t>
        </is>
      </c>
      <c r="C293" s="8" t="inlineStr">
        <is>
          <t>英文</t>
        </is>
      </c>
      <c r="D293" s="8" t="inlineStr">
        <is>
          <t>12</t>
        </is>
      </c>
      <c r="E293" s="8" t="inlineStr">
        <is>
          <t>第六冊</t>
        </is>
      </c>
      <c r="F293" s="8">
        <f>COUNTIFS(高中!$A:$A,$B293,高中!$E:$E,$C293,高中!$F:$F,"&lt;&gt;",高中!$C:$C,$D293,高中!$D:$D,$E293)</f>
        <v/>
      </c>
      <c r="G293" s="8">
        <f>IF(F293&gt;0,"已查到","未查到")</f>
        <v/>
      </c>
    </row>
    <row r="294">
      <c r="A294" s="8" t="inlineStr">
        <is>
          <t>高中</t>
        </is>
      </c>
      <c r="B294" s="8" t="inlineStr">
        <is>
          <t>龍騰</t>
        </is>
      </c>
      <c r="C294" s="8" t="inlineStr">
        <is>
          <t>英文</t>
        </is>
      </c>
      <c r="D294" s="8" t="n"/>
      <c r="E294" s="8" t="inlineStr">
        <is>
          <t>加深加廣選修：英文閱讀與寫作</t>
        </is>
      </c>
      <c r="F294" s="8">
        <f>COUNTIFS(高中!$A:$A,$B294,高中!$E:$E,$C294,高中!$F:$F,"&lt;&gt;",高中!$C:$C,"",高中!$D:$D,$E294)</f>
        <v/>
      </c>
      <c r="G294" s="8">
        <f>IF(F294&gt;0,"已查到","未查到")</f>
        <v/>
      </c>
    </row>
    <row r="295">
      <c r="A295" s="8" t="inlineStr">
        <is>
          <t>高中</t>
        </is>
      </c>
      <c r="B295" s="8" t="inlineStr">
        <is>
          <t>龍騰</t>
        </is>
      </c>
      <c r="C295" s="8" t="inlineStr">
        <is>
          <t>英文</t>
        </is>
      </c>
      <c r="D295" s="8" t="n"/>
      <c r="E295" s="8" t="inlineStr">
        <is>
          <t>加深加廣選修：英語聽講</t>
        </is>
      </c>
      <c r="F295" s="8">
        <f>COUNTIFS(高中!$A:$A,$B295,高中!$E:$E,$C295,高中!$F:$F,"&lt;&gt;",高中!$C:$C,"",高中!$D:$D,$E295)</f>
        <v/>
      </c>
      <c r="G295" s="8">
        <f>IF(F295&gt;0,"已查到","未查到")</f>
        <v/>
      </c>
    </row>
    <row r="296">
      <c r="A296" s="8" t="inlineStr">
        <is>
          <t>高中</t>
        </is>
      </c>
      <c r="B296" s="8" t="inlineStr">
        <is>
          <t>龍騰</t>
        </is>
      </c>
      <c r="C296" s="8" t="inlineStr">
        <is>
          <t>數學</t>
        </is>
      </c>
      <c r="D296" s="8" t="inlineStr">
        <is>
          <t>10</t>
        </is>
      </c>
      <c r="E296" s="8" t="inlineStr">
        <is>
          <t>第一冊</t>
        </is>
      </c>
      <c r="F296" s="8">
        <f>COUNTIFS(高中!$A:$A,$B296,高中!$E:$E,$C296,高中!$F:$F,"&lt;&gt;",高中!$C:$C,$D296,高中!$D:$D,$E296)</f>
        <v/>
      </c>
      <c r="G296" s="8">
        <f>IF(F296&gt;0,"已查到","未查到")</f>
        <v/>
      </c>
    </row>
    <row r="297">
      <c r="A297" s="8" t="inlineStr">
        <is>
          <t>高中</t>
        </is>
      </c>
      <c r="B297" s="8" t="inlineStr">
        <is>
          <t>龍騰</t>
        </is>
      </c>
      <c r="C297" s="8" t="inlineStr">
        <is>
          <t>數學</t>
        </is>
      </c>
      <c r="D297" s="8" t="inlineStr">
        <is>
          <t>10</t>
        </is>
      </c>
      <c r="E297" s="8" t="inlineStr">
        <is>
          <t>第二冊</t>
        </is>
      </c>
      <c r="F297" s="8">
        <f>COUNTIFS(高中!$A:$A,$B297,高中!$E:$E,$C297,高中!$F:$F,"&lt;&gt;",高中!$C:$C,$D297,高中!$D:$D,$E297)</f>
        <v/>
      </c>
      <c r="G297" s="8">
        <f>IF(F297&gt;0,"已查到","未查到")</f>
        <v/>
      </c>
    </row>
    <row r="298">
      <c r="A298" s="8" t="inlineStr">
        <is>
          <t>高中</t>
        </is>
      </c>
      <c r="B298" s="8" t="inlineStr">
        <is>
          <t>龍騰</t>
        </is>
      </c>
      <c r="C298" s="8" t="inlineStr">
        <is>
          <t>數學</t>
        </is>
      </c>
      <c r="D298" s="8" t="inlineStr">
        <is>
          <t>11</t>
        </is>
      </c>
      <c r="E298" s="8" t="inlineStr">
        <is>
          <t>第三冊A</t>
        </is>
      </c>
      <c r="F298" s="8">
        <f>COUNTIFS(高中!$A:$A,$B298,高中!$E:$E,$C298,高中!$F:$F,"&lt;&gt;",高中!$C:$C,$D298,高中!$D:$D,$E298)</f>
        <v/>
      </c>
      <c r="G298" s="8">
        <f>IF(F298&gt;0,"已查到","未查到")</f>
        <v/>
      </c>
    </row>
    <row r="299">
      <c r="A299" s="8" t="inlineStr">
        <is>
          <t>高中</t>
        </is>
      </c>
      <c r="B299" s="8" t="inlineStr">
        <is>
          <t>龍騰</t>
        </is>
      </c>
      <c r="C299" s="8" t="inlineStr">
        <is>
          <t>數學</t>
        </is>
      </c>
      <c r="D299" s="8" t="inlineStr">
        <is>
          <t>11</t>
        </is>
      </c>
      <c r="E299" s="8" t="inlineStr">
        <is>
          <t>第三冊B</t>
        </is>
      </c>
      <c r="F299" s="8">
        <f>COUNTIFS(高中!$A:$A,$B299,高中!$E:$E,$C299,高中!$F:$F,"&lt;&gt;",高中!$C:$C,$D299,高中!$D:$D,$E299)</f>
        <v/>
      </c>
      <c r="G299" s="8">
        <f>IF(F299&gt;0,"已查到","未查到")</f>
        <v/>
      </c>
    </row>
    <row r="300">
      <c r="A300" s="8" t="inlineStr">
        <is>
          <t>高中</t>
        </is>
      </c>
      <c r="B300" s="8" t="inlineStr">
        <is>
          <t>龍騰</t>
        </is>
      </c>
      <c r="C300" s="8" t="inlineStr">
        <is>
          <t>數學</t>
        </is>
      </c>
      <c r="D300" s="8" t="inlineStr">
        <is>
          <t>11</t>
        </is>
      </c>
      <c r="E300" s="8" t="inlineStr">
        <is>
          <t>第四冊A</t>
        </is>
      </c>
      <c r="F300" s="8">
        <f>COUNTIFS(高中!$A:$A,$B300,高中!$E:$E,$C300,高中!$F:$F,"&lt;&gt;",高中!$C:$C,$D300,高中!$D:$D,$E300)</f>
        <v/>
      </c>
      <c r="G300" s="8">
        <f>IF(F300&gt;0,"已查到","未查到")</f>
        <v/>
      </c>
    </row>
    <row r="301">
      <c r="A301" s="8" t="inlineStr">
        <is>
          <t>高中</t>
        </is>
      </c>
      <c r="B301" s="8" t="inlineStr">
        <is>
          <t>龍騰</t>
        </is>
      </c>
      <c r="C301" s="8" t="inlineStr">
        <is>
          <t>數學</t>
        </is>
      </c>
      <c r="D301" s="8" t="inlineStr">
        <is>
          <t>11</t>
        </is>
      </c>
      <c r="E301" s="8" t="inlineStr">
        <is>
          <t>第四冊B</t>
        </is>
      </c>
      <c r="F301" s="8">
        <f>COUNTIFS(高中!$A:$A,$B301,高中!$E:$E,$C301,高中!$F:$F,"&lt;&gt;",高中!$C:$C,$D301,高中!$D:$D,$E301)</f>
        <v/>
      </c>
      <c r="G301" s="8">
        <f>IF(F301&gt;0,"已查到","未查到")</f>
        <v/>
      </c>
    </row>
    <row r="302">
      <c r="A302" s="8" t="inlineStr">
        <is>
          <t>高中</t>
        </is>
      </c>
      <c r="B302" s="8" t="inlineStr">
        <is>
          <t>龍騰</t>
        </is>
      </c>
      <c r="C302" s="8" t="inlineStr">
        <is>
          <t>數學</t>
        </is>
      </c>
      <c r="D302" s="8" t="inlineStr">
        <is>
          <t>12</t>
        </is>
      </c>
      <c r="E302" s="8" t="inlineStr">
        <is>
          <t>數學乙上</t>
        </is>
      </c>
      <c r="F302" s="8">
        <f>COUNTIFS(高中!$A:$A,$B302,高中!$E:$E,$C302,高中!$F:$F,"&lt;&gt;",高中!$C:$C,$D302,高中!$D:$D,$E302)</f>
        <v/>
      </c>
      <c r="G302" s="8">
        <f>IF(F302&gt;0,"已查到","未查到")</f>
        <v/>
      </c>
    </row>
    <row r="303">
      <c r="A303" s="8" t="inlineStr">
        <is>
          <t>高中</t>
        </is>
      </c>
      <c r="B303" s="8" t="inlineStr">
        <is>
          <t>龍騰</t>
        </is>
      </c>
      <c r="C303" s="8" t="inlineStr">
        <is>
          <t>數學</t>
        </is>
      </c>
      <c r="D303" s="8" t="inlineStr">
        <is>
          <t>12</t>
        </is>
      </c>
      <c r="E303" s="8" t="inlineStr">
        <is>
          <t>數學乙下</t>
        </is>
      </c>
      <c r="F303" s="8">
        <f>COUNTIFS(高中!$A:$A,$B303,高中!$E:$E,$C303,高中!$F:$F,"&lt;&gt;",高中!$C:$C,$D303,高中!$D:$D,$E303)</f>
        <v/>
      </c>
      <c r="G303" s="8">
        <f>IF(F303&gt;0,"已查到","未查到")</f>
        <v/>
      </c>
    </row>
    <row r="304">
      <c r="A304" s="8" t="inlineStr">
        <is>
          <t>高中</t>
        </is>
      </c>
      <c r="B304" s="8" t="inlineStr">
        <is>
          <t>龍騰</t>
        </is>
      </c>
      <c r="C304" s="8" t="inlineStr">
        <is>
          <t>數學</t>
        </is>
      </c>
      <c r="D304" s="8" t="inlineStr">
        <is>
          <t>12</t>
        </is>
      </c>
      <c r="E304" s="8" t="inlineStr">
        <is>
          <t>數學甲上</t>
        </is>
      </c>
      <c r="F304" s="8">
        <f>COUNTIFS(高中!$A:$A,$B304,高中!$E:$E,$C304,高中!$F:$F,"&lt;&gt;",高中!$C:$C,$D304,高中!$D:$D,$E304)</f>
        <v/>
      </c>
      <c r="G304" s="8">
        <f>IF(F304&gt;0,"已查到","未查到")</f>
        <v/>
      </c>
    </row>
    <row r="305">
      <c r="A305" s="8" t="inlineStr">
        <is>
          <t>高中</t>
        </is>
      </c>
      <c r="B305" s="8" t="inlineStr">
        <is>
          <t>龍騰</t>
        </is>
      </c>
      <c r="C305" s="8" t="inlineStr">
        <is>
          <t>數學</t>
        </is>
      </c>
      <c r="D305" s="8" t="inlineStr">
        <is>
          <t>12</t>
        </is>
      </c>
      <c r="E305" s="8" t="inlineStr">
        <is>
          <t>數學甲下</t>
        </is>
      </c>
      <c r="F305" s="8">
        <f>COUNTIFS(高中!$A:$A,$B305,高中!$E:$E,$C305,高中!$F:$F,"&lt;&gt;",高中!$C:$C,$D305,高中!$D:$D,$E305)</f>
        <v/>
      </c>
      <c r="G305" s="8">
        <f>IF(F305&gt;0,"已查到","未查到")</f>
        <v/>
      </c>
    </row>
    <row r="306">
      <c r="A306" s="8" t="inlineStr">
        <is>
          <t>高中</t>
        </is>
      </c>
      <c r="B306" s="8" t="inlineStr">
        <is>
          <t>龍騰</t>
        </is>
      </c>
      <c r="C306" s="8" t="inlineStr">
        <is>
          <t>生物</t>
        </is>
      </c>
      <c r="D306" s="8" t="inlineStr">
        <is>
          <t>10</t>
        </is>
      </c>
      <c r="E306" s="8" t="inlineStr">
        <is>
          <t>生物（全）</t>
        </is>
      </c>
      <c r="F306" s="8">
        <f>COUNTIFS(高中!$A:$A,$B306,高中!$E:$E,$C306,高中!$F:$F,"&lt;&gt;",高中!$C:$C,$D306,高中!$D:$D,$E306)</f>
        <v/>
      </c>
      <c r="G306" s="8">
        <f>IF(F306&gt;0,"已查到","未查到")</f>
        <v/>
      </c>
    </row>
    <row r="307">
      <c r="A307" s="8" t="inlineStr">
        <is>
          <t>高中</t>
        </is>
      </c>
      <c r="B307" s="8" t="inlineStr">
        <is>
          <t>龍騰</t>
        </is>
      </c>
      <c r="C307" s="8" t="inlineStr">
        <is>
          <t>生物</t>
        </is>
      </c>
      <c r="D307" s="8" t="inlineStr">
        <is>
          <t>12</t>
        </is>
      </c>
      <c r="E307" s="8" t="inlineStr">
        <is>
          <t>選修生物IV（全）生態、演化及生物多樣性</t>
        </is>
      </c>
      <c r="F307" s="8">
        <f>COUNTIFS(高中!$A:$A,$B307,高中!$E:$E,$C307,高中!$F:$F,"&lt;&gt;",高中!$C:$C,$D307,高中!$D:$D,$E307)</f>
        <v/>
      </c>
      <c r="G307" s="8">
        <f>IF(F307&gt;0,"已查到","未查到")</f>
        <v/>
      </c>
    </row>
    <row r="308">
      <c r="A308" s="8" t="inlineStr">
        <is>
          <t>高中</t>
        </is>
      </c>
      <c r="B308" s="8" t="inlineStr">
        <is>
          <t>龍騰</t>
        </is>
      </c>
      <c r="C308" s="8" t="inlineStr">
        <is>
          <t>生物</t>
        </is>
      </c>
      <c r="D308" s="8" t="n"/>
      <c r="E308" s="8" t="inlineStr">
        <is>
          <t>基礎生物（二）</t>
        </is>
      </c>
      <c r="F308" s="8">
        <f>COUNTIFS(高中!$A:$A,$B308,高中!$E:$E,$C308,高中!$F:$F,"&lt;&gt;",高中!$C:$C,"",高中!$D:$D,$E308)</f>
        <v/>
      </c>
      <c r="G308" s="8">
        <f>IF(F308&gt;0,"已查到","未查到")</f>
        <v/>
      </c>
    </row>
    <row r="309">
      <c r="A309" s="8" t="inlineStr">
        <is>
          <t>高中</t>
        </is>
      </c>
      <c r="B309" s="8" t="inlineStr">
        <is>
          <t>龍騰</t>
        </is>
      </c>
      <c r="C309" s="8" t="inlineStr">
        <is>
          <t>生物</t>
        </is>
      </c>
      <c r="D309" s="8" t="n"/>
      <c r="E309" s="8" t="inlineStr">
        <is>
          <t>選修生物III（全）動物體的構造與功能</t>
        </is>
      </c>
      <c r="F309" s="8">
        <f>COUNTIFS(高中!$A:$A,$B309,高中!$E:$E,$C309,高中!$F:$F,"&lt;&gt;",高中!$C:$C,"",高中!$D:$D,$E309)</f>
        <v/>
      </c>
      <c r="G309" s="8">
        <f>IF(F309&gt;0,"已查到","未查到")</f>
        <v/>
      </c>
    </row>
    <row r="310">
      <c r="A310" s="8" t="inlineStr">
        <is>
          <t>高中</t>
        </is>
      </c>
      <c r="B310" s="8" t="inlineStr">
        <is>
          <t>龍騰</t>
        </is>
      </c>
      <c r="C310" s="8" t="inlineStr">
        <is>
          <t>生物</t>
        </is>
      </c>
      <c r="D310" s="8" t="n"/>
      <c r="E310" s="8" t="inlineStr">
        <is>
          <t>選修生物II（全）生命的起源與植物體的構造與功能</t>
        </is>
      </c>
      <c r="F310" s="8">
        <f>COUNTIFS(高中!$A:$A,$B310,高中!$E:$E,$C310,高中!$F:$F,"&lt;&gt;",高中!$C:$C,"",高中!$D:$D,$E310)</f>
        <v/>
      </c>
      <c r="G310" s="8">
        <f>IF(F310&gt;0,"已查到","未查到")</f>
        <v/>
      </c>
    </row>
    <row r="311">
      <c r="A311" s="8" t="inlineStr">
        <is>
          <t>高中</t>
        </is>
      </c>
      <c r="B311" s="8" t="inlineStr">
        <is>
          <t>龍騰</t>
        </is>
      </c>
      <c r="C311" s="8" t="inlineStr">
        <is>
          <t>生物</t>
        </is>
      </c>
      <c r="D311" s="8" t="n"/>
      <c r="E311" s="8" t="inlineStr">
        <is>
          <t>選修生物I（全）細胞與遺傳</t>
        </is>
      </c>
      <c r="F311" s="8">
        <f>COUNTIFS(高中!$A:$A,$B311,高中!$E:$E,$C311,高中!$F:$F,"&lt;&gt;",高中!$C:$C,"",高中!$D:$D,$E311)</f>
        <v/>
      </c>
      <c r="G311" s="8">
        <f>IF(F311&gt;0,"已查到","未查到")</f>
        <v/>
      </c>
    </row>
    <row r="312">
      <c r="A312" s="8" t="inlineStr">
        <is>
          <t>高中</t>
        </is>
      </c>
      <c r="B312" s="8" t="inlineStr">
        <is>
          <t>龍騰</t>
        </is>
      </c>
      <c r="C312" s="8" t="inlineStr">
        <is>
          <t>物理</t>
        </is>
      </c>
      <c r="D312" s="8" t="inlineStr">
        <is>
          <t>11</t>
        </is>
      </c>
      <c r="E312" s="8" t="inlineStr">
        <is>
          <t>選修物理I</t>
        </is>
      </c>
      <c r="F312" s="8">
        <f>COUNTIFS(高中!$A:$A,$B312,高中!$E:$E,$C312,高中!$F:$F,"&lt;&gt;",高中!$C:$C,$D312,高中!$D:$D,$E312)</f>
        <v/>
      </c>
      <c r="G312" s="8">
        <f>IF(F312&gt;0,"已查到","未查到")</f>
        <v/>
      </c>
    </row>
    <row r="313">
      <c r="A313" s="8" t="inlineStr">
        <is>
          <t>高中</t>
        </is>
      </c>
      <c r="B313" s="8" t="inlineStr">
        <is>
          <t>龍騰</t>
        </is>
      </c>
      <c r="C313" s="8" t="inlineStr">
        <is>
          <t>物理</t>
        </is>
      </c>
      <c r="D313" s="8" t="inlineStr">
        <is>
          <t>11</t>
        </is>
      </c>
      <c r="E313" s="8" t="inlineStr">
        <is>
          <t>選修物理II</t>
        </is>
      </c>
      <c r="F313" s="8">
        <f>COUNTIFS(高中!$A:$A,$B313,高中!$E:$E,$C313,高中!$F:$F,"&lt;&gt;",高中!$C:$C,$D313,高中!$D:$D,$E313)</f>
        <v/>
      </c>
      <c r="G313" s="8">
        <f>IF(F313&gt;0,"已查到","未查到")</f>
        <v/>
      </c>
    </row>
    <row r="314">
      <c r="A314" s="8" t="inlineStr">
        <is>
          <t>高中</t>
        </is>
      </c>
      <c r="B314" s="8" t="inlineStr">
        <is>
          <t>龍騰</t>
        </is>
      </c>
      <c r="C314" s="8" t="inlineStr">
        <is>
          <t>物理</t>
        </is>
      </c>
      <c r="D314" s="8" t="inlineStr">
        <is>
          <t>12</t>
        </is>
      </c>
      <c r="E314" s="8" t="inlineStr">
        <is>
          <t>選修物理III</t>
        </is>
      </c>
      <c r="F314" s="8">
        <f>COUNTIFS(高中!$A:$A,$B314,高中!$E:$E,$C314,高中!$F:$F,"&lt;&gt;",高中!$C:$C,$D314,高中!$D:$D,$E314)</f>
        <v/>
      </c>
      <c r="G314" s="8">
        <f>IF(F314&gt;0,"已查到","未查到")</f>
        <v/>
      </c>
    </row>
    <row r="315">
      <c r="A315" s="8" t="inlineStr">
        <is>
          <t>高中</t>
        </is>
      </c>
      <c r="B315" s="8" t="inlineStr">
        <is>
          <t>龍騰</t>
        </is>
      </c>
      <c r="C315" s="8" t="inlineStr">
        <is>
          <t>物理</t>
        </is>
      </c>
      <c r="D315" s="8" t="inlineStr">
        <is>
          <t>12</t>
        </is>
      </c>
      <c r="E315" s="8" t="inlineStr">
        <is>
          <t>選修物理IV</t>
        </is>
      </c>
      <c r="F315" s="8">
        <f>COUNTIFS(高中!$A:$A,$B315,高中!$E:$E,$C315,高中!$F:$F,"&lt;&gt;",高中!$C:$C,$D315,高中!$D:$D,$E315)</f>
        <v/>
      </c>
      <c r="G315" s="8">
        <f>IF(F315&gt;0,"已查到","未查到")</f>
        <v/>
      </c>
    </row>
    <row r="316">
      <c r="A316" s="8" t="inlineStr">
        <is>
          <t>高中</t>
        </is>
      </c>
      <c r="B316" s="8" t="inlineStr">
        <is>
          <t>龍騰</t>
        </is>
      </c>
      <c r="C316" s="8" t="inlineStr">
        <is>
          <t>物理</t>
        </is>
      </c>
      <c r="D316" s="8" t="n"/>
      <c r="E316" s="8" t="inlineStr">
        <is>
          <t>基礎物理（一）</t>
        </is>
      </c>
      <c r="F316" s="8">
        <f>COUNTIFS(高中!$A:$A,$B316,高中!$E:$E,$C316,高中!$F:$F,"&lt;&gt;",高中!$C:$C,"",高中!$D:$D,$E316)</f>
        <v/>
      </c>
      <c r="G316" s="8">
        <f>IF(F316&gt;0,"已查到","未查到")</f>
        <v/>
      </c>
    </row>
    <row r="317">
      <c r="A317" s="8" t="inlineStr">
        <is>
          <t>高中</t>
        </is>
      </c>
      <c r="B317" s="8" t="inlineStr">
        <is>
          <t>龍騰</t>
        </is>
      </c>
      <c r="C317" s="8" t="inlineStr">
        <is>
          <t>物理</t>
        </is>
      </c>
      <c r="D317" s="8" t="n"/>
      <c r="E317" s="8" t="inlineStr">
        <is>
          <t>選修物理V</t>
        </is>
      </c>
      <c r="F317" s="8">
        <f>COUNTIFS(高中!$A:$A,$B317,高中!$E:$E,$C317,高中!$F:$F,"&lt;&gt;",高中!$C:$C,"",高中!$D:$D,$E317)</f>
        <v/>
      </c>
      <c r="G317" s="8">
        <f>IF(F317&gt;0,"已查到","未查到")</f>
        <v/>
      </c>
    </row>
    <row r="318">
      <c r="A318" s="8" t="inlineStr">
        <is>
          <t>高中</t>
        </is>
      </c>
      <c r="B318" s="8" t="inlineStr">
        <is>
          <t>龍騰</t>
        </is>
      </c>
      <c r="C318" s="8" t="inlineStr">
        <is>
          <t>化學</t>
        </is>
      </c>
      <c r="D318" s="8" t="inlineStr">
        <is>
          <t>10</t>
        </is>
      </c>
      <c r="E318" s="8" t="inlineStr">
        <is>
          <t>化學（全）</t>
        </is>
      </c>
      <c r="F318" s="8">
        <f>COUNTIFS(高中!$A:$A,$B318,高中!$E:$E,$C318,高中!$F:$F,"&lt;&gt;",高中!$C:$C,$D318,高中!$D:$D,$E318)</f>
        <v/>
      </c>
      <c r="G318" s="8">
        <f>IF(F318&gt;0,"已查到","未查到")</f>
        <v/>
      </c>
    </row>
    <row r="319">
      <c r="A319" s="8" t="inlineStr">
        <is>
          <t>高中</t>
        </is>
      </c>
      <c r="B319" s="8" t="inlineStr">
        <is>
          <t>龍騰</t>
        </is>
      </c>
      <c r="C319" s="8" t="inlineStr">
        <is>
          <t>化學</t>
        </is>
      </c>
      <c r="D319" s="8" t="n"/>
      <c r="E319" s="8" t="inlineStr">
        <is>
          <t>基礎化學（三）</t>
        </is>
      </c>
      <c r="F319" s="8">
        <f>COUNTIFS(高中!$A:$A,$B319,高中!$E:$E,$C319,高中!$F:$F,"&lt;&gt;",高中!$C:$C,"",高中!$D:$D,$E319)</f>
        <v/>
      </c>
      <c r="G319" s="8">
        <f>IF(F319&gt;0,"已查到","未查到")</f>
        <v/>
      </c>
    </row>
    <row r="320">
      <c r="A320" s="8" t="inlineStr">
        <is>
          <t>高中</t>
        </is>
      </c>
      <c r="B320" s="8" t="inlineStr">
        <is>
          <t>龍騰</t>
        </is>
      </c>
      <c r="C320" s="8" t="inlineStr">
        <is>
          <t>化學</t>
        </is>
      </c>
      <c r="D320" s="8" t="n"/>
      <c r="E320" s="8" t="inlineStr">
        <is>
          <t>基礎化學（二）</t>
        </is>
      </c>
      <c r="F320" s="8">
        <f>COUNTIFS(高中!$A:$A,$B320,高中!$E:$E,$C320,高中!$F:$F,"&lt;&gt;",高中!$C:$C,"",高中!$D:$D,$E320)</f>
        <v/>
      </c>
      <c r="G320" s="8">
        <f>IF(F320&gt;0,"已查到","未查到")</f>
        <v/>
      </c>
    </row>
    <row r="321">
      <c r="A321" s="8" t="inlineStr">
        <is>
          <t>高中</t>
        </is>
      </c>
      <c r="B321" s="8" t="inlineStr">
        <is>
          <t>龍騰</t>
        </is>
      </c>
      <c r="C321" s="8" t="inlineStr">
        <is>
          <t>化學</t>
        </is>
      </c>
      <c r="D321" s="8" t="n"/>
      <c r="E321" s="8" t="inlineStr">
        <is>
          <t>選修化學I</t>
        </is>
      </c>
      <c r="F321" s="8">
        <f>COUNTIFS(高中!$A:$A,$B321,高中!$E:$E,$C321,高中!$F:$F,"&lt;&gt;",高中!$C:$C,"",高中!$D:$D,$E321)</f>
        <v/>
      </c>
      <c r="G321" s="8">
        <f>IF(F321&gt;0,"已查到","未查到")</f>
        <v/>
      </c>
    </row>
    <row r="322">
      <c r="A322" s="8" t="inlineStr">
        <is>
          <t>高中</t>
        </is>
      </c>
      <c r="B322" s="8" t="inlineStr">
        <is>
          <t>龍騰</t>
        </is>
      </c>
      <c r="C322" s="8" t="inlineStr">
        <is>
          <t>化學</t>
        </is>
      </c>
      <c r="D322" s="8" t="n"/>
      <c r="E322" s="8" t="inlineStr">
        <is>
          <t>選修化學II</t>
        </is>
      </c>
      <c r="F322" s="8">
        <f>COUNTIFS(高中!$A:$A,$B322,高中!$E:$E,$C322,高中!$F:$F,"&lt;&gt;",高中!$C:$C,"",高中!$D:$D,$E322)</f>
        <v/>
      </c>
      <c r="G322" s="8">
        <f>IF(F322&gt;0,"已查到","未查到")</f>
        <v/>
      </c>
    </row>
    <row r="323">
      <c r="A323" s="8" t="inlineStr">
        <is>
          <t>高中</t>
        </is>
      </c>
      <c r="B323" s="8" t="inlineStr">
        <is>
          <t>龍騰</t>
        </is>
      </c>
      <c r="C323" s="8" t="inlineStr">
        <is>
          <t>化學</t>
        </is>
      </c>
      <c r="D323" s="8" t="n"/>
      <c r="E323" s="8" t="inlineStr">
        <is>
          <t>選修化學III</t>
        </is>
      </c>
      <c r="F323" s="8">
        <f>COUNTIFS(高中!$A:$A,$B323,高中!$E:$E,$C323,高中!$F:$F,"&lt;&gt;",高中!$C:$C,"",高中!$D:$D,$E323)</f>
        <v/>
      </c>
      <c r="G323" s="8">
        <f>IF(F323&gt;0,"已查到","未查到")</f>
        <v/>
      </c>
    </row>
    <row r="324">
      <c r="A324" s="8" t="inlineStr">
        <is>
          <t>高中</t>
        </is>
      </c>
      <c r="B324" s="8" t="inlineStr">
        <is>
          <t>龍騰</t>
        </is>
      </c>
      <c r="C324" s="8" t="inlineStr">
        <is>
          <t>化學</t>
        </is>
      </c>
      <c r="D324" s="8" t="n"/>
      <c r="E324" s="8" t="inlineStr">
        <is>
          <t>選修化學IV</t>
        </is>
      </c>
      <c r="F324" s="8">
        <f>COUNTIFS(高中!$A:$A,$B324,高中!$E:$E,$C324,高中!$F:$F,"&lt;&gt;",高中!$C:$C,"",高中!$D:$D,$E324)</f>
        <v/>
      </c>
      <c r="G324" s="8">
        <f>IF(F324&gt;0,"已查到","未查到")</f>
        <v/>
      </c>
    </row>
    <row r="325">
      <c r="A325" s="8" t="inlineStr">
        <is>
          <t>高中</t>
        </is>
      </c>
      <c r="B325" s="8" t="inlineStr">
        <is>
          <t>龍騰</t>
        </is>
      </c>
      <c r="C325" s="8" t="inlineStr">
        <is>
          <t>化學</t>
        </is>
      </c>
      <c r="D325" s="8" t="n"/>
      <c r="E325" s="8" t="inlineStr">
        <is>
          <t>選修化學V</t>
        </is>
      </c>
      <c r="F325" s="8">
        <f>COUNTIFS(高中!$A:$A,$B325,高中!$E:$E,$C325,高中!$F:$F,"&lt;&gt;",高中!$C:$C,"",高中!$D:$D,$E325)</f>
        <v/>
      </c>
      <c r="G325" s="8">
        <f>IF(F325&gt;0,"已查到","未查到")</f>
        <v/>
      </c>
    </row>
    <row r="326">
      <c r="A326" s="8" t="inlineStr">
        <is>
          <t>高中</t>
        </is>
      </c>
      <c r="B326" s="8" t="inlineStr">
        <is>
          <t>龍騰</t>
        </is>
      </c>
      <c r="C326" s="8" t="inlineStr">
        <is>
          <t>地球科學</t>
        </is>
      </c>
      <c r="D326" s="8" t="inlineStr">
        <is>
          <t>10</t>
        </is>
      </c>
      <c r="E326" s="8" t="inlineStr">
        <is>
          <t>基礎地球科學</t>
        </is>
      </c>
      <c r="F326" s="8">
        <f>COUNTIFS(高中!$A:$A,$B326,高中!$E:$E,$C326,高中!$F:$F,"&lt;&gt;",高中!$C:$C,$D326,高中!$D:$D,$E326)</f>
        <v/>
      </c>
      <c r="G326" s="8">
        <f>IF(F326&gt;0,"已查到","未查到")</f>
        <v/>
      </c>
    </row>
    <row r="327">
      <c r="A327" s="8" t="inlineStr">
        <is>
          <t>高中</t>
        </is>
      </c>
      <c r="B327" s="8" t="inlineStr">
        <is>
          <t>龍騰</t>
        </is>
      </c>
      <c r="C327" s="8" t="inlineStr">
        <is>
          <t>地球科學</t>
        </is>
      </c>
      <c r="D327" s="8" t="n"/>
      <c r="E327" s="8" t="inlineStr">
        <is>
          <t>基礎地球科學（二）</t>
        </is>
      </c>
      <c r="F327" s="8">
        <f>COUNTIFS(高中!$A:$A,$B327,高中!$E:$E,$C327,高中!$F:$F,"&lt;&gt;",高中!$C:$C,"",高中!$D:$D,$E327)</f>
        <v/>
      </c>
      <c r="G327" s="8">
        <f>IF(F327&gt;0,"已查到","未查到")</f>
        <v/>
      </c>
    </row>
    <row r="328">
      <c r="A328" s="8" t="inlineStr">
        <is>
          <t>高中</t>
        </is>
      </c>
      <c r="B328" s="8" t="inlineStr">
        <is>
          <t>龍騰</t>
        </is>
      </c>
      <c r="C328" s="8" t="inlineStr">
        <is>
          <t>地球科學</t>
        </is>
      </c>
      <c r="D328" s="8" t="n"/>
      <c r="E328" s="8" t="inlineStr">
        <is>
          <t>選修地球科學I</t>
        </is>
      </c>
      <c r="F328" s="8">
        <f>COUNTIFS(高中!$A:$A,$B328,高中!$E:$E,$C328,高中!$F:$F,"&lt;&gt;",高中!$C:$C,"",高中!$D:$D,$E328)</f>
        <v/>
      </c>
      <c r="G328" s="8">
        <f>IF(F328&gt;0,"已查到","未查到")</f>
        <v/>
      </c>
    </row>
    <row r="329">
      <c r="A329" s="8" t="inlineStr">
        <is>
          <t>高中</t>
        </is>
      </c>
      <c r="B329" s="8" t="inlineStr">
        <is>
          <t>龍騰</t>
        </is>
      </c>
      <c r="C329" s="8" t="inlineStr">
        <is>
          <t>地球科學</t>
        </is>
      </c>
      <c r="D329" s="8" t="n"/>
      <c r="E329" s="8" t="inlineStr">
        <is>
          <t>選修地球科學II</t>
        </is>
      </c>
      <c r="F329" s="8">
        <f>COUNTIFS(高中!$A:$A,$B329,高中!$E:$E,$C329,高中!$F:$F,"&lt;&gt;",高中!$C:$C,"",高中!$D:$D,$E329)</f>
        <v/>
      </c>
      <c r="G329" s="8">
        <f>IF(F329&gt;0,"已查到","未查到")</f>
        <v/>
      </c>
    </row>
    <row r="330">
      <c r="A330" s="8" t="inlineStr">
        <is>
          <t>高中</t>
        </is>
      </c>
      <c r="B330" s="8" t="inlineStr">
        <is>
          <t>龍騰</t>
        </is>
      </c>
      <c r="C330" s="8" t="inlineStr">
        <is>
          <t>地球科學</t>
        </is>
      </c>
      <c r="D330" s="8" t="n"/>
      <c r="E330" s="8" t="inlineStr">
        <is>
          <t>選修地球科學III</t>
        </is>
      </c>
      <c r="F330" s="8">
        <f>COUNTIFS(高中!$A:$A,$B330,高中!$E:$E,$C330,高中!$F:$F,"&lt;&gt;",高中!$C:$C,"",高中!$D:$D,$E330)</f>
        <v/>
      </c>
      <c r="G330" s="8">
        <f>IF(F330&gt;0,"已查到","未查到")</f>
        <v/>
      </c>
    </row>
    <row r="331">
      <c r="A331" s="8" t="inlineStr">
        <is>
          <t>高中</t>
        </is>
      </c>
      <c r="B331" s="8" t="inlineStr">
        <is>
          <t>龍騰</t>
        </is>
      </c>
      <c r="C331" s="8" t="inlineStr">
        <is>
          <t>地球科學</t>
        </is>
      </c>
      <c r="D331" s="8" t="n"/>
      <c r="E331" s="8" t="inlineStr">
        <is>
          <t>選修地球科學IV</t>
        </is>
      </c>
      <c r="F331" s="8">
        <f>COUNTIFS(高中!$A:$A,$B331,高中!$E:$E,$C331,高中!$F:$F,"&lt;&gt;",高中!$C:$C,"",高中!$D:$D,$E331)</f>
        <v/>
      </c>
      <c r="G331" s="8">
        <f>IF(F331&gt;0,"已查到","未查到")</f>
        <v/>
      </c>
    </row>
    <row r="332">
      <c r="A332" s="8" t="inlineStr">
        <is>
          <t>高中</t>
        </is>
      </c>
      <c r="B332" s="8" t="inlineStr">
        <is>
          <t>龍騰</t>
        </is>
      </c>
      <c r="C332" s="8" t="inlineStr">
        <is>
          <t>歷史</t>
        </is>
      </c>
      <c r="D332" s="8" t="inlineStr">
        <is>
          <t>10</t>
        </is>
      </c>
      <c r="E332" s="8" t="inlineStr">
        <is>
          <t>第一冊</t>
        </is>
      </c>
      <c r="F332" s="8">
        <f>COUNTIFS(高中!$A:$A,$B332,高中!$E:$E,$C332,高中!$F:$F,"&lt;&gt;",高中!$C:$C,$D332,高中!$D:$D,$E332)</f>
        <v/>
      </c>
      <c r="G332" s="8">
        <f>IF(F332&gt;0,"已查到","未查到")</f>
        <v/>
      </c>
    </row>
    <row r="333">
      <c r="A333" s="8" t="inlineStr">
        <is>
          <t>高中</t>
        </is>
      </c>
      <c r="B333" s="8" t="inlineStr">
        <is>
          <t>龍騰</t>
        </is>
      </c>
      <c r="C333" s="8" t="inlineStr">
        <is>
          <t>歷史</t>
        </is>
      </c>
      <c r="D333" s="8" t="inlineStr">
        <is>
          <t>10</t>
        </is>
      </c>
      <c r="E333" s="8" t="inlineStr">
        <is>
          <t>第二冊</t>
        </is>
      </c>
      <c r="F333" s="8">
        <f>COUNTIFS(高中!$A:$A,$B333,高中!$E:$E,$C333,高中!$F:$F,"&lt;&gt;",高中!$C:$C,$D333,高中!$D:$D,$E333)</f>
        <v/>
      </c>
      <c r="G333" s="8">
        <f>IF(F333&gt;0,"已查到","未查到")</f>
        <v/>
      </c>
    </row>
    <row r="334">
      <c r="A334" s="8" t="inlineStr">
        <is>
          <t>高中</t>
        </is>
      </c>
      <c r="B334" s="8" t="inlineStr">
        <is>
          <t>龍騰</t>
        </is>
      </c>
      <c r="C334" s="8" t="inlineStr">
        <is>
          <t>歷史</t>
        </is>
      </c>
      <c r="D334" s="8" t="inlineStr">
        <is>
          <t>11</t>
        </is>
      </c>
      <c r="E334" s="8" t="inlineStr">
        <is>
          <t>第三冊</t>
        </is>
      </c>
      <c r="F334" s="8">
        <f>COUNTIFS(高中!$A:$A,$B334,高中!$E:$E,$C334,高中!$F:$F,"&lt;&gt;",高中!$C:$C,$D334,高中!$D:$D,$E334)</f>
        <v/>
      </c>
      <c r="G334" s="8">
        <f>IF(F334&gt;0,"已查到","未查到")</f>
        <v/>
      </c>
    </row>
    <row r="335">
      <c r="A335" s="8" t="inlineStr">
        <is>
          <t>高中</t>
        </is>
      </c>
      <c r="B335" s="8" t="inlineStr">
        <is>
          <t>龍騰</t>
        </is>
      </c>
      <c r="C335" s="8" t="inlineStr">
        <is>
          <t>歷史</t>
        </is>
      </c>
      <c r="D335" s="8" t="inlineStr">
        <is>
          <t>11</t>
        </is>
      </c>
      <c r="E335" s="8" t="inlineStr">
        <is>
          <t>選修歷史Ⅲ 探究與實作</t>
        </is>
      </c>
      <c r="F335" s="8">
        <f>COUNTIFS(高中!$A:$A,$B335,高中!$E:$E,$C335,高中!$F:$F,"&lt;&gt;",高中!$C:$C,$D335,高中!$D:$D,$E335)</f>
        <v/>
      </c>
      <c r="G335" s="8">
        <f>IF(F335&gt;0,"已查到","未查到")</f>
        <v/>
      </c>
    </row>
    <row r="336">
      <c r="A336" s="8" t="inlineStr">
        <is>
          <t>高中</t>
        </is>
      </c>
      <c r="B336" s="8" t="inlineStr">
        <is>
          <t>龍騰</t>
        </is>
      </c>
      <c r="C336" s="8" t="inlineStr">
        <is>
          <t>歷史</t>
        </is>
      </c>
      <c r="D336" s="8" t="inlineStr">
        <is>
          <t>12</t>
        </is>
      </c>
      <c r="E336" s="8" t="inlineStr">
        <is>
          <t>選修歷史Ⅰ 族群、性別與國家的歷史</t>
        </is>
      </c>
      <c r="F336" s="8">
        <f>COUNTIFS(高中!$A:$A,$B336,高中!$E:$E,$C336,高中!$F:$F,"&lt;&gt;",高中!$C:$C,$D336,高中!$D:$D,$E336)</f>
        <v/>
      </c>
      <c r="G336" s="8">
        <f>IF(F336&gt;0,"已查到","未查到")</f>
        <v/>
      </c>
    </row>
    <row r="337">
      <c r="A337" s="8" t="inlineStr">
        <is>
          <t>高中</t>
        </is>
      </c>
      <c r="B337" s="8" t="inlineStr">
        <is>
          <t>龍騰</t>
        </is>
      </c>
      <c r="C337" s="8" t="inlineStr">
        <is>
          <t>歷史</t>
        </is>
      </c>
      <c r="D337" s="8" t="inlineStr">
        <is>
          <t>12</t>
        </is>
      </c>
      <c r="E337" s="8" t="inlineStr">
        <is>
          <t>選修歷史Ⅱ 科技、環境與藝術的歷史</t>
        </is>
      </c>
      <c r="F337" s="8">
        <f>COUNTIFS(高中!$A:$A,$B337,高中!$E:$E,$C337,高中!$F:$F,"&lt;&gt;",高中!$C:$C,$D337,高中!$D:$D,$E337)</f>
        <v/>
      </c>
      <c r="G337" s="8">
        <f>IF(F337&gt;0,"已查到","未查到")</f>
        <v/>
      </c>
    </row>
    <row r="338">
      <c r="A338" s="8" t="inlineStr">
        <is>
          <t>高中</t>
        </is>
      </c>
      <c r="B338" s="8" t="inlineStr">
        <is>
          <t>龍騰</t>
        </is>
      </c>
      <c r="C338" s="8" t="inlineStr">
        <is>
          <t>地理</t>
        </is>
      </c>
      <c r="D338" s="8" t="inlineStr">
        <is>
          <t>10</t>
        </is>
      </c>
      <c r="E338" s="8" t="inlineStr">
        <is>
          <t>第一冊</t>
        </is>
      </c>
      <c r="F338" s="8">
        <f>COUNTIFS(高中!$A:$A,$B338,高中!$E:$E,$C338,高中!$F:$F,"&lt;&gt;",高中!$C:$C,$D338,高中!$D:$D,$E338)</f>
        <v/>
      </c>
      <c r="G338" s="8">
        <f>IF(F338&gt;0,"已查到","未查到")</f>
        <v/>
      </c>
    </row>
    <row r="339">
      <c r="A339" s="8" t="inlineStr">
        <is>
          <t>高中</t>
        </is>
      </c>
      <c r="B339" s="8" t="inlineStr">
        <is>
          <t>龍騰</t>
        </is>
      </c>
      <c r="C339" s="8" t="inlineStr">
        <is>
          <t>地理</t>
        </is>
      </c>
      <c r="D339" s="8" t="inlineStr">
        <is>
          <t>10</t>
        </is>
      </c>
      <c r="E339" s="8" t="inlineStr">
        <is>
          <t>第二冊</t>
        </is>
      </c>
      <c r="F339" s="8">
        <f>COUNTIFS(高中!$A:$A,$B339,高中!$E:$E,$C339,高中!$F:$F,"&lt;&gt;",高中!$C:$C,$D339,高中!$D:$D,$E339)</f>
        <v/>
      </c>
      <c r="G339" s="8">
        <f>IF(F339&gt;0,"已查到","未查到")</f>
        <v/>
      </c>
    </row>
    <row r="340">
      <c r="A340" s="8" t="inlineStr">
        <is>
          <t>高中</t>
        </is>
      </c>
      <c r="B340" s="8" t="inlineStr">
        <is>
          <t>龍騰</t>
        </is>
      </c>
      <c r="C340" s="8" t="inlineStr">
        <is>
          <t>地理</t>
        </is>
      </c>
      <c r="D340" s="8" t="inlineStr">
        <is>
          <t>11</t>
        </is>
      </c>
      <c r="E340" s="8" t="inlineStr">
        <is>
          <t>第三冊</t>
        </is>
      </c>
      <c r="F340" s="8">
        <f>COUNTIFS(高中!$A:$A,$B340,高中!$E:$E,$C340,高中!$F:$F,"&lt;&gt;",高中!$C:$C,$D340,高中!$D:$D,$E340)</f>
        <v/>
      </c>
      <c r="G340" s="8">
        <f>IF(F340&gt;0,"已查到","未查到")</f>
        <v/>
      </c>
    </row>
    <row r="341">
      <c r="A341" s="8" t="inlineStr">
        <is>
          <t>高中</t>
        </is>
      </c>
      <c r="B341" s="8" t="inlineStr">
        <is>
          <t>龍騰</t>
        </is>
      </c>
      <c r="C341" s="8" t="inlineStr">
        <is>
          <t>地理</t>
        </is>
      </c>
      <c r="D341" s="8" t="n"/>
      <c r="E341" s="8" t="inlineStr">
        <is>
          <t>加深加廣選修 探究與實作：地理與人文社會科學研究</t>
        </is>
      </c>
      <c r="F341" s="8">
        <f>COUNTIFS(高中!$A:$A,$B341,高中!$E:$E,$C341,高中!$F:$F,"&lt;&gt;",高中!$C:$C,"",高中!$D:$D,$E341)</f>
        <v/>
      </c>
      <c r="G341" s="8">
        <f>IF(F341&gt;0,"已查到","未查到")</f>
        <v/>
      </c>
    </row>
    <row r="342">
      <c r="A342" s="8" t="inlineStr">
        <is>
          <t>高中</t>
        </is>
      </c>
      <c r="B342" s="8" t="inlineStr">
        <is>
          <t>龍騰</t>
        </is>
      </c>
      <c r="C342" s="8" t="inlineStr">
        <is>
          <t>地理</t>
        </is>
      </c>
      <c r="D342" s="8" t="n"/>
      <c r="E342" s="8" t="inlineStr">
        <is>
          <t>加深加廣選修 空間資訊科技</t>
        </is>
      </c>
      <c r="F342" s="8">
        <f>COUNTIFS(高中!$A:$A,$B342,高中!$E:$E,$C342,高中!$F:$F,"&lt;&gt;",高中!$C:$C,"",高中!$D:$D,$E342)</f>
        <v/>
      </c>
      <c r="G342" s="8">
        <f>IF(F342&gt;0,"已查到","未查到")</f>
        <v/>
      </c>
    </row>
    <row r="343">
      <c r="A343" s="8" t="inlineStr">
        <is>
          <t>高中</t>
        </is>
      </c>
      <c r="B343" s="8" t="inlineStr">
        <is>
          <t>龍騰</t>
        </is>
      </c>
      <c r="C343" s="8" t="inlineStr">
        <is>
          <t>地理</t>
        </is>
      </c>
      <c r="D343" s="8" t="n"/>
      <c r="E343" s="8" t="inlineStr">
        <is>
          <t>選修地理Ⅱ 社會環境議題</t>
        </is>
      </c>
      <c r="F343" s="8">
        <f>COUNTIFS(高中!$A:$A,$B343,高中!$E:$E,$C343,高中!$F:$F,"&lt;&gt;",高中!$C:$C,"",高中!$D:$D,$E343)</f>
        <v/>
      </c>
      <c r="G343" s="8">
        <f>IF(F343&gt;0,"已查到","未查到")</f>
        <v/>
      </c>
    </row>
    <row r="344">
      <c r="A344" s="8" t="inlineStr">
        <is>
          <t>高中</t>
        </is>
      </c>
      <c r="B344" s="8" t="inlineStr">
        <is>
          <t>龍騰</t>
        </is>
      </c>
      <c r="C344" s="8" t="inlineStr">
        <is>
          <t>公民與社會</t>
        </is>
      </c>
      <c r="D344" s="8" t="inlineStr">
        <is>
          <t>10</t>
        </is>
      </c>
      <c r="E344" s="8" t="inlineStr">
        <is>
          <t>第一冊</t>
        </is>
      </c>
      <c r="F344" s="8">
        <f>COUNTIFS(高中!$A:$A,$B344,高中!$E:$E,$C344,高中!$F:$F,"&lt;&gt;",高中!$C:$C,$D344,高中!$D:$D,$E344)</f>
        <v/>
      </c>
      <c r="G344" s="8">
        <f>IF(F344&gt;0,"已查到","未查到")</f>
        <v/>
      </c>
    </row>
    <row r="345">
      <c r="A345" s="8" t="inlineStr">
        <is>
          <t>高中</t>
        </is>
      </c>
      <c r="B345" s="8" t="inlineStr">
        <is>
          <t>龍騰</t>
        </is>
      </c>
      <c r="C345" s="8" t="inlineStr">
        <is>
          <t>公民與社會</t>
        </is>
      </c>
      <c r="D345" s="8" t="inlineStr">
        <is>
          <t>10</t>
        </is>
      </c>
      <c r="E345" s="8" t="inlineStr">
        <is>
          <t>第二冊</t>
        </is>
      </c>
      <c r="F345" s="8">
        <f>COUNTIFS(高中!$A:$A,$B345,高中!$E:$E,$C345,高中!$F:$F,"&lt;&gt;",高中!$C:$C,$D345,高中!$D:$D,$E345)</f>
        <v/>
      </c>
      <c r="G345" s="8">
        <f>IF(F345&gt;0,"已查到","未查到")</f>
        <v/>
      </c>
    </row>
    <row r="346">
      <c r="A346" s="8" t="inlineStr">
        <is>
          <t>高中</t>
        </is>
      </c>
      <c r="B346" s="8" t="inlineStr">
        <is>
          <t>龍騰</t>
        </is>
      </c>
      <c r="C346" s="8" t="inlineStr">
        <is>
          <t>公民與社會</t>
        </is>
      </c>
      <c r="D346" s="8" t="inlineStr">
        <is>
          <t>11</t>
        </is>
      </c>
      <c r="E346" s="8" t="inlineStr">
        <is>
          <t>第三冊</t>
        </is>
      </c>
      <c r="F346" s="8">
        <f>COUNTIFS(高中!$A:$A,$B346,高中!$E:$E,$C346,高中!$F:$F,"&lt;&gt;",高中!$C:$C,$D346,高中!$D:$D,$E346)</f>
        <v/>
      </c>
      <c r="G346" s="8">
        <f>IF(F346&gt;0,"已查到","未查到")</f>
        <v/>
      </c>
    </row>
    <row r="347">
      <c r="A347" s="8" t="inlineStr">
        <is>
          <t>高中</t>
        </is>
      </c>
      <c r="B347" s="8" t="inlineStr">
        <is>
          <t>龍騰</t>
        </is>
      </c>
      <c r="C347" s="8" t="inlineStr">
        <is>
          <t>公民與社會</t>
        </is>
      </c>
      <c r="D347" s="8" t="n"/>
      <c r="E347" s="8" t="inlineStr">
        <is>
          <t>加深加廣選修 探究與實作：公共議題與社會探究</t>
        </is>
      </c>
      <c r="F347" s="8">
        <f>COUNTIFS(高中!$A:$A,$B347,高中!$E:$E,$C347,高中!$F:$F,"&lt;&gt;",高中!$C:$C,"",高中!$D:$D,$E347)</f>
        <v/>
      </c>
      <c r="G347" s="8">
        <f>IF(F347&gt;0,"已查到","未查到")</f>
        <v/>
      </c>
    </row>
    <row r="348">
      <c r="A348" s="8" t="inlineStr">
        <is>
          <t>高中</t>
        </is>
      </c>
      <c r="B348" s="8" t="inlineStr">
        <is>
          <t>龍騰</t>
        </is>
      </c>
      <c r="C348" s="8" t="inlineStr">
        <is>
          <t>公民與社會</t>
        </is>
      </c>
      <c r="D348" s="8" t="n"/>
      <c r="E348" s="8" t="inlineStr">
        <is>
          <t>加深加廣選修 民主政治與法律</t>
        </is>
      </c>
      <c r="F348" s="8">
        <f>COUNTIFS(高中!$A:$A,$B348,高中!$E:$E,$C348,高中!$F:$F,"&lt;&gt;",高中!$C:$C,"",高中!$D:$D,$E348)</f>
        <v/>
      </c>
      <c r="G348" s="8">
        <f>IF(F348&gt;0,"已查到","未查到")</f>
        <v/>
      </c>
    </row>
    <row r="349">
      <c r="A349" s="8" t="inlineStr">
        <is>
          <t>高中</t>
        </is>
      </c>
      <c r="B349" s="8" t="inlineStr">
        <is>
          <t>龍騰</t>
        </is>
      </c>
      <c r="C349" s="8" t="inlineStr">
        <is>
          <t>公民與社會</t>
        </is>
      </c>
      <c r="D349" s="8" t="n"/>
      <c r="E349" s="8" t="inlineStr">
        <is>
          <t>加深加廣選修 現代社會與經濟</t>
        </is>
      </c>
      <c r="F349" s="8">
        <f>COUNTIFS(高中!$A:$A,$B349,高中!$E:$E,$C349,高中!$F:$F,"&lt;&gt;",高中!$C:$C,"",高中!$D:$D,$E349)</f>
        <v/>
      </c>
      <c r="G349" s="8">
        <f>IF(F349&gt;0,"已查到","未查到")</f>
        <v/>
      </c>
    </row>
    <row r="350">
      <c r="A350" s="8" t="inlineStr">
        <is>
          <t>高中</t>
        </is>
      </c>
      <c r="B350" s="8" t="inlineStr">
        <is>
          <t>龍騰</t>
        </is>
      </c>
      <c r="C350" s="8" t="inlineStr">
        <is>
          <t>公民與社會</t>
        </is>
      </c>
      <c r="D350" s="8" t="n"/>
      <c r="E350" s="8" t="inlineStr">
        <is>
          <t>選修公民Ⅰ（社會篇）</t>
        </is>
      </c>
      <c r="F350" s="8">
        <f>COUNTIFS(高中!$A:$A,$B350,高中!$E:$E,$C350,高中!$F:$F,"&lt;&gt;",高中!$C:$C,"",高中!$D:$D,$E350)</f>
        <v/>
      </c>
      <c r="G350" s="8">
        <f>IF(F350&gt;0,"已查到","未查到")</f>
        <v/>
      </c>
    </row>
    <row r="351">
      <c r="A351" s="8" t="inlineStr">
        <is>
          <t>高中</t>
        </is>
      </c>
      <c r="B351" s="8" t="inlineStr">
        <is>
          <t>龍騰</t>
        </is>
      </c>
      <c r="C351" s="8" t="inlineStr">
        <is>
          <t>公民與社會</t>
        </is>
      </c>
      <c r="D351" s="8" t="n"/>
      <c r="E351" s="8" t="inlineStr">
        <is>
          <t>選修公民Ⅱ（政治篇）</t>
        </is>
      </c>
      <c r="F351" s="8">
        <f>COUNTIFS(高中!$A:$A,$B351,高中!$E:$E,$C351,高中!$F:$F,"&lt;&gt;",高中!$C:$C,"",高中!$D:$D,$E351)</f>
        <v/>
      </c>
      <c r="G351" s="8">
        <f>IF(F351&gt;0,"已查到","未查到")</f>
        <v/>
      </c>
    </row>
    <row r="352">
      <c r="A352" s="8" t="inlineStr">
        <is>
          <t>高中</t>
        </is>
      </c>
      <c r="B352" s="8" t="inlineStr">
        <is>
          <t>全華</t>
        </is>
      </c>
      <c r="C352" s="8" t="inlineStr">
        <is>
          <t>國文</t>
        </is>
      </c>
      <c r="D352" s="8" t="inlineStr">
        <is>
          <t>10</t>
        </is>
      </c>
      <c r="E352" s="8" t="inlineStr">
        <is>
          <t>第一冊</t>
        </is>
      </c>
      <c r="F352" s="8">
        <f>COUNTIFS(高中!$A:$A,$B352,高中!$E:$E,$C352,高中!$F:$F,"&lt;&gt;",高中!$C:$C,$D352,高中!$D:$D,$E352)</f>
        <v/>
      </c>
      <c r="G352" s="8">
        <f>IF(F352&gt;0,"已查到","未查到")</f>
        <v/>
      </c>
    </row>
    <row r="353">
      <c r="A353" s="8" t="inlineStr">
        <is>
          <t>高中</t>
        </is>
      </c>
      <c r="B353" s="8" t="inlineStr">
        <is>
          <t>全華</t>
        </is>
      </c>
      <c r="C353" s="8" t="inlineStr">
        <is>
          <t>國文</t>
        </is>
      </c>
      <c r="D353" s="8" t="inlineStr">
        <is>
          <t>10</t>
        </is>
      </c>
      <c r="E353" s="8" t="inlineStr">
        <is>
          <t>第二冊</t>
        </is>
      </c>
      <c r="F353" s="8">
        <f>COUNTIFS(高中!$A:$A,$B353,高中!$E:$E,$C353,高中!$F:$F,"&lt;&gt;",高中!$C:$C,$D353,高中!$D:$D,$E353)</f>
        <v/>
      </c>
      <c r="G353" s="8">
        <f>IF(F353&gt;0,"已查到","未查到")</f>
        <v/>
      </c>
    </row>
    <row r="354">
      <c r="A354" s="8" t="inlineStr">
        <is>
          <t>高中</t>
        </is>
      </c>
      <c r="B354" s="8" t="inlineStr">
        <is>
          <t>全華</t>
        </is>
      </c>
      <c r="C354" s="8" t="inlineStr">
        <is>
          <t>國文</t>
        </is>
      </c>
      <c r="D354" s="8" t="inlineStr">
        <is>
          <t>11</t>
        </is>
      </c>
      <c r="E354" s="8" t="inlineStr">
        <is>
          <t>第三冊</t>
        </is>
      </c>
      <c r="F354" s="8">
        <f>COUNTIFS(高中!$A:$A,$B354,高中!$E:$E,$C354,高中!$F:$F,"&lt;&gt;",高中!$C:$C,$D354,高中!$D:$D,$E354)</f>
        <v/>
      </c>
      <c r="G354" s="8">
        <f>IF(F354&gt;0,"已查到","未查到")</f>
        <v/>
      </c>
    </row>
    <row r="355">
      <c r="A355" s="8" t="inlineStr">
        <is>
          <t>高中</t>
        </is>
      </c>
      <c r="B355" s="8" t="inlineStr">
        <is>
          <t>全華</t>
        </is>
      </c>
      <c r="C355" s="8" t="inlineStr">
        <is>
          <t>國文</t>
        </is>
      </c>
      <c r="D355" s="8" t="inlineStr">
        <is>
          <t>11</t>
        </is>
      </c>
      <c r="E355" s="8" t="inlineStr">
        <is>
          <t>第四冊</t>
        </is>
      </c>
      <c r="F355" s="8">
        <f>COUNTIFS(高中!$A:$A,$B355,高中!$E:$E,$C355,高中!$F:$F,"&lt;&gt;",高中!$C:$C,$D355,高中!$D:$D,$E355)</f>
        <v/>
      </c>
      <c r="G355" s="8">
        <f>IF(F355&gt;0,"已查到","未查到")</f>
        <v/>
      </c>
    </row>
    <row r="356">
      <c r="A356" s="8" t="inlineStr">
        <is>
          <t>高中</t>
        </is>
      </c>
      <c r="B356" s="8" t="inlineStr">
        <is>
          <t>全華</t>
        </is>
      </c>
      <c r="C356" s="8" t="inlineStr">
        <is>
          <t>國文</t>
        </is>
      </c>
      <c r="D356" s="8" t="inlineStr">
        <is>
          <t>12</t>
        </is>
      </c>
      <c r="E356" s="8" t="inlineStr">
        <is>
          <t>第五冊</t>
        </is>
      </c>
      <c r="F356" s="8">
        <f>COUNTIFS(高中!$A:$A,$B356,高中!$E:$E,$C356,高中!$F:$F,"&lt;&gt;",高中!$C:$C,$D356,高中!$D:$D,$E356)</f>
        <v/>
      </c>
      <c r="G356" s="8">
        <f>IF(F356&gt;0,"已查到","未查到")</f>
        <v/>
      </c>
    </row>
    <row r="357">
      <c r="A357" s="8" t="inlineStr">
        <is>
          <t>高中</t>
        </is>
      </c>
      <c r="B357" s="8" t="inlineStr">
        <is>
          <t>全華</t>
        </is>
      </c>
      <c r="C357" s="8" t="inlineStr">
        <is>
          <t>國文</t>
        </is>
      </c>
      <c r="D357" s="8" t="inlineStr">
        <is>
          <t>12</t>
        </is>
      </c>
      <c r="E357" s="8" t="inlineStr">
        <is>
          <t>第六冊</t>
        </is>
      </c>
      <c r="F357" s="8">
        <f>COUNTIFS(高中!$A:$A,$B357,高中!$E:$E,$C357,高中!$F:$F,"&lt;&gt;",高中!$C:$C,$D357,高中!$D:$D,$E357)</f>
        <v/>
      </c>
      <c r="G357" s="8">
        <f>IF(F357&gt;0,"已查到","未查到")</f>
        <v/>
      </c>
    </row>
    <row r="358">
      <c r="A358" s="8" t="inlineStr">
        <is>
          <t>高中</t>
        </is>
      </c>
      <c r="B358" s="8" t="inlineStr">
        <is>
          <t>全華</t>
        </is>
      </c>
      <c r="C358" s="8" t="inlineStr">
        <is>
          <t>國文</t>
        </is>
      </c>
      <c r="D358" s="8" t="n"/>
      <c r="E358" s="8" t="inlineStr">
        <is>
          <t>加深加廣選修：各類文學選讀</t>
        </is>
      </c>
      <c r="F358" s="8">
        <f>COUNTIFS(高中!$A:$A,$B358,高中!$E:$E,$C358,高中!$F:$F,"&lt;&gt;",高中!$C:$C,"",高中!$D:$D,$E358)</f>
        <v/>
      </c>
      <c r="G358" s="8">
        <f>IF(F358&gt;0,"已查到","未查到")</f>
        <v/>
      </c>
    </row>
    <row r="359">
      <c r="A359" s="8" t="inlineStr">
        <is>
          <t>高中</t>
        </is>
      </c>
      <c r="B359" s="8" t="inlineStr">
        <is>
          <t>全華</t>
        </is>
      </c>
      <c r="C359" s="8" t="inlineStr">
        <is>
          <t>國文</t>
        </is>
      </c>
      <c r="D359" s="8" t="n"/>
      <c r="E359" s="8" t="inlineStr">
        <is>
          <t>加深加廣選修：國學常識</t>
        </is>
      </c>
      <c r="F359" s="8">
        <f>COUNTIFS(高中!$A:$A,$B359,高中!$E:$E,$C359,高中!$F:$F,"&lt;&gt;",高中!$C:$C,"",高中!$D:$D,$E359)</f>
        <v/>
      </c>
      <c r="G359" s="8">
        <f>IF(F359&gt;0,"已查到","未查到")</f>
        <v/>
      </c>
    </row>
    <row r="360">
      <c r="A360" s="8" t="inlineStr">
        <is>
          <t>高中</t>
        </is>
      </c>
      <c r="B360" s="8" t="inlineStr">
        <is>
          <t>全華</t>
        </is>
      </c>
      <c r="C360" s="8" t="inlineStr">
        <is>
          <t>國文</t>
        </is>
      </c>
      <c r="D360" s="8" t="n"/>
      <c r="E360" s="8" t="inlineStr">
        <is>
          <t>加深加廣選修：專題閱讀與研究</t>
        </is>
      </c>
      <c r="F360" s="8">
        <f>COUNTIFS(高中!$A:$A,$B360,高中!$E:$E,$C360,高中!$F:$F,"&lt;&gt;",高中!$C:$C,"",高中!$D:$D,$E360)</f>
        <v/>
      </c>
      <c r="G360" s="8">
        <f>IF(F360&gt;0,"已查到","未查到")</f>
        <v/>
      </c>
    </row>
    <row r="361">
      <c r="A361" s="8" t="inlineStr">
        <is>
          <t>高中</t>
        </is>
      </c>
      <c r="B361" s="8" t="inlineStr">
        <is>
          <t>全華</t>
        </is>
      </c>
      <c r="C361" s="8" t="inlineStr">
        <is>
          <t>國文</t>
        </is>
      </c>
      <c r="D361" s="8" t="n"/>
      <c r="E361" s="8" t="inlineStr">
        <is>
          <t>加深加廣選修：語文表達及傳播應用</t>
        </is>
      </c>
      <c r="F361" s="8">
        <f>COUNTIFS(高中!$A:$A,$B361,高中!$E:$E,$C361,高中!$F:$F,"&lt;&gt;",高中!$C:$C,"",高中!$D:$D,$E361)</f>
        <v/>
      </c>
      <c r="G361" s="8">
        <f>IF(F361&gt;0,"已查到","未查到")</f>
        <v/>
      </c>
    </row>
    <row r="362">
      <c r="A362" s="8" t="inlineStr">
        <is>
          <t>高中</t>
        </is>
      </c>
      <c r="B362" s="8" t="inlineStr">
        <is>
          <t>全華</t>
        </is>
      </c>
      <c r="C362" s="8" t="inlineStr">
        <is>
          <t>英文</t>
        </is>
      </c>
      <c r="D362" s="8" t="inlineStr">
        <is>
          <t>10</t>
        </is>
      </c>
      <c r="E362" s="8" t="inlineStr">
        <is>
          <t>第一冊</t>
        </is>
      </c>
      <c r="F362" s="8">
        <f>COUNTIFS(高中!$A:$A,$B362,高中!$E:$E,$C362,高中!$F:$F,"&lt;&gt;",高中!$C:$C,$D362,高中!$D:$D,$E362)</f>
        <v/>
      </c>
      <c r="G362" s="8">
        <f>IF(F362&gt;0,"已查到","未查到")</f>
        <v/>
      </c>
    </row>
    <row r="363">
      <c r="A363" s="8" t="inlineStr">
        <is>
          <t>高中</t>
        </is>
      </c>
      <c r="B363" s="8" t="inlineStr">
        <is>
          <t>全華</t>
        </is>
      </c>
      <c r="C363" s="8" t="inlineStr">
        <is>
          <t>英文</t>
        </is>
      </c>
      <c r="D363" s="8" t="inlineStr">
        <is>
          <t>10</t>
        </is>
      </c>
      <c r="E363" s="8" t="inlineStr">
        <is>
          <t>第二冊</t>
        </is>
      </c>
      <c r="F363" s="8">
        <f>COUNTIFS(高中!$A:$A,$B363,高中!$E:$E,$C363,高中!$F:$F,"&lt;&gt;",高中!$C:$C,$D363,高中!$D:$D,$E363)</f>
        <v/>
      </c>
      <c r="G363" s="8">
        <f>IF(F363&gt;0,"已查到","未查到")</f>
        <v/>
      </c>
    </row>
    <row r="364">
      <c r="A364" s="8" t="inlineStr">
        <is>
          <t>高中</t>
        </is>
      </c>
      <c r="B364" s="8" t="inlineStr">
        <is>
          <t>全華</t>
        </is>
      </c>
      <c r="C364" s="8" t="inlineStr">
        <is>
          <t>英文</t>
        </is>
      </c>
      <c r="D364" s="8" t="inlineStr">
        <is>
          <t>11</t>
        </is>
      </c>
      <c r="E364" s="8" t="inlineStr">
        <is>
          <t>第三冊</t>
        </is>
      </c>
      <c r="F364" s="8">
        <f>COUNTIFS(高中!$A:$A,$B364,高中!$E:$E,$C364,高中!$F:$F,"&lt;&gt;",高中!$C:$C,$D364,高中!$D:$D,$E364)</f>
        <v/>
      </c>
      <c r="G364" s="8">
        <f>IF(F364&gt;0,"已查到","未查到")</f>
        <v/>
      </c>
    </row>
    <row r="365">
      <c r="A365" s="8" t="inlineStr">
        <is>
          <t>高中</t>
        </is>
      </c>
      <c r="B365" s="8" t="inlineStr">
        <is>
          <t>全華</t>
        </is>
      </c>
      <c r="C365" s="8" t="inlineStr">
        <is>
          <t>英文</t>
        </is>
      </c>
      <c r="D365" s="8" t="inlineStr">
        <is>
          <t>11</t>
        </is>
      </c>
      <c r="E365" s="8" t="inlineStr">
        <is>
          <t>第四冊</t>
        </is>
      </c>
      <c r="F365" s="8">
        <f>COUNTIFS(高中!$A:$A,$B365,高中!$E:$E,$C365,高中!$F:$F,"&lt;&gt;",高中!$C:$C,$D365,高中!$D:$D,$E365)</f>
        <v/>
      </c>
      <c r="G365" s="8">
        <f>IF(F365&gt;0,"已查到","未查到")</f>
        <v/>
      </c>
    </row>
    <row r="366">
      <c r="A366" s="8" t="inlineStr">
        <is>
          <t>高中</t>
        </is>
      </c>
      <c r="B366" s="8" t="inlineStr">
        <is>
          <t>全華</t>
        </is>
      </c>
      <c r="C366" s="8" t="inlineStr">
        <is>
          <t>英文</t>
        </is>
      </c>
      <c r="D366" s="8" t="inlineStr">
        <is>
          <t>12</t>
        </is>
      </c>
      <c r="E366" s="8" t="inlineStr">
        <is>
          <t>第五冊</t>
        </is>
      </c>
      <c r="F366" s="8">
        <f>COUNTIFS(高中!$A:$A,$B366,高中!$E:$E,$C366,高中!$F:$F,"&lt;&gt;",高中!$C:$C,$D366,高中!$D:$D,$E366)</f>
        <v/>
      </c>
      <c r="G366" s="8">
        <f>IF(F366&gt;0,"已查到","未查到")</f>
        <v/>
      </c>
    </row>
    <row r="367">
      <c r="A367" s="8" t="inlineStr">
        <is>
          <t>高中</t>
        </is>
      </c>
      <c r="B367" s="8" t="inlineStr">
        <is>
          <t>全華</t>
        </is>
      </c>
      <c r="C367" s="8" t="inlineStr">
        <is>
          <t>英文</t>
        </is>
      </c>
      <c r="D367" s="8" t="inlineStr">
        <is>
          <t>12</t>
        </is>
      </c>
      <c r="E367" s="8" t="inlineStr">
        <is>
          <t>第六冊</t>
        </is>
      </c>
      <c r="F367" s="8">
        <f>COUNTIFS(高中!$A:$A,$B367,高中!$E:$E,$C367,高中!$F:$F,"&lt;&gt;",高中!$C:$C,$D367,高中!$D:$D,$E367)</f>
        <v/>
      </c>
      <c r="G367" s="8">
        <f>IF(F367&gt;0,"已查到","未查到")</f>
        <v/>
      </c>
    </row>
    <row r="368">
      <c r="A368" s="8" t="inlineStr">
        <is>
          <t>高中</t>
        </is>
      </c>
      <c r="B368" s="8" t="inlineStr">
        <is>
          <t>全華</t>
        </is>
      </c>
      <c r="C368" s="8" t="inlineStr">
        <is>
          <t>英文</t>
        </is>
      </c>
      <c r="D368" s="8" t="n"/>
      <c r="E368" s="8" t="inlineStr">
        <is>
          <t>加深加廣選修：英文閱讀與寫作</t>
        </is>
      </c>
      <c r="F368" s="8">
        <f>COUNTIFS(高中!$A:$A,$B368,高中!$E:$E,$C368,高中!$F:$F,"&lt;&gt;",高中!$C:$C,"",高中!$D:$D,$E368)</f>
        <v/>
      </c>
      <c r="G368" s="8">
        <f>IF(F368&gt;0,"已查到","未查到")</f>
        <v/>
      </c>
    </row>
    <row r="369">
      <c r="A369" s="8" t="inlineStr">
        <is>
          <t>高中</t>
        </is>
      </c>
      <c r="B369" s="8" t="inlineStr">
        <is>
          <t>全華</t>
        </is>
      </c>
      <c r="C369" s="8" t="inlineStr">
        <is>
          <t>英文</t>
        </is>
      </c>
      <c r="D369" s="8" t="n"/>
      <c r="E369" s="8" t="inlineStr">
        <is>
          <t>加深加廣選修：英語聽講</t>
        </is>
      </c>
      <c r="F369" s="8">
        <f>COUNTIFS(高中!$A:$A,$B369,高中!$E:$E,$C369,高中!$F:$F,"&lt;&gt;",高中!$C:$C,"",高中!$D:$D,$E369)</f>
        <v/>
      </c>
      <c r="G369" s="8">
        <f>IF(F369&gt;0,"已查到","未查到")</f>
        <v/>
      </c>
    </row>
    <row r="370">
      <c r="A370" s="8" t="inlineStr">
        <is>
          <t>高中</t>
        </is>
      </c>
      <c r="B370" s="8" t="inlineStr">
        <is>
          <t>全華</t>
        </is>
      </c>
      <c r="C370" s="8" t="inlineStr">
        <is>
          <t>數學</t>
        </is>
      </c>
      <c r="D370" s="8" t="inlineStr">
        <is>
          <t>10</t>
        </is>
      </c>
      <c r="E370" s="8" t="inlineStr">
        <is>
          <t>第一冊</t>
        </is>
      </c>
      <c r="F370" s="8">
        <f>COUNTIFS(高中!$A:$A,$B370,高中!$E:$E,$C370,高中!$F:$F,"&lt;&gt;",高中!$C:$C,$D370,高中!$D:$D,$E370)</f>
        <v/>
      </c>
      <c r="G370" s="8">
        <f>IF(F370&gt;0,"已查到","未查到")</f>
        <v/>
      </c>
    </row>
    <row r="371">
      <c r="A371" s="8" t="inlineStr">
        <is>
          <t>高中</t>
        </is>
      </c>
      <c r="B371" s="8" t="inlineStr">
        <is>
          <t>全華</t>
        </is>
      </c>
      <c r="C371" s="8" t="inlineStr">
        <is>
          <t>數學</t>
        </is>
      </c>
      <c r="D371" s="8" t="inlineStr">
        <is>
          <t>10</t>
        </is>
      </c>
      <c r="E371" s="8" t="inlineStr">
        <is>
          <t>第二冊</t>
        </is>
      </c>
      <c r="F371" s="8">
        <f>COUNTIFS(高中!$A:$A,$B371,高中!$E:$E,$C371,高中!$F:$F,"&lt;&gt;",高中!$C:$C,$D371,高中!$D:$D,$E371)</f>
        <v/>
      </c>
      <c r="G371" s="8">
        <f>IF(F371&gt;0,"已查到","未查到")</f>
        <v/>
      </c>
    </row>
    <row r="372">
      <c r="A372" s="8" t="inlineStr">
        <is>
          <t>高中</t>
        </is>
      </c>
      <c r="B372" s="8" t="inlineStr">
        <is>
          <t>全華</t>
        </is>
      </c>
      <c r="C372" s="8" t="inlineStr">
        <is>
          <t>數學</t>
        </is>
      </c>
      <c r="D372" s="8" t="inlineStr">
        <is>
          <t>11</t>
        </is>
      </c>
      <c r="E372" s="8" t="inlineStr">
        <is>
          <t>第三冊A</t>
        </is>
      </c>
      <c r="F372" s="8">
        <f>COUNTIFS(高中!$A:$A,$B372,高中!$E:$E,$C372,高中!$F:$F,"&lt;&gt;",高中!$C:$C,$D372,高中!$D:$D,$E372)</f>
        <v/>
      </c>
      <c r="G372" s="8">
        <f>IF(F372&gt;0,"已查到","未查到")</f>
        <v/>
      </c>
    </row>
    <row r="373">
      <c r="A373" s="8" t="inlineStr">
        <is>
          <t>高中</t>
        </is>
      </c>
      <c r="B373" s="8" t="inlineStr">
        <is>
          <t>全華</t>
        </is>
      </c>
      <c r="C373" s="8" t="inlineStr">
        <is>
          <t>數學</t>
        </is>
      </c>
      <c r="D373" s="8" t="inlineStr">
        <is>
          <t>11</t>
        </is>
      </c>
      <c r="E373" s="8" t="inlineStr">
        <is>
          <t>第三冊B</t>
        </is>
      </c>
      <c r="F373" s="8">
        <f>COUNTIFS(高中!$A:$A,$B373,高中!$E:$E,$C373,高中!$F:$F,"&lt;&gt;",高中!$C:$C,$D373,高中!$D:$D,$E373)</f>
        <v/>
      </c>
      <c r="G373" s="8">
        <f>IF(F373&gt;0,"已查到","未查到")</f>
        <v/>
      </c>
    </row>
    <row r="374">
      <c r="A374" s="8" t="inlineStr">
        <is>
          <t>高中</t>
        </is>
      </c>
      <c r="B374" s="8" t="inlineStr">
        <is>
          <t>全華</t>
        </is>
      </c>
      <c r="C374" s="8" t="inlineStr">
        <is>
          <t>數學</t>
        </is>
      </c>
      <c r="D374" s="8" t="inlineStr">
        <is>
          <t>11</t>
        </is>
      </c>
      <c r="E374" s="8" t="inlineStr">
        <is>
          <t>第四冊A</t>
        </is>
      </c>
      <c r="F374" s="8">
        <f>COUNTIFS(高中!$A:$A,$B374,高中!$E:$E,$C374,高中!$F:$F,"&lt;&gt;",高中!$C:$C,$D374,高中!$D:$D,$E374)</f>
        <v/>
      </c>
      <c r="G374" s="8">
        <f>IF(F374&gt;0,"已查到","未查到")</f>
        <v/>
      </c>
    </row>
    <row r="375">
      <c r="A375" s="8" t="inlineStr">
        <is>
          <t>高中</t>
        </is>
      </c>
      <c r="B375" s="8" t="inlineStr">
        <is>
          <t>全華</t>
        </is>
      </c>
      <c r="C375" s="8" t="inlineStr">
        <is>
          <t>數學</t>
        </is>
      </c>
      <c r="D375" s="8" t="inlineStr">
        <is>
          <t>11</t>
        </is>
      </c>
      <c r="E375" s="8" t="inlineStr">
        <is>
          <t>第四冊B</t>
        </is>
      </c>
      <c r="F375" s="8">
        <f>COUNTIFS(高中!$A:$A,$B375,高中!$E:$E,$C375,高中!$F:$F,"&lt;&gt;",高中!$C:$C,$D375,高中!$D:$D,$E375)</f>
        <v/>
      </c>
      <c r="G375" s="8">
        <f>IF(F375&gt;0,"已查到","未查到")</f>
        <v/>
      </c>
    </row>
    <row r="376">
      <c r="A376" s="8" t="inlineStr">
        <is>
          <t>高中</t>
        </is>
      </c>
      <c r="B376" s="8" t="inlineStr">
        <is>
          <t>全華</t>
        </is>
      </c>
      <c r="C376" s="8" t="inlineStr">
        <is>
          <t>數學</t>
        </is>
      </c>
      <c r="D376" s="8" t="inlineStr">
        <is>
          <t>12</t>
        </is>
      </c>
      <c r="E376" s="8" t="inlineStr">
        <is>
          <t>數學乙上</t>
        </is>
      </c>
      <c r="F376" s="8">
        <f>COUNTIFS(高中!$A:$A,$B376,高中!$E:$E,$C376,高中!$F:$F,"&lt;&gt;",高中!$C:$C,$D376,高中!$D:$D,$E376)</f>
        <v/>
      </c>
      <c r="G376" s="8">
        <f>IF(F376&gt;0,"已查到","未查到")</f>
        <v/>
      </c>
    </row>
    <row r="377">
      <c r="A377" s="8" t="inlineStr">
        <is>
          <t>高中</t>
        </is>
      </c>
      <c r="B377" s="8" t="inlineStr">
        <is>
          <t>全華</t>
        </is>
      </c>
      <c r="C377" s="8" t="inlineStr">
        <is>
          <t>數學</t>
        </is>
      </c>
      <c r="D377" s="8" t="inlineStr">
        <is>
          <t>12</t>
        </is>
      </c>
      <c r="E377" s="8" t="inlineStr">
        <is>
          <t>數學乙下</t>
        </is>
      </c>
      <c r="F377" s="8">
        <f>COUNTIFS(高中!$A:$A,$B377,高中!$E:$E,$C377,高中!$F:$F,"&lt;&gt;",高中!$C:$C,$D377,高中!$D:$D,$E377)</f>
        <v/>
      </c>
      <c r="G377" s="8">
        <f>IF(F377&gt;0,"已查到","未查到")</f>
        <v/>
      </c>
    </row>
    <row r="378">
      <c r="A378" s="8" t="inlineStr">
        <is>
          <t>高中</t>
        </is>
      </c>
      <c r="B378" s="8" t="inlineStr">
        <is>
          <t>全華</t>
        </is>
      </c>
      <c r="C378" s="8" t="inlineStr">
        <is>
          <t>數學</t>
        </is>
      </c>
      <c r="D378" s="8" t="inlineStr">
        <is>
          <t>12</t>
        </is>
      </c>
      <c r="E378" s="8" t="inlineStr">
        <is>
          <t>數學甲上</t>
        </is>
      </c>
      <c r="F378" s="8">
        <f>COUNTIFS(高中!$A:$A,$B378,高中!$E:$E,$C378,高中!$F:$F,"&lt;&gt;",高中!$C:$C,$D378,高中!$D:$D,$E378)</f>
        <v/>
      </c>
      <c r="G378" s="8">
        <f>IF(F378&gt;0,"已查到","未查到")</f>
        <v/>
      </c>
    </row>
    <row r="379">
      <c r="A379" s="8" t="inlineStr">
        <is>
          <t>高中</t>
        </is>
      </c>
      <c r="B379" s="8" t="inlineStr">
        <is>
          <t>全華</t>
        </is>
      </c>
      <c r="C379" s="8" t="inlineStr">
        <is>
          <t>數學</t>
        </is>
      </c>
      <c r="D379" s="8" t="inlineStr">
        <is>
          <t>12</t>
        </is>
      </c>
      <c r="E379" s="8" t="inlineStr">
        <is>
          <t>數學甲下</t>
        </is>
      </c>
      <c r="F379" s="8">
        <f>COUNTIFS(高中!$A:$A,$B379,高中!$E:$E,$C379,高中!$F:$F,"&lt;&gt;",高中!$C:$C,$D379,高中!$D:$D,$E379)</f>
        <v/>
      </c>
      <c r="G379" s="8">
        <f>IF(F379&gt;0,"已查到","未查到")</f>
        <v/>
      </c>
    </row>
    <row r="380">
      <c r="A380" s="8" t="inlineStr">
        <is>
          <t>高中</t>
        </is>
      </c>
      <c r="B380" s="8" t="inlineStr">
        <is>
          <t>全華</t>
        </is>
      </c>
      <c r="C380" s="8" t="inlineStr">
        <is>
          <t>生物</t>
        </is>
      </c>
      <c r="D380" s="8" t="n"/>
      <c r="E380" s="8" t="inlineStr">
        <is>
          <t>基礎生物（一）</t>
        </is>
      </c>
      <c r="F380" s="8">
        <f>COUNTIFS(高中!$A:$A,$B380,高中!$E:$E,$C380,高中!$F:$F,"&lt;&gt;",高中!$C:$C,"",高中!$D:$D,$E380)</f>
        <v/>
      </c>
      <c r="G380" s="8">
        <f>IF(F380&gt;0,"已查到","未查到")</f>
        <v/>
      </c>
    </row>
    <row r="381">
      <c r="A381" s="8" t="inlineStr">
        <is>
          <t>高中</t>
        </is>
      </c>
      <c r="B381" s="8" t="inlineStr">
        <is>
          <t>全華</t>
        </is>
      </c>
      <c r="C381" s="8" t="inlineStr">
        <is>
          <t>生物</t>
        </is>
      </c>
      <c r="D381" s="8" t="n"/>
      <c r="E381" s="8" t="inlineStr">
        <is>
          <t>基礎生物（二）</t>
        </is>
      </c>
      <c r="F381" s="8">
        <f>COUNTIFS(高中!$A:$A,$B381,高中!$E:$E,$C381,高中!$F:$F,"&lt;&gt;",高中!$C:$C,"",高中!$D:$D,$E381)</f>
        <v/>
      </c>
      <c r="G381" s="8">
        <f>IF(F381&gt;0,"已查到","未查到")</f>
        <v/>
      </c>
    </row>
    <row r="382">
      <c r="A382" s="8" t="inlineStr">
        <is>
          <t>高中</t>
        </is>
      </c>
      <c r="B382" s="8" t="inlineStr">
        <is>
          <t>全華</t>
        </is>
      </c>
      <c r="C382" s="8" t="inlineStr">
        <is>
          <t>生物</t>
        </is>
      </c>
      <c r="D382" s="8" t="n"/>
      <c r="E382" s="8" t="inlineStr">
        <is>
          <t>選修生物I</t>
        </is>
      </c>
      <c r="F382" s="8">
        <f>COUNTIFS(高中!$A:$A,$B382,高中!$E:$E,$C382,高中!$F:$F,"&lt;&gt;",高中!$C:$C,"",高中!$D:$D,$E382)</f>
        <v/>
      </c>
      <c r="G382" s="8">
        <f>IF(F382&gt;0,"已查到","未查到")</f>
        <v/>
      </c>
    </row>
    <row r="383">
      <c r="A383" s="8" t="inlineStr">
        <is>
          <t>高中</t>
        </is>
      </c>
      <c r="B383" s="8" t="inlineStr">
        <is>
          <t>全華</t>
        </is>
      </c>
      <c r="C383" s="8" t="inlineStr">
        <is>
          <t>生物</t>
        </is>
      </c>
      <c r="D383" s="8" t="n"/>
      <c r="E383" s="8" t="inlineStr">
        <is>
          <t>選修生物II</t>
        </is>
      </c>
      <c r="F383" s="8">
        <f>COUNTIFS(高中!$A:$A,$B383,高中!$E:$E,$C383,高中!$F:$F,"&lt;&gt;",高中!$C:$C,"",高中!$D:$D,$E383)</f>
        <v/>
      </c>
      <c r="G383" s="8">
        <f>IF(F383&gt;0,"已查到","未查到")</f>
        <v/>
      </c>
    </row>
    <row r="384">
      <c r="A384" s="8" t="inlineStr">
        <is>
          <t>高中</t>
        </is>
      </c>
      <c r="B384" s="8" t="inlineStr">
        <is>
          <t>全華</t>
        </is>
      </c>
      <c r="C384" s="8" t="inlineStr">
        <is>
          <t>生物</t>
        </is>
      </c>
      <c r="D384" s="8" t="n"/>
      <c r="E384" s="8" t="inlineStr">
        <is>
          <t>選修生物III</t>
        </is>
      </c>
      <c r="F384" s="8">
        <f>COUNTIFS(高中!$A:$A,$B384,高中!$E:$E,$C384,高中!$F:$F,"&lt;&gt;",高中!$C:$C,"",高中!$D:$D,$E384)</f>
        <v/>
      </c>
      <c r="G384" s="8">
        <f>IF(F384&gt;0,"已查到","未查到")</f>
        <v/>
      </c>
    </row>
    <row r="385">
      <c r="A385" s="8" t="inlineStr">
        <is>
          <t>高中</t>
        </is>
      </c>
      <c r="B385" s="8" t="inlineStr">
        <is>
          <t>全華</t>
        </is>
      </c>
      <c r="C385" s="8" t="inlineStr">
        <is>
          <t>生物</t>
        </is>
      </c>
      <c r="D385" s="8" t="n"/>
      <c r="E385" s="8" t="inlineStr">
        <is>
          <t>選修生物IV</t>
        </is>
      </c>
      <c r="F385" s="8">
        <f>COUNTIFS(高中!$A:$A,$B385,高中!$E:$E,$C385,高中!$F:$F,"&lt;&gt;",高中!$C:$C,"",高中!$D:$D,$E385)</f>
        <v/>
      </c>
      <c r="G385" s="8">
        <f>IF(F385&gt;0,"已查到","未查到")</f>
        <v/>
      </c>
    </row>
    <row r="386">
      <c r="A386" s="8" t="inlineStr">
        <is>
          <t>高中</t>
        </is>
      </c>
      <c r="B386" s="8" t="inlineStr">
        <is>
          <t>全華</t>
        </is>
      </c>
      <c r="C386" s="8" t="inlineStr">
        <is>
          <t>物理</t>
        </is>
      </c>
      <c r="D386" s="8" t="n"/>
      <c r="E386" s="8" t="inlineStr">
        <is>
          <t>基礎物理（一）</t>
        </is>
      </c>
      <c r="F386" s="8">
        <f>COUNTIFS(高中!$A:$A,$B386,高中!$E:$E,$C386,高中!$F:$F,"&lt;&gt;",高中!$C:$C,"",高中!$D:$D,$E386)</f>
        <v/>
      </c>
      <c r="G386" s="8">
        <f>IF(F386&gt;0,"已查到","未查到")</f>
        <v/>
      </c>
    </row>
    <row r="387">
      <c r="A387" s="8" t="inlineStr">
        <is>
          <t>高中</t>
        </is>
      </c>
      <c r="B387" s="8" t="inlineStr">
        <is>
          <t>全華</t>
        </is>
      </c>
      <c r="C387" s="8" t="inlineStr">
        <is>
          <t>物理</t>
        </is>
      </c>
      <c r="D387" s="8" t="n"/>
      <c r="E387" s="8" t="inlineStr">
        <is>
          <t>選修物理I</t>
        </is>
      </c>
      <c r="F387" s="8">
        <f>COUNTIFS(高中!$A:$A,$B387,高中!$E:$E,$C387,高中!$F:$F,"&lt;&gt;",高中!$C:$C,"",高中!$D:$D,$E387)</f>
        <v/>
      </c>
      <c r="G387" s="8">
        <f>IF(F387&gt;0,"已查到","未查到")</f>
        <v/>
      </c>
    </row>
    <row r="388">
      <c r="A388" s="8" t="inlineStr">
        <is>
          <t>高中</t>
        </is>
      </c>
      <c r="B388" s="8" t="inlineStr">
        <is>
          <t>全華</t>
        </is>
      </c>
      <c r="C388" s="8" t="inlineStr">
        <is>
          <t>物理</t>
        </is>
      </c>
      <c r="D388" s="8" t="n"/>
      <c r="E388" s="8" t="inlineStr">
        <is>
          <t>選修物理II</t>
        </is>
      </c>
      <c r="F388" s="8">
        <f>COUNTIFS(高中!$A:$A,$B388,高中!$E:$E,$C388,高中!$F:$F,"&lt;&gt;",高中!$C:$C,"",高中!$D:$D,$E388)</f>
        <v/>
      </c>
      <c r="G388" s="8">
        <f>IF(F388&gt;0,"已查到","未查到")</f>
        <v/>
      </c>
    </row>
    <row r="389">
      <c r="A389" s="8" t="inlineStr">
        <is>
          <t>高中</t>
        </is>
      </c>
      <c r="B389" s="8" t="inlineStr">
        <is>
          <t>全華</t>
        </is>
      </c>
      <c r="C389" s="8" t="inlineStr">
        <is>
          <t>物理</t>
        </is>
      </c>
      <c r="D389" s="8" t="n"/>
      <c r="E389" s="8" t="inlineStr">
        <is>
          <t>選修物理III</t>
        </is>
      </c>
      <c r="F389" s="8">
        <f>COUNTIFS(高中!$A:$A,$B389,高中!$E:$E,$C389,高中!$F:$F,"&lt;&gt;",高中!$C:$C,"",高中!$D:$D,$E389)</f>
        <v/>
      </c>
      <c r="G389" s="8">
        <f>IF(F389&gt;0,"已查到","未查到")</f>
        <v/>
      </c>
    </row>
    <row r="390">
      <c r="A390" s="8" t="inlineStr">
        <is>
          <t>高中</t>
        </is>
      </c>
      <c r="B390" s="8" t="inlineStr">
        <is>
          <t>全華</t>
        </is>
      </c>
      <c r="C390" s="8" t="inlineStr">
        <is>
          <t>物理</t>
        </is>
      </c>
      <c r="D390" s="8" t="n"/>
      <c r="E390" s="8" t="inlineStr">
        <is>
          <t>選修物理IV</t>
        </is>
      </c>
      <c r="F390" s="8">
        <f>COUNTIFS(高中!$A:$A,$B390,高中!$E:$E,$C390,高中!$F:$F,"&lt;&gt;",高中!$C:$C,"",高中!$D:$D,$E390)</f>
        <v/>
      </c>
      <c r="G390" s="8">
        <f>IF(F390&gt;0,"已查到","未查到")</f>
        <v/>
      </c>
    </row>
    <row r="391">
      <c r="A391" s="8" t="inlineStr">
        <is>
          <t>高中</t>
        </is>
      </c>
      <c r="B391" s="8" t="inlineStr">
        <is>
          <t>全華</t>
        </is>
      </c>
      <c r="C391" s="8" t="inlineStr">
        <is>
          <t>物理</t>
        </is>
      </c>
      <c r="D391" s="8" t="n"/>
      <c r="E391" s="8" t="inlineStr">
        <is>
          <t>選修物理V</t>
        </is>
      </c>
      <c r="F391" s="8">
        <f>COUNTIFS(高中!$A:$A,$B391,高中!$E:$E,$C391,高中!$F:$F,"&lt;&gt;",高中!$C:$C,"",高中!$D:$D,$E391)</f>
        <v/>
      </c>
      <c r="G391" s="8">
        <f>IF(F391&gt;0,"已查到","未查到")</f>
        <v/>
      </c>
    </row>
    <row r="392">
      <c r="A392" s="8" t="inlineStr">
        <is>
          <t>高中</t>
        </is>
      </c>
      <c r="B392" s="8" t="inlineStr">
        <is>
          <t>全華</t>
        </is>
      </c>
      <c r="C392" s="8" t="inlineStr">
        <is>
          <t>化學</t>
        </is>
      </c>
      <c r="D392" s="8" t="n"/>
      <c r="E392" s="8" t="inlineStr">
        <is>
          <t>基礎化學（一）</t>
        </is>
      </c>
      <c r="F392" s="8">
        <f>COUNTIFS(高中!$A:$A,$B392,高中!$E:$E,$C392,高中!$F:$F,"&lt;&gt;",高中!$C:$C,"",高中!$D:$D,$E392)</f>
        <v/>
      </c>
      <c r="G392" s="8">
        <f>IF(F392&gt;0,"已查到","未查到")</f>
        <v/>
      </c>
    </row>
    <row r="393">
      <c r="A393" s="8" t="inlineStr">
        <is>
          <t>高中</t>
        </is>
      </c>
      <c r="B393" s="8" t="inlineStr">
        <is>
          <t>全華</t>
        </is>
      </c>
      <c r="C393" s="8" t="inlineStr">
        <is>
          <t>化學</t>
        </is>
      </c>
      <c r="D393" s="8" t="n"/>
      <c r="E393" s="8" t="inlineStr">
        <is>
          <t>基礎化學（三）</t>
        </is>
      </c>
      <c r="F393" s="8">
        <f>COUNTIFS(高中!$A:$A,$B393,高中!$E:$E,$C393,高中!$F:$F,"&lt;&gt;",高中!$C:$C,"",高中!$D:$D,$E393)</f>
        <v/>
      </c>
      <c r="G393" s="8">
        <f>IF(F393&gt;0,"已查到","未查到")</f>
        <v/>
      </c>
    </row>
    <row r="394">
      <c r="A394" s="8" t="inlineStr">
        <is>
          <t>高中</t>
        </is>
      </c>
      <c r="B394" s="8" t="inlineStr">
        <is>
          <t>全華</t>
        </is>
      </c>
      <c r="C394" s="8" t="inlineStr">
        <is>
          <t>化學</t>
        </is>
      </c>
      <c r="D394" s="8" t="n"/>
      <c r="E394" s="8" t="inlineStr">
        <is>
          <t>基礎化學（二）</t>
        </is>
      </c>
      <c r="F394" s="8">
        <f>COUNTIFS(高中!$A:$A,$B394,高中!$E:$E,$C394,高中!$F:$F,"&lt;&gt;",高中!$C:$C,"",高中!$D:$D,$E394)</f>
        <v/>
      </c>
      <c r="G394" s="8">
        <f>IF(F394&gt;0,"已查到","未查到")</f>
        <v/>
      </c>
    </row>
    <row r="395">
      <c r="A395" s="8" t="inlineStr">
        <is>
          <t>高中</t>
        </is>
      </c>
      <c r="B395" s="8" t="inlineStr">
        <is>
          <t>全華</t>
        </is>
      </c>
      <c r="C395" s="8" t="inlineStr">
        <is>
          <t>化學</t>
        </is>
      </c>
      <c r="D395" s="8" t="n"/>
      <c r="E395" s="8" t="inlineStr">
        <is>
          <t>選修化學I</t>
        </is>
      </c>
      <c r="F395" s="8">
        <f>COUNTIFS(高中!$A:$A,$B395,高中!$E:$E,$C395,高中!$F:$F,"&lt;&gt;",高中!$C:$C,"",高中!$D:$D,$E395)</f>
        <v/>
      </c>
      <c r="G395" s="8">
        <f>IF(F395&gt;0,"已查到","未查到")</f>
        <v/>
      </c>
    </row>
    <row r="396">
      <c r="A396" s="8" t="inlineStr">
        <is>
          <t>高中</t>
        </is>
      </c>
      <c r="B396" s="8" t="inlineStr">
        <is>
          <t>全華</t>
        </is>
      </c>
      <c r="C396" s="8" t="inlineStr">
        <is>
          <t>化學</t>
        </is>
      </c>
      <c r="D396" s="8" t="n"/>
      <c r="E396" s="8" t="inlineStr">
        <is>
          <t>選修化學II</t>
        </is>
      </c>
      <c r="F396" s="8">
        <f>COUNTIFS(高中!$A:$A,$B396,高中!$E:$E,$C396,高中!$F:$F,"&lt;&gt;",高中!$C:$C,"",高中!$D:$D,$E396)</f>
        <v/>
      </c>
      <c r="G396" s="8">
        <f>IF(F396&gt;0,"已查到","未查到")</f>
        <v/>
      </c>
    </row>
    <row r="397">
      <c r="A397" s="8" t="inlineStr">
        <is>
          <t>高中</t>
        </is>
      </c>
      <c r="B397" s="8" t="inlineStr">
        <is>
          <t>全華</t>
        </is>
      </c>
      <c r="C397" s="8" t="inlineStr">
        <is>
          <t>化學</t>
        </is>
      </c>
      <c r="D397" s="8" t="n"/>
      <c r="E397" s="8" t="inlineStr">
        <is>
          <t>選修化學III</t>
        </is>
      </c>
      <c r="F397" s="8">
        <f>COUNTIFS(高中!$A:$A,$B397,高中!$E:$E,$C397,高中!$F:$F,"&lt;&gt;",高中!$C:$C,"",高中!$D:$D,$E397)</f>
        <v/>
      </c>
      <c r="G397" s="8">
        <f>IF(F397&gt;0,"已查到","未查到")</f>
        <v/>
      </c>
    </row>
    <row r="398">
      <c r="A398" s="8" t="inlineStr">
        <is>
          <t>高中</t>
        </is>
      </c>
      <c r="B398" s="8" t="inlineStr">
        <is>
          <t>全華</t>
        </is>
      </c>
      <c r="C398" s="8" t="inlineStr">
        <is>
          <t>化學</t>
        </is>
      </c>
      <c r="D398" s="8" t="n"/>
      <c r="E398" s="8" t="inlineStr">
        <is>
          <t>選修化學IV</t>
        </is>
      </c>
      <c r="F398" s="8">
        <f>COUNTIFS(高中!$A:$A,$B398,高中!$E:$E,$C398,高中!$F:$F,"&lt;&gt;",高中!$C:$C,"",高中!$D:$D,$E398)</f>
        <v/>
      </c>
      <c r="G398" s="8">
        <f>IF(F398&gt;0,"已查到","未查到")</f>
        <v/>
      </c>
    </row>
    <row r="399">
      <c r="A399" s="8" t="inlineStr">
        <is>
          <t>高中</t>
        </is>
      </c>
      <c r="B399" s="8" t="inlineStr">
        <is>
          <t>全華</t>
        </is>
      </c>
      <c r="C399" s="8" t="inlineStr">
        <is>
          <t>化學</t>
        </is>
      </c>
      <c r="D399" s="8" t="n"/>
      <c r="E399" s="8" t="inlineStr">
        <is>
          <t>選修化學V</t>
        </is>
      </c>
      <c r="F399" s="8">
        <f>COUNTIFS(高中!$A:$A,$B399,高中!$E:$E,$C399,高中!$F:$F,"&lt;&gt;",高中!$C:$C,"",高中!$D:$D,$E399)</f>
        <v/>
      </c>
      <c r="G399" s="8">
        <f>IF(F399&gt;0,"已查到","未查到")</f>
        <v/>
      </c>
    </row>
    <row r="400">
      <c r="A400" s="8" t="inlineStr">
        <is>
          <t>高中</t>
        </is>
      </c>
      <c r="B400" s="8" t="inlineStr">
        <is>
          <t>全華</t>
        </is>
      </c>
      <c r="C400" s="8" t="inlineStr">
        <is>
          <t>地球科學</t>
        </is>
      </c>
      <c r="D400" s="8" t="n"/>
      <c r="E400" s="8" t="inlineStr">
        <is>
          <t>基礎地球科學（一）</t>
        </is>
      </c>
      <c r="F400" s="8">
        <f>COUNTIFS(高中!$A:$A,$B400,高中!$E:$E,$C400,高中!$F:$F,"&lt;&gt;",高中!$C:$C,"",高中!$D:$D,$E400)</f>
        <v/>
      </c>
      <c r="G400" s="8">
        <f>IF(F400&gt;0,"已查到","未查到")</f>
        <v/>
      </c>
    </row>
    <row r="401">
      <c r="A401" s="8" t="inlineStr">
        <is>
          <t>高中</t>
        </is>
      </c>
      <c r="B401" s="8" t="inlineStr">
        <is>
          <t>全華</t>
        </is>
      </c>
      <c r="C401" s="8" t="inlineStr">
        <is>
          <t>地球科學</t>
        </is>
      </c>
      <c r="D401" s="8" t="n"/>
      <c r="E401" s="8" t="inlineStr">
        <is>
          <t>基礎地球科學（二）</t>
        </is>
      </c>
      <c r="F401" s="8">
        <f>COUNTIFS(高中!$A:$A,$B401,高中!$E:$E,$C401,高中!$F:$F,"&lt;&gt;",高中!$C:$C,"",高中!$D:$D,$E401)</f>
        <v/>
      </c>
      <c r="G401" s="8">
        <f>IF(F401&gt;0,"已查到","未查到")</f>
        <v/>
      </c>
    </row>
    <row r="402">
      <c r="A402" s="8" t="inlineStr">
        <is>
          <t>高中</t>
        </is>
      </c>
      <c r="B402" s="8" t="inlineStr">
        <is>
          <t>全華</t>
        </is>
      </c>
      <c r="C402" s="8" t="inlineStr">
        <is>
          <t>地球科學</t>
        </is>
      </c>
      <c r="D402" s="8" t="n"/>
      <c r="E402" s="8" t="inlineStr">
        <is>
          <t>選修地球科學II</t>
        </is>
      </c>
      <c r="F402" s="8">
        <f>COUNTIFS(高中!$A:$A,$B402,高中!$E:$E,$C402,高中!$F:$F,"&lt;&gt;",高中!$C:$C,"",高中!$D:$D,$E402)</f>
        <v/>
      </c>
      <c r="G402" s="8">
        <f>IF(F402&gt;0,"已查到","未查到")</f>
        <v/>
      </c>
    </row>
    <row r="403">
      <c r="A403" s="8" t="inlineStr">
        <is>
          <t>高中</t>
        </is>
      </c>
      <c r="B403" s="8" t="inlineStr">
        <is>
          <t>全華</t>
        </is>
      </c>
      <c r="C403" s="8" t="inlineStr">
        <is>
          <t>地球科學</t>
        </is>
      </c>
      <c r="D403" s="8" t="n"/>
      <c r="E403" s="8" t="inlineStr">
        <is>
          <t>選修地球科學III</t>
        </is>
      </c>
      <c r="F403" s="8">
        <f>COUNTIFS(高中!$A:$A,$B403,高中!$E:$E,$C403,高中!$F:$F,"&lt;&gt;",高中!$C:$C,"",高中!$D:$D,$E403)</f>
        <v/>
      </c>
      <c r="G403" s="8">
        <f>IF(F403&gt;0,"已查到","未查到")</f>
        <v/>
      </c>
    </row>
    <row r="404">
      <c r="A404" s="8" t="inlineStr">
        <is>
          <t>高中</t>
        </is>
      </c>
      <c r="B404" s="8" t="inlineStr">
        <is>
          <t>全華</t>
        </is>
      </c>
      <c r="C404" s="8" t="inlineStr">
        <is>
          <t>地球科學</t>
        </is>
      </c>
      <c r="D404" s="8" t="n"/>
      <c r="E404" s="8" t="inlineStr">
        <is>
          <t>選修地球科學IV</t>
        </is>
      </c>
      <c r="F404" s="8">
        <f>COUNTIFS(高中!$A:$A,$B404,高中!$E:$E,$C404,高中!$F:$F,"&lt;&gt;",高中!$C:$C,"",高中!$D:$D,$E404)</f>
        <v/>
      </c>
      <c r="G404" s="8">
        <f>IF(F404&gt;0,"已查到","未查到")</f>
        <v/>
      </c>
    </row>
    <row r="405">
      <c r="A405" s="8" t="inlineStr">
        <is>
          <t>高中</t>
        </is>
      </c>
      <c r="B405" s="8" t="inlineStr">
        <is>
          <t>全華</t>
        </is>
      </c>
      <c r="C405" s="8" t="inlineStr">
        <is>
          <t>地球科學</t>
        </is>
      </c>
      <c r="D405" s="8" t="n"/>
      <c r="E405" s="8" t="inlineStr">
        <is>
          <t>選修地球科學（來源課程名：地球系統思維，未標冊次）</t>
        </is>
      </c>
      <c r="F405" s="8">
        <f>COUNTIFS(高中!$A:$A,$B405,高中!$E:$E,$C405,高中!$F:$F,"&lt;&gt;",高中!$C:$C,"",高中!$D:$D,$E405)</f>
        <v/>
      </c>
      <c r="G405" s="8">
        <f>IF(F405&gt;0,"已查到","未查到")</f>
        <v/>
      </c>
    </row>
    <row r="406">
      <c r="A406" s="8" t="inlineStr">
        <is>
          <t>高中</t>
        </is>
      </c>
      <c r="B406" s="8" t="inlineStr">
        <is>
          <t>全華</t>
        </is>
      </c>
      <c r="C406" s="8" t="inlineStr">
        <is>
          <t>歷史</t>
        </is>
      </c>
      <c r="D406" s="8" t="inlineStr">
        <is>
          <t>10</t>
        </is>
      </c>
      <c r="E406" s="8" t="inlineStr">
        <is>
          <t>第一冊</t>
        </is>
      </c>
      <c r="F406" s="8">
        <f>COUNTIFS(高中!$A:$A,$B406,高中!$E:$E,$C406,高中!$F:$F,"&lt;&gt;",高中!$C:$C,$D406,高中!$D:$D,$E406)</f>
        <v/>
      </c>
      <c r="G406" s="8">
        <f>IF(F406&gt;0,"已查到","未查到")</f>
        <v/>
      </c>
    </row>
    <row r="407">
      <c r="A407" s="8" t="inlineStr">
        <is>
          <t>高中</t>
        </is>
      </c>
      <c r="B407" s="8" t="inlineStr">
        <is>
          <t>全華</t>
        </is>
      </c>
      <c r="C407" s="8" t="inlineStr">
        <is>
          <t>歷史</t>
        </is>
      </c>
      <c r="D407" s="8" t="inlineStr">
        <is>
          <t>10</t>
        </is>
      </c>
      <c r="E407" s="8" t="inlineStr">
        <is>
          <t>第二冊</t>
        </is>
      </c>
      <c r="F407" s="8">
        <f>COUNTIFS(高中!$A:$A,$B407,高中!$E:$E,$C407,高中!$F:$F,"&lt;&gt;",高中!$C:$C,$D407,高中!$D:$D,$E407)</f>
        <v/>
      </c>
      <c r="G407" s="8">
        <f>IF(F407&gt;0,"已查到","未查到")</f>
        <v/>
      </c>
    </row>
    <row r="408">
      <c r="A408" s="8" t="inlineStr">
        <is>
          <t>高中</t>
        </is>
      </c>
      <c r="B408" s="8" t="inlineStr">
        <is>
          <t>全華</t>
        </is>
      </c>
      <c r="C408" s="8" t="inlineStr">
        <is>
          <t>歷史</t>
        </is>
      </c>
      <c r="D408" s="8" t="inlineStr">
        <is>
          <t>11</t>
        </is>
      </c>
      <c r="E408" s="8" t="inlineStr">
        <is>
          <t>第三冊</t>
        </is>
      </c>
      <c r="F408" s="8">
        <f>COUNTIFS(高中!$A:$A,$B408,高中!$E:$E,$C408,高中!$F:$F,"&lt;&gt;",高中!$C:$C,$D408,高中!$D:$D,$E408)</f>
        <v/>
      </c>
      <c r="G408" s="8">
        <f>IF(F408&gt;0,"已查到","未查到")</f>
        <v/>
      </c>
    </row>
    <row r="409">
      <c r="A409" s="8" t="inlineStr">
        <is>
          <t>高中</t>
        </is>
      </c>
      <c r="B409" s="8" t="inlineStr">
        <is>
          <t>全華</t>
        </is>
      </c>
      <c r="C409" s="8" t="inlineStr">
        <is>
          <t>歷史</t>
        </is>
      </c>
      <c r="D409" s="8" t="n"/>
      <c r="E409" s="8" t="inlineStr">
        <is>
          <t>加深加廣選修 探究與實作：歷史學探究</t>
        </is>
      </c>
      <c r="F409" s="8">
        <f>COUNTIFS(高中!$A:$A,$B409,高中!$E:$E,$C409,高中!$F:$F,"&lt;&gt;",高中!$C:$C,"",高中!$D:$D,$E409)</f>
        <v/>
      </c>
      <c r="G409" s="8">
        <f>IF(F409&gt;0,"已查到","未查到")</f>
        <v/>
      </c>
    </row>
    <row r="410">
      <c r="A410" s="8" t="inlineStr">
        <is>
          <t>高中</t>
        </is>
      </c>
      <c r="B410" s="8" t="inlineStr">
        <is>
          <t>全華</t>
        </is>
      </c>
      <c r="C410" s="8" t="inlineStr">
        <is>
          <t>歷史</t>
        </is>
      </c>
      <c r="D410" s="8" t="n"/>
      <c r="E410" s="8" t="inlineStr">
        <is>
          <t>加深加廣選修 族群、性別與國家的歷史</t>
        </is>
      </c>
      <c r="F410" s="8">
        <f>COUNTIFS(高中!$A:$A,$B410,高中!$E:$E,$C410,高中!$F:$F,"&lt;&gt;",高中!$C:$C,"",高中!$D:$D,$E410)</f>
        <v/>
      </c>
      <c r="G410" s="8">
        <f>IF(F410&gt;0,"已查到","未查到")</f>
        <v/>
      </c>
    </row>
    <row r="411">
      <c r="A411" s="8" t="inlineStr">
        <is>
          <t>高中</t>
        </is>
      </c>
      <c r="B411" s="8" t="inlineStr">
        <is>
          <t>全華</t>
        </is>
      </c>
      <c r="C411" s="8" t="inlineStr">
        <is>
          <t>歷史</t>
        </is>
      </c>
      <c r="D411" s="8" t="n"/>
      <c r="E411" s="8" t="inlineStr">
        <is>
          <t>加深加廣選修 科技、環境與藝術的歷史</t>
        </is>
      </c>
      <c r="F411" s="8">
        <f>COUNTIFS(高中!$A:$A,$B411,高中!$E:$E,$C411,高中!$F:$F,"&lt;&gt;",高中!$C:$C,"",高中!$D:$D,$E411)</f>
        <v/>
      </c>
      <c r="G411" s="8">
        <f>IF(F411&gt;0,"已查到","未查到")</f>
        <v/>
      </c>
    </row>
    <row r="412">
      <c r="A412" s="8" t="inlineStr">
        <is>
          <t>高中</t>
        </is>
      </c>
      <c r="B412" s="8" t="inlineStr">
        <is>
          <t>全華</t>
        </is>
      </c>
      <c r="C412" s="8" t="inlineStr">
        <is>
          <t>地理</t>
        </is>
      </c>
      <c r="D412" s="8" t="inlineStr">
        <is>
          <t>10</t>
        </is>
      </c>
      <c r="E412" s="8" t="inlineStr">
        <is>
          <t>第一冊</t>
        </is>
      </c>
      <c r="F412" s="8">
        <f>COUNTIFS(高中!$A:$A,$B412,高中!$E:$E,$C412,高中!$F:$F,"&lt;&gt;",高中!$C:$C,$D412,高中!$D:$D,$E412)</f>
        <v/>
      </c>
      <c r="G412" s="8">
        <f>IF(F412&gt;0,"已查到","未查到")</f>
        <v/>
      </c>
    </row>
    <row r="413">
      <c r="A413" s="8" t="inlineStr">
        <is>
          <t>高中</t>
        </is>
      </c>
      <c r="B413" s="8" t="inlineStr">
        <is>
          <t>全華</t>
        </is>
      </c>
      <c r="C413" s="8" t="inlineStr">
        <is>
          <t>地理</t>
        </is>
      </c>
      <c r="D413" s="8" t="inlineStr">
        <is>
          <t>10</t>
        </is>
      </c>
      <c r="E413" s="8" t="inlineStr">
        <is>
          <t>第二冊</t>
        </is>
      </c>
      <c r="F413" s="8">
        <f>COUNTIFS(高中!$A:$A,$B413,高中!$E:$E,$C413,高中!$F:$F,"&lt;&gt;",高中!$C:$C,$D413,高中!$D:$D,$E413)</f>
        <v/>
      </c>
      <c r="G413" s="8">
        <f>IF(F413&gt;0,"已查到","未查到")</f>
        <v/>
      </c>
    </row>
    <row r="414">
      <c r="A414" s="8" t="inlineStr">
        <is>
          <t>高中</t>
        </is>
      </c>
      <c r="B414" s="8" t="inlineStr">
        <is>
          <t>全華</t>
        </is>
      </c>
      <c r="C414" s="8" t="inlineStr">
        <is>
          <t>地理</t>
        </is>
      </c>
      <c r="D414" s="8" t="inlineStr">
        <is>
          <t>11</t>
        </is>
      </c>
      <c r="E414" s="8" t="inlineStr">
        <is>
          <t>第三冊</t>
        </is>
      </c>
      <c r="F414" s="8">
        <f>COUNTIFS(高中!$A:$A,$B414,高中!$E:$E,$C414,高中!$F:$F,"&lt;&gt;",高中!$C:$C,$D414,高中!$D:$D,$E414)</f>
        <v/>
      </c>
      <c r="G414" s="8">
        <f>IF(F414&gt;0,"已查到","未查到")</f>
        <v/>
      </c>
    </row>
    <row r="415">
      <c r="A415" s="8" t="inlineStr">
        <is>
          <t>高中</t>
        </is>
      </c>
      <c r="B415" s="8" t="inlineStr">
        <is>
          <t>全華</t>
        </is>
      </c>
      <c r="C415" s="8" t="inlineStr">
        <is>
          <t>地理</t>
        </is>
      </c>
      <c r="D415" s="8" t="n"/>
      <c r="E415" s="8" t="inlineStr">
        <is>
          <t>加深加廣選修 探究與實作：地理與人文社會科學研究</t>
        </is>
      </c>
      <c r="F415" s="8">
        <f>COUNTIFS(高中!$A:$A,$B415,高中!$E:$E,$C415,高中!$F:$F,"&lt;&gt;",高中!$C:$C,"",高中!$D:$D,$E415)</f>
        <v/>
      </c>
      <c r="G415" s="8">
        <f>IF(F415&gt;0,"已查到","未查到")</f>
        <v/>
      </c>
    </row>
    <row r="416">
      <c r="A416" s="8" t="inlineStr">
        <is>
          <t>高中</t>
        </is>
      </c>
      <c r="B416" s="8" t="inlineStr">
        <is>
          <t>全華</t>
        </is>
      </c>
      <c r="C416" s="8" t="inlineStr">
        <is>
          <t>地理</t>
        </is>
      </c>
      <c r="D416" s="8" t="n"/>
      <c r="E416" s="8" t="inlineStr">
        <is>
          <t>加深加廣選修 社會環境議題</t>
        </is>
      </c>
      <c r="F416" s="8">
        <f>COUNTIFS(高中!$A:$A,$B416,高中!$E:$E,$C416,高中!$F:$F,"&lt;&gt;",高中!$C:$C,"",高中!$D:$D,$E416)</f>
        <v/>
      </c>
      <c r="G416" s="8">
        <f>IF(F416&gt;0,"已查到","未查到")</f>
        <v/>
      </c>
    </row>
    <row r="417">
      <c r="A417" s="8" t="inlineStr">
        <is>
          <t>高中</t>
        </is>
      </c>
      <c r="B417" s="8" t="inlineStr">
        <is>
          <t>全華</t>
        </is>
      </c>
      <c r="C417" s="8" t="inlineStr">
        <is>
          <t>地理</t>
        </is>
      </c>
      <c r="D417" s="8" t="n"/>
      <c r="E417" s="8" t="inlineStr">
        <is>
          <t>加深加廣選修 空間資訊科技</t>
        </is>
      </c>
      <c r="F417" s="8">
        <f>COUNTIFS(高中!$A:$A,$B417,高中!$E:$E,$C417,高中!$F:$F,"&lt;&gt;",高中!$C:$C,"",高中!$D:$D,$E417)</f>
        <v/>
      </c>
      <c r="G417" s="8">
        <f>IF(F417&gt;0,"已查到","未查到")</f>
        <v/>
      </c>
    </row>
    <row r="418">
      <c r="A418" s="8" t="inlineStr">
        <is>
          <t>高中</t>
        </is>
      </c>
      <c r="B418" s="8" t="inlineStr">
        <is>
          <t>全華</t>
        </is>
      </c>
      <c r="C418" s="8" t="inlineStr">
        <is>
          <t>公民與社會</t>
        </is>
      </c>
      <c r="D418" s="8" t="inlineStr">
        <is>
          <t>10</t>
        </is>
      </c>
      <c r="E418" s="8" t="inlineStr">
        <is>
          <t>第一冊</t>
        </is>
      </c>
      <c r="F418" s="8">
        <f>COUNTIFS(高中!$A:$A,$B418,高中!$E:$E,$C418,高中!$F:$F,"&lt;&gt;",高中!$C:$C,$D418,高中!$D:$D,$E418)</f>
        <v/>
      </c>
      <c r="G418" s="8">
        <f>IF(F418&gt;0,"已查到","未查到")</f>
        <v/>
      </c>
    </row>
    <row r="419">
      <c r="A419" s="8" t="inlineStr">
        <is>
          <t>高中</t>
        </is>
      </c>
      <c r="B419" s="8" t="inlineStr">
        <is>
          <t>全華</t>
        </is>
      </c>
      <c r="C419" s="8" t="inlineStr">
        <is>
          <t>公民與社會</t>
        </is>
      </c>
      <c r="D419" s="8" t="inlineStr">
        <is>
          <t>10</t>
        </is>
      </c>
      <c r="E419" s="8" t="inlineStr">
        <is>
          <t>第二冊</t>
        </is>
      </c>
      <c r="F419" s="8">
        <f>COUNTIFS(高中!$A:$A,$B419,高中!$E:$E,$C419,高中!$F:$F,"&lt;&gt;",高中!$C:$C,$D419,高中!$D:$D,$E419)</f>
        <v/>
      </c>
      <c r="G419" s="8">
        <f>IF(F419&gt;0,"已查到","未查到")</f>
        <v/>
      </c>
    </row>
    <row r="420">
      <c r="A420" s="8" t="inlineStr">
        <is>
          <t>高中</t>
        </is>
      </c>
      <c r="B420" s="8" t="inlineStr">
        <is>
          <t>全華</t>
        </is>
      </c>
      <c r="C420" s="8" t="inlineStr">
        <is>
          <t>公民與社會</t>
        </is>
      </c>
      <c r="D420" s="8" t="inlineStr">
        <is>
          <t>11</t>
        </is>
      </c>
      <c r="E420" s="8" t="inlineStr">
        <is>
          <t>第三冊</t>
        </is>
      </c>
      <c r="F420" s="8">
        <f>COUNTIFS(高中!$A:$A,$B420,高中!$E:$E,$C420,高中!$F:$F,"&lt;&gt;",高中!$C:$C,$D420,高中!$D:$D,$E420)</f>
        <v/>
      </c>
      <c r="G420" s="8">
        <f>IF(F420&gt;0,"已查到","未查到")</f>
        <v/>
      </c>
    </row>
    <row r="421">
      <c r="A421" s="8" t="inlineStr">
        <is>
          <t>高中</t>
        </is>
      </c>
      <c r="B421" s="8" t="inlineStr">
        <is>
          <t>全華</t>
        </is>
      </c>
      <c r="C421" s="8" t="inlineStr">
        <is>
          <t>公民與社會</t>
        </is>
      </c>
      <c r="D421" s="8" t="n"/>
      <c r="E421" s="8" t="inlineStr">
        <is>
          <t>加深加廣選修 探究與實作：公共議題與社會探究</t>
        </is>
      </c>
      <c r="F421" s="8">
        <f>COUNTIFS(高中!$A:$A,$B421,高中!$E:$E,$C421,高中!$F:$F,"&lt;&gt;",高中!$C:$C,"",高中!$D:$D,$E421)</f>
        <v/>
      </c>
      <c r="G421" s="8">
        <f>IF(F421&gt;0,"已查到","未查到")</f>
        <v/>
      </c>
    </row>
    <row r="422">
      <c r="A422" s="8" t="inlineStr">
        <is>
          <t>高中</t>
        </is>
      </c>
      <c r="B422" s="8" t="inlineStr">
        <is>
          <t>全華</t>
        </is>
      </c>
      <c r="C422" s="8" t="inlineStr">
        <is>
          <t>公民與社會</t>
        </is>
      </c>
      <c r="D422" s="8" t="n"/>
      <c r="E422" s="8" t="inlineStr">
        <is>
          <t>加深加廣選修 民主政治與法律</t>
        </is>
      </c>
      <c r="F422" s="8">
        <f>COUNTIFS(高中!$A:$A,$B422,高中!$E:$E,$C422,高中!$F:$F,"&lt;&gt;",高中!$C:$C,"",高中!$D:$D,$E422)</f>
        <v/>
      </c>
      <c r="G422" s="8">
        <f>IF(F422&gt;0,"已查到","未查到")</f>
        <v/>
      </c>
    </row>
    <row r="423">
      <c r="A423" s="8" t="inlineStr">
        <is>
          <t>高中</t>
        </is>
      </c>
      <c r="B423" s="8" t="inlineStr">
        <is>
          <t>全華</t>
        </is>
      </c>
      <c r="C423" s="8" t="inlineStr">
        <is>
          <t>公民與社會</t>
        </is>
      </c>
      <c r="D423" s="8" t="n"/>
      <c r="E423" s="8" t="inlineStr">
        <is>
          <t>加深加廣選修 現代社會與經濟</t>
        </is>
      </c>
      <c r="F423" s="8">
        <f>COUNTIFS(高中!$A:$A,$B423,高中!$E:$E,$C423,高中!$F:$F,"&lt;&gt;",高中!$C:$C,"",高中!$D:$D,$E423)</f>
        <v/>
      </c>
      <c r="G423" s="8">
        <f>IF(F423&gt;0,"已查到","未查到")</f>
        <v/>
      </c>
    </row>
    <row r="424">
      <c r="A424" s="8" t="inlineStr">
        <is>
          <t>高中</t>
        </is>
      </c>
      <c r="B424" s="8" t="inlineStr">
        <is>
          <t>泰宇</t>
        </is>
      </c>
      <c r="C424" s="8" t="inlineStr">
        <is>
          <t>國文</t>
        </is>
      </c>
      <c r="D424" s="8" t="inlineStr">
        <is>
          <t>10</t>
        </is>
      </c>
      <c r="E424" s="8" t="inlineStr">
        <is>
          <t>第一冊</t>
        </is>
      </c>
      <c r="F424" s="8">
        <f>COUNTIFS(高中!$A:$A,$B424,高中!$E:$E,$C424,高中!$F:$F,"&lt;&gt;",高中!$C:$C,$D424,高中!$D:$D,$E424)</f>
        <v/>
      </c>
      <c r="G424" s="8">
        <f>IF(F424&gt;0,"已查到","未查到")</f>
        <v/>
      </c>
    </row>
    <row r="425">
      <c r="A425" s="8" t="inlineStr">
        <is>
          <t>高中</t>
        </is>
      </c>
      <c r="B425" s="8" t="inlineStr">
        <is>
          <t>泰宇</t>
        </is>
      </c>
      <c r="C425" s="8" t="inlineStr">
        <is>
          <t>國文</t>
        </is>
      </c>
      <c r="D425" s="8" t="inlineStr">
        <is>
          <t>10</t>
        </is>
      </c>
      <c r="E425" s="8" t="inlineStr">
        <is>
          <t>第二冊</t>
        </is>
      </c>
      <c r="F425" s="8">
        <f>COUNTIFS(高中!$A:$A,$B425,高中!$E:$E,$C425,高中!$F:$F,"&lt;&gt;",高中!$C:$C,$D425,高中!$D:$D,$E425)</f>
        <v/>
      </c>
      <c r="G425" s="8">
        <f>IF(F425&gt;0,"已查到","未查到")</f>
        <v/>
      </c>
    </row>
    <row r="426">
      <c r="A426" s="8" t="inlineStr">
        <is>
          <t>高中</t>
        </is>
      </c>
      <c r="B426" s="8" t="inlineStr">
        <is>
          <t>泰宇</t>
        </is>
      </c>
      <c r="C426" s="8" t="inlineStr">
        <is>
          <t>國文</t>
        </is>
      </c>
      <c r="D426" s="8" t="inlineStr">
        <is>
          <t>11</t>
        </is>
      </c>
      <c r="E426" s="8" t="inlineStr">
        <is>
          <t>第三冊</t>
        </is>
      </c>
      <c r="F426" s="8">
        <f>COUNTIFS(高中!$A:$A,$B426,高中!$E:$E,$C426,高中!$F:$F,"&lt;&gt;",高中!$C:$C,$D426,高中!$D:$D,$E426)</f>
        <v/>
      </c>
      <c r="G426" s="8">
        <f>IF(F426&gt;0,"已查到","未查到")</f>
        <v/>
      </c>
    </row>
    <row r="427">
      <c r="A427" s="8" t="inlineStr">
        <is>
          <t>高中</t>
        </is>
      </c>
      <c r="B427" s="8" t="inlineStr">
        <is>
          <t>泰宇</t>
        </is>
      </c>
      <c r="C427" s="8" t="inlineStr">
        <is>
          <t>國文</t>
        </is>
      </c>
      <c r="D427" s="8" t="inlineStr">
        <is>
          <t>11</t>
        </is>
      </c>
      <c r="E427" s="8" t="inlineStr">
        <is>
          <t>第四冊</t>
        </is>
      </c>
      <c r="F427" s="8">
        <f>COUNTIFS(高中!$A:$A,$B427,高中!$E:$E,$C427,高中!$F:$F,"&lt;&gt;",高中!$C:$C,$D427,高中!$D:$D,$E427)</f>
        <v/>
      </c>
      <c r="G427" s="8">
        <f>IF(F427&gt;0,"已查到","未查到")</f>
        <v/>
      </c>
    </row>
    <row r="428">
      <c r="A428" s="8" t="inlineStr">
        <is>
          <t>高中</t>
        </is>
      </c>
      <c r="B428" s="8" t="inlineStr">
        <is>
          <t>泰宇</t>
        </is>
      </c>
      <c r="C428" s="8" t="inlineStr">
        <is>
          <t>國文</t>
        </is>
      </c>
      <c r="D428" s="8" t="inlineStr">
        <is>
          <t>12</t>
        </is>
      </c>
      <c r="E428" s="8" t="inlineStr">
        <is>
          <t>第五冊</t>
        </is>
      </c>
      <c r="F428" s="8">
        <f>COUNTIFS(高中!$A:$A,$B428,高中!$E:$E,$C428,高中!$F:$F,"&lt;&gt;",高中!$C:$C,$D428,高中!$D:$D,$E428)</f>
        <v/>
      </c>
      <c r="G428" s="8">
        <f>IF(F428&gt;0,"已查到","未查到")</f>
        <v/>
      </c>
    </row>
    <row r="429">
      <c r="A429" s="8" t="inlineStr">
        <is>
          <t>高中</t>
        </is>
      </c>
      <c r="B429" s="8" t="inlineStr">
        <is>
          <t>泰宇</t>
        </is>
      </c>
      <c r="C429" s="8" t="inlineStr">
        <is>
          <t>國文</t>
        </is>
      </c>
      <c r="D429" s="8" t="inlineStr">
        <is>
          <t>12</t>
        </is>
      </c>
      <c r="E429" s="8" t="inlineStr">
        <is>
          <t>第六冊</t>
        </is>
      </c>
      <c r="F429" s="8">
        <f>COUNTIFS(高中!$A:$A,$B429,高中!$E:$E,$C429,高中!$F:$F,"&lt;&gt;",高中!$C:$C,$D429,高中!$D:$D,$E429)</f>
        <v/>
      </c>
      <c r="G429" s="8">
        <f>IF(F429&gt;0,"已查到","未查到")</f>
        <v/>
      </c>
    </row>
    <row r="430">
      <c r="A430" s="8" t="inlineStr">
        <is>
          <t>高中</t>
        </is>
      </c>
      <c r="B430" s="8" t="inlineStr">
        <is>
          <t>泰宇</t>
        </is>
      </c>
      <c r="C430" s="8" t="inlineStr">
        <is>
          <t>國文</t>
        </is>
      </c>
      <c r="D430" s="8" t="n"/>
      <c r="E430" s="8" t="inlineStr">
        <is>
          <t>加深加廣選修：各類文學選讀</t>
        </is>
      </c>
      <c r="F430" s="8">
        <f>COUNTIFS(高中!$A:$A,$B430,高中!$E:$E,$C430,高中!$F:$F,"&lt;&gt;",高中!$C:$C,"",高中!$D:$D,$E430)</f>
        <v/>
      </c>
      <c r="G430" s="8">
        <f>IF(F430&gt;0,"已查到","未查到")</f>
        <v/>
      </c>
    </row>
    <row r="431">
      <c r="A431" s="8" t="inlineStr">
        <is>
          <t>高中</t>
        </is>
      </c>
      <c r="B431" s="8" t="inlineStr">
        <is>
          <t>泰宇</t>
        </is>
      </c>
      <c r="C431" s="8" t="inlineStr">
        <is>
          <t>國文</t>
        </is>
      </c>
      <c r="D431" s="8" t="n"/>
      <c r="E431" s="8" t="inlineStr">
        <is>
          <t>加深加廣選修：國學常識</t>
        </is>
      </c>
      <c r="F431" s="8">
        <f>COUNTIFS(高中!$A:$A,$B431,高中!$E:$E,$C431,高中!$F:$F,"&lt;&gt;",高中!$C:$C,"",高中!$D:$D,$E431)</f>
        <v/>
      </c>
      <c r="G431" s="8">
        <f>IF(F431&gt;0,"已查到","未查到")</f>
        <v/>
      </c>
    </row>
    <row r="432">
      <c r="A432" s="8" t="inlineStr">
        <is>
          <t>高中</t>
        </is>
      </c>
      <c r="B432" s="8" t="inlineStr">
        <is>
          <t>泰宇</t>
        </is>
      </c>
      <c r="C432" s="8" t="inlineStr">
        <is>
          <t>國文</t>
        </is>
      </c>
      <c r="D432" s="8" t="n"/>
      <c r="E432" s="8" t="inlineStr">
        <is>
          <t>加深加廣選修：專題閱讀與研究</t>
        </is>
      </c>
      <c r="F432" s="8">
        <f>COUNTIFS(高中!$A:$A,$B432,高中!$E:$E,$C432,高中!$F:$F,"&lt;&gt;",高中!$C:$C,"",高中!$D:$D,$E432)</f>
        <v/>
      </c>
      <c r="G432" s="8">
        <f>IF(F432&gt;0,"已查到","未查到")</f>
        <v/>
      </c>
    </row>
    <row r="433">
      <c r="A433" s="8" t="inlineStr">
        <is>
          <t>高中</t>
        </is>
      </c>
      <c r="B433" s="8" t="inlineStr">
        <is>
          <t>泰宇</t>
        </is>
      </c>
      <c r="C433" s="8" t="inlineStr">
        <is>
          <t>國文</t>
        </is>
      </c>
      <c r="D433" s="8" t="n"/>
      <c r="E433" s="8" t="inlineStr">
        <is>
          <t>加深加廣選修：語文表達及傳播應用</t>
        </is>
      </c>
      <c r="F433" s="8">
        <f>COUNTIFS(高中!$A:$A,$B433,高中!$E:$E,$C433,高中!$F:$F,"&lt;&gt;",高中!$C:$C,"",高中!$D:$D,$E433)</f>
        <v/>
      </c>
      <c r="G433" s="8">
        <f>IF(F433&gt;0,"已查到","未查到")</f>
        <v/>
      </c>
    </row>
    <row r="434">
      <c r="A434" s="8" t="inlineStr">
        <is>
          <t>高中</t>
        </is>
      </c>
      <c r="B434" s="8" t="inlineStr">
        <is>
          <t>泰宇</t>
        </is>
      </c>
      <c r="C434" s="8" t="inlineStr">
        <is>
          <t>英文</t>
        </is>
      </c>
      <c r="D434" s="8" t="inlineStr">
        <is>
          <t>10</t>
        </is>
      </c>
      <c r="E434" s="8" t="inlineStr">
        <is>
          <t>第一冊</t>
        </is>
      </c>
      <c r="F434" s="8">
        <f>COUNTIFS(高中!$A:$A,$B434,高中!$E:$E,$C434,高中!$F:$F,"&lt;&gt;",高中!$C:$C,$D434,高中!$D:$D,$E434)</f>
        <v/>
      </c>
      <c r="G434" s="8">
        <f>IF(F434&gt;0,"已查到","未查到")</f>
        <v/>
      </c>
    </row>
    <row r="435">
      <c r="A435" s="8" t="inlineStr">
        <is>
          <t>高中</t>
        </is>
      </c>
      <c r="B435" s="8" t="inlineStr">
        <is>
          <t>泰宇</t>
        </is>
      </c>
      <c r="C435" s="8" t="inlineStr">
        <is>
          <t>英文</t>
        </is>
      </c>
      <c r="D435" s="8" t="inlineStr">
        <is>
          <t>10</t>
        </is>
      </c>
      <c r="E435" s="8" t="inlineStr">
        <is>
          <t>第二冊</t>
        </is>
      </c>
      <c r="F435" s="8">
        <f>COUNTIFS(高中!$A:$A,$B435,高中!$E:$E,$C435,高中!$F:$F,"&lt;&gt;",高中!$C:$C,$D435,高中!$D:$D,$E435)</f>
        <v/>
      </c>
      <c r="G435" s="8">
        <f>IF(F435&gt;0,"已查到","未查到")</f>
        <v/>
      </c>
    </row>
    <row r="436">
      <c r="A436" s="8" t="inlineStr">
        <is>
          <t>高中</t>
        </is>
      </c>
      <c r="B436" s="8" t="inlineStr">
        <is>
          <t>泰宇</t>
        </is>
      </c>
      <c r="C436" s="8" t="inlineStr">
        <is>
          <t>英文</t>
        </is>
      </c>
      <c r="D436" s="8" t="inlineStr">
        <is>
          <t>11</t>
        </is>
      </c>
      <c r="E436" s="8" t="inlineStr">
        <is>
          <t>第三冊</t>
        </is>
      </c>
      <c r="F436" s="8">
        <f>COUNTIFS(高中!$A:$A,$B436,高中!$E:$E,$C436,高中!$F:$F,"&lt;&gt;",高中!$C:$C,$D436,高中!$D:$D,$E436)</f>
        <v/>
      </c>
      <c r="G436" s="8">
        <f>IF(F436&gt;0,"已查到","未查到")</f>
        <v/>
      </c>
    </row>
    <row r="437">
      <c r="A437" s="8" t="inlineStr">
        <is>
          <t>高中</t>
        </is>
      </c>
      <c r="B437" s="8" t="inlineStr">
        <is>
          <t>泰宇</t>
        </is>
      </c>
      <c r="C437" s="8" t="inlineStr">
        <is>
          <t>英文</t>
        </is>
      </c>
      <c r="D437" s="8" t="inlineStr">
        <is>
          <t>11</t>
        </is>
      </c>
      <c r="E437" s="8" t="inlineStr">
        <is>
          <t>第四冊</t>
        </is>
      </c>
      <c r="F437" s="8">
        <f>COUNTIFS(高中!$A:$A,$B437,高中!$E:$E,$C437,高中!$F:$F,"&lt;&gt;",高中!$C:$C,$D437,高中!$D:$D,$E437)</f>
        <v/>
      </c>
      <c r="G437" s="8">
        <f>IF(F437&gt;0,"已查到","未查到")</f>
        <v/>
      </c>
    </row>
    <row r="438">
      <c r="A438" s="8" t="inlineStr">
        <is>
          <t>高中</t>
        </is>
      </c>
      <c r="B438" s="8" t="inlineStr">
        <is>
          <t>泰宇</t>
        </is>
      </c>
      <c r="C438" s="8" t="inlineStr">
        <is>
          <t>英文</t>
        </is>
      </c>
      <c r="D438" s="8" t="inlineStr">
        <is>
          <t>12</t>
        </is>
      </c>
      <c r="E438" s="8" t="inlineStr">
        <is>
          <t>第五冊</t>
        </is>
      </c>
      <c r="F438" s="8">
        <f>COUNTIFS(高中!$A:$A,$B438,高中!$E:$E,$C438,高中!$F:$F,"&lt;&gt;",高中!$C:$C,$D438,高中!$D:$D,$E438)</f>
        <v/>
      </c>
      <c r="G438" s="8">
        <f>IF(F438&gt;0,"已查到","未查到")</f>
        <v/>
      </c>
    </row>
    <row r="439">
      <c r="A439" s="8" t="inlineStr">
        <is>
          <t>高中</t>
        </is>
      </c>
      <c r="B439" s="8" t="inlineStr">
        <is>
          <t>泰宇</t>
        </is>
      </c>
      <c r="C439" s="8" t="inlineStr">
        <is>
          <t>英文</t>
        </is>
      </c>
      <c r="D439" s="8" t="inlineStr">
        <is>
          <t>12</t>
        </is>
      </c>
      <c r="E439" s="8" t="inlineStr">
        <is>
          <t>第六冊</t>
        </is>
      </c>
      <c r="F439" s="8">
        <f>COUNTIFS(高中!$A:$A,$B439,高中!$E:$E,$C439,高中!$F:$F,"&lt;&gt;",高中!$C:$C,$D439,高中!$D:$D,$E439)</f>
        <v/>
      </c>
      <c r="G439" s="8">
        <f>IF(F439&gt;0,"已查到","未查到")</f>
        <v/>
      </c>
    </row>
    <row r="440">
      <c r="A440" s="8" t="inlineStr">
        <is>
          <t>高中</t>
        </is>
      </c>
      <c r="B440" s="8" t="inlineStr">
        <is>
          <t>泰宇</t>
        </is>
      </c>
      <c r="C440" s="8" t="inlineStr">
        <is>
          <t>英文</t>
        </is>
      </c>
      <c r="D440" s="8" t="n"/>
      <c r="E440" s="8" t="inlineStr">
        <is>
          <t>加深加廣選修：英文閱讀與寫作</t>
        </is>
      </c>
      <c r="F440" s="8">
        <f>COUNTIFS(高中!$A:$A,$B440,高中!$E:$E,$C440,高中!$F:$F,"&lt;&gt;",高中!$C:$C,"",高中!$D:$D,$E440)</f>
        <v/>
      </c>
      <c r="G440" s="8">
        <f>IF(F440&gt;0,"已查到","未查到")</f>
        <v/>
      </c>
    </row>
    <row r="441">
      <c r="A441" s="8" t="inlineStr">
        <is>
          <t>高中</t>
        </is>
      </c>
      <c r="B441" s="8" t="inlineStr">
        <is>
          <t>泰宇</t>
        </is>
      </c>
      <c r="C441" s="8" t="inlineStr">
        <is>
          <t>英文</t>
        </is>
      </c>
      <c r="D441" s="8" t="n"/>
      <c r="E441" s="8" t="inlineStr">
        <is>
          <t>加深加廣選修：英語聽講</t>
        </is>
      </c>
      <c r="F441" s="8">
        <f>COUNTIFS(高中!$A:$A,$B441,高中!$E:$E,$C441,高中!$F:$F,"&lt;&gt;",高中!$C:$C,"",高中!$D:$D,$E441)</f>
        <v/>
      </c>
      <c r="G441" s="8">
        <f>IF(F441&gt;0,"已查到","未查到")</f>
        <v/>
      </c>
    </row>
    <row r="442">
      <c r="A442" s="8" t="inlineStr">
        <is>
          <t>高中</t>
        </is>
      </c>
      <c r="B442" s="8" t="inlineStr">
        <is>
          <t>泰宇</t>
        </is>
      </c>
      <c r="C442" s="8" t="inlineStr">
        <is>
          <t>數學</t>
        </is>
      </c>
      <c r="D442" s="8" t="inlineStr">
        <is>
          <t>10</t>
        </is>
      </c>
      <c r="E442" s="8" t="inlineStr">
        <is>
          <t>第一冊</t>
        </is>
      </c>
      <c r="F442" s="8">
        <f>COUNTIFS(高中!$A:$A,$B442,高中!$E:$E,$C442,高中!$F:$F,"&lt;&gt;",高中!$C:$C,$D442,高中!$D:$D,$E442)</f>
        <v/>
      </c>
      <c r="G442" s="8">
        <f>IF(F442&gt;0,"已查到","未查到")</f>
        <v/>
      </c>
    </row>
    <row r="443">
      <c r="A443" s="8" t="inlineStr">
        <is>
          <t>高中</t>
        </is>
      </c>
      <c r="B443" s="8" t="inlineStr">
        <is>
          <t>泰宇</t>
        </is>
      </c>
      <c r="C443" s="8" t="inlineStr">
        <is>
          <t>數學</t>
        </is>
      </c>
      <c r="D443" s="8" t="inlineStr">
        <is>
          <t>10</t>
        </is>
      </c>
      <c r="E443" s="8" t="inlineStr">
        <is>
          <t>第二冊</t>
        </is>
      </c>
      <c r="F443" s="8">
        <f>COUNTIFS(高中!$A:$A,$B443,高中!$E:$E,$C443,高中!$F:$F,"&lt;&gt;",高中!$C:$C,$D443,高中!$D:$D,$E443)</f>
        <v/>
      </c>
      <c r="G443" s="8">
        <f>IF(F443&gt;0,"已查到","未查到")</f>
        <v/>
      </c>
    </row>
    <row r="444">
      <c r="A444" s="8" t="inlineStr">
        <is>
          <t>高中</t>
        </is>
      </c>
      <c r="B444" s="8" t="inlineStr">
        <is>
          <t>泰宇</t>
        </is>
      </c>
      <c r="C444" s="8" t="inlineStr">
        <is>
          <t>數學</t>
        </is>
      </c>
      <c r="D444" s="8" t="inlineStr">
        <is>
          <t>11</t>
        </is>
      </c>
      <c r="E444" s="8" t="inlineStr">
        <is>
          <t>第三冊A</t>
        </is>
      </c>
      <c r="F444" s="8">
        <f>COUNTIFS(高中!$A:$A,$B444,高中!$E:$E,$C444,高中!$F:$F,"&lt;&gt;",高中!$C:$C,$D444,高中!$D:$D,$E444)</f>
        <v/>
      </c>
      <c r="G444" s="8">
        <f>IF(F444&gt;0,"已查到","未查到")</f>
        <v/>
      </c>
    </row>
    <row r="445">
      <c r="A445" s="8" t="inlineStr">
        <is>
          <t>高中</t>
        </is>
      </c>
      <c r="B445" s="8" t="inlineStr">
        <is>
          <t>泰宇</t>
        </is>
      </c>
      <c r="C445" s="8" t="inlineStr">
        <is>
          <t>數學</t>
        </is>
      </c>
      <c r="D445" s="8" t="inlineStr">
        <is>
          <t>11</t>
        </is>
      </c>
      <c r="E445" s="8" t="inlineStr">
        <is>
          <t>第三冊B</t>
        </is>
      </c>
      <c r="F445" s="8">
        <f>COUNTIFS(高中!$A:$A,$B445,高中!$E:$E,$C445,高中!$F:$F,"&lt;&gt;",高中!$C:$C,$D445,高中!$D:$D,$E445)</f>
        <v/>
      </c>
      <c r="G445" s="8">
        <f>IF(F445&gt;0,"已查到","未查到")</f>
        <v/>
      </c>
    </row>
    <row r="446">
      <c r="A446" s="8" t="inlineStr">
        <is>
          <t>高中</t>
        </is>
      </c>
      <c r="B446" s="8" t="inlineStr">
        <is>
          <t>泰宇</t>
        </is>
      </c>
      <c r="C446" s="8" t="inlineStr">
        <is>
          <t>數學</t>
        </is>
      </c>
      <c r="D446" s="8" t="inlineStr">
        <is>
          <t>11</t>
        </is>
      </c>
      <c r="E446" s="8" t="inlineStr">
        <is>
          <t>第四冊A</t>
        </is>
      </c>
      <c r="F446" s="8">
        <f>COUNTIFS(高中!$A:$A,$B446,高中!$E:$E,$C446,高中!$F:$F,"&lt;&gt;",高中!$C:$C,$D446,高中!$D:$D,$E446)</f>
        <v/>
      </c>
      <c r="G446" s="8">
        <f>IF(F446&gt;0,"已查到","未查到")</f>
        <v/>
      </c>
    </row>
    <row r="447">
      <c r="A447" s="8" t="inlineStr">
        <is>
          <t>高中</t>
        </is>
      </c>
      <c r="B447" s="8" t="inlineStr">
        <is>
          <t>泰宇</t>
        </is>
      </c>
      <c r="C447" s="8" t="inlineStr">
        <is>
          <t>數學</t>
        </is>
      </c>
      <c r="D447" s="8" t="inlineStr">
        <is>
          <t>11</t>
        </is>
      </c>
      <c r="E447" s="8" t="inlineStr">
        <is>
          <t>第四冊B</t>
        </is>
      </c>
      <c r="F447" s="8">
        <f>COUNTIFS(高中!$A:$A,$B447,高中!$E:$E,$C447,高中!$F:$F,"&lt;&gt;",高中!$C:$C,$D447,高中!$D:$D,$E447)</f>
        <v/>
      </c>
      <c r="G447" s="8">
        <f>IF(F447&gt;0,"已查到","未查到")</f>
        <v/>
      </c>
    </row>
    <row r="448">
      <c r="A448" s="8" t="inlineStr">
        <is>
          <t>高中</t>
        </is>
      </c>
      <c r="B448" s="8" t="inlineStr">
        <is>
          <t>泰宇</t>
        </is>
      </c>
      <c r="C448" s="8" t="inlineStr">
        <is>
          <t>數學</t>
        </is>
      </c>
      <c r="D448" s="8" t="inlineStr">
        <is>
          <t>12</t>
        </is>
      </c>
      <c r="E448" s="8" t="inlineStr">
        <is>
          <t>數學乙上</t>
        </is>
      </c>
      <c r="F448" s="8">
        <f>COUNTIFS(高中!$A:$A,$B448,高中!$E:$E,$C448,高中!$F:$F,"&lt;&gt;",高中!$C:$C,$D448,高中!$D:$D,$E448)</f>
        <v/>
      </c>
      <c r="G448" s="8">
        <f>IF(F448&gt;0,"已查到","未查到")</f>
        <v/>
      </c>
    </row>
    <row r="449">
      <c r="A449" s="8" t="inlineStr">
        <is>
          <t>高中</t>
        </is>
      </c>
      <c r="B449" s="8" t="inlineStr">
        <is>
          <t>泰宇</t>
        </is>
      </c>
      <c r="C449" s="8" t="inlineStr">
        <is>
          <t>數學</t>
        </is>
      </c>
      <c r="D449" s="8" t="inlineStr">
        <is>
          <t>12</t>
        </is>
      </c>
      <c r="E449" s="8" t="inlineStr">
        <is>
          <t>數學乙下</t>
        </is>
      </c>
      <c r="F449" s="8">
        <f>COUNTIFS(高中!$A:$A,$B449,高中!$E:$E,$C449,高中!$F:$F,"&lt;&gt;",高中!$C:$C,$D449,高中!$D:$D,$E449)</f>
        <v/>
      </c>
      <c r="G449" s="8">
        <f>IF(F449&gt;0,"已查到","未查到")</f>
        <v/>
      </c>
    </row>
    <row r="450">
      <c r="A450" s="8" t="inlineStr">
        <is>
          <t>高中</t>
        </is>
      </c>
      <c r="B450" s="8" t="inlineStr">
        <is>
          <t>泰宇</t>
        </is>
      </c>
      <c r="C450" s="8" t="inlineStr">
        <is>
          <t>數學</t>
        </is>
      </c>
      <c r="D450" s="8" t="inlineStr">
        <is>
          <t>12</t>
        </is>
      </c>
      <c r="E450" s="8" t="inlineStr">
        <is>
          <t>數學甲上</t>
        </is>
      </c>
      <c r="F450" s="8">
        <f>COUNTIFS(高中!$A:$A,$B450,高中!$E:$E,$C450,高中!$F:$F,"&lt;&gt;",高中!$C:$C,$D450,高中!$D:$D,$E450)</f>
        <v/>
      </c>
      <c r="G450" s="8">
        <f>IF(F450&gt;0,"已查到","未查到")</f>
        <v/>
      </c>
    </row>
    <row r="451">
      <c r="A451" s="8" t="inlineStr">
        <is>
          <t>高中</t>
        </is>
      </c>
      <c r="B451" s="8" t="inlineStr">
        <is>
          <t>泰宇</t>
        </is>
      </c>
      <c r="C451" s="8" t="inlineStr">
        <is>
          <t>數學</t>
        </is>
      </c>
      <c r="D451" s="8" t="inlineStr">
        <is>
          <t>12</t>
        </is>
      </c>
      <c r="E451" s="8" t="inlineStr">
        <is>
          <t>數學甲下</t>
        </is>
      </c>
      <c r="F451" s="8">
        <f>COUNTIFS(高中!$A:$A,$B451,高中!$E:$E,$C451,高中!$F:$F,"&lt;&gt;",高中!$C:$C,$D451,高中!$D:$D,$E451)</f>
        <v/>
      </c>
      <c r="G451" s="8">
        <f>IF(F451&gt;0,"已查到","未查到")</f>
        <v/>
      </c>
    </row>
    <row r="452">
      <c r="A452" s="8" t="inlineStr">
        <is>
          <t>高中</t>
        </is>
      </c>
      <c r="B452" s="8" t="inlineStr">
        <is>
          <t>泰宇</t>
        </is>
      </c>
      <c r="C452" s="8" t="inlineStr">
        <is>
          <t>生物</t>
        </is>
      </c>
      <c r="D452" s="8" t="n"/>
      <c r="E452" s="8" t="inlineStr">
        <is>
          <t>基礎生物（一）</t>
        </is>
      </c>
      <c r="F452" s="8">
        <f>COUNTIFS(高中!$A:$A,$B452,高中!$E:$E,$C452,高中!$F:$F,"&lt;&gt;",高中!$C:$C,"",高中!$D:$D,$E452)</f>
        <v/>
      </c>
      <c r="G452" s="8">
        <f>IF(F452&gt;0,"已查到","未查到")</f>
        <v/>
      </c>
    </row>
    <row r="453">
      <c r="A453" s="8" t="inlineStr">
        <is>
          <t>高中</t>
        </is>
      </c>
      <c r="B453" s="8" t="inlineStr">
        <is>
          <t>泰宇</t>
        </is>
      </c>
      <c r="C453" s="8" t="inlineStr">
        <is>
          <t>生物</t>
        </is>
      </c>
      <c r="D453" s="8" t="n"/>
      <c r="E453" s="8" t="inlineStr">
        <is>
          <t>基礎生物（二）</t>
        </is>
      </c>
      <c r="F453" s="8">
        <f>COUNTIFS(高中!$A:$A,$B453,高中!$E:$E,$C453,高中!$F:$F,"&lt;&gt;",高中!$C:$C,"",高中!$D:$D,$E453)</f>
        <v/>
      </c>
      <c r="G453" s="8">
        <f>IF(F453&gt;0,"已查到","未查到")</f>
        <v/>
      </c>
    </row>
    <row r="454">
      <c r="A454" s="8" t="inlineStr">
        <is>
          <t>高中</t>
        </is>
      </c>
      <c r="B454" s="8" t="inlineStr">
        <is>
          <t>泰宇</t>
        </is>
      </c>
      <c r="C454" s="8" t="inlineStr">
        <is>
          <t>生物</t>
        </is>
      </c>
      <c r="D454" s="8" t="n"/>
      <c r="E454" s="8" t="inlineStr">
        <is>
          <t>選修生物I</t>
        </is>
      </c>
      <c r="F454" s="8">
        <f>COUNTIFS(高中!$A:$A,$B454,高中!$E:$E,$C454,高中!$F:$F,"&lt;&gt;",高中!$C:$C,"",高中!$D:$D,$E454)</f>
        <v/>
      </c>
      <c r="G454" s="8">
        <f>IF(F454&gt;0,"已查到","未查到")</f>
        <v/>
      </c>
    </row>
    <row r="455">
      <c r="A455" s="8" t="inlineStr">
        <is>
          <t>高中</t>
        </is>
      </c>
      <c r="B455" s="8" t="inlineStr">
        <is>
          <t>泰宇</t>
        </is>
      </c>
      <c r="C455" s="8" t="inlineStr">
        <is>
          <t>生物</t>
        </is>
      </c>
      <c r="D455" s="8" t="n"/>
      <c r="E455" s="8" t="inlineStr">
        <is>
          <t>選修生物II</t>
        </is>
      </c>
      <c r="F455" s="8">
        <f>COUNTIFS(高中!$A:$A,$B455,高中!$E:$E,$C455,高中!$F:$F,"&lt;&gt;",高中!$C:$C,"",高中!$D:$D,$E455)</f>
        <v/>
      </c>
      <c r="G455" s="8">
        <f>IF(F455&gt;0,"已查到","未查到")</f>
        <v/>
      </c>
    </row>
    <row r="456">
      <c r="A456" s="8" t="inlineStr">
        <is>
          <t>高中</t>
        </is>
      </c>
      <c r="B456" s="8" t="inlineStr">
        <is>
          <t>泰宇</t>
        </is>
      </c>
      <c r="C456" s="8" t="inlineStr">
        <is>
          <t>生物</t>
        </is>
      </c>
      <c r="D456" s="8" t="n"/>
      <c r="E456" s="8" t="inlineStr">
        <is>
          <t>選修生物III</t>
        </is>
      </c>
      <c r="F456" s="8">
        <f>COUNTIFS(高中!$A:$A,$B456,高中!$E:$E,$C456,高中!$F:$F,"&lt;&gt;",高中!$C:$C,"",高中!$D:$D,$E456)</f>
        <v/>
      </c>
      <c r="G456" s="8">
        <f>IF(F456&gt;0,"已查到","未查到")</f>
        <v/>
      </c>
    </row>
    <row r="457">
      <c r="A457" s="8" t="inlineStr">
        <is>
          <t>高中</t>
        </is>
      </c>
      <c r="B457" s="8" t="inlineStr">
        <is>
          <t>泰宇</t>
        </is>
      </c>
      <c r="C457" s="8" t="inlineStr">
        <is>
          <t>生物</t>
        </is>
      </c>
      <c r="D457" s="8" t="n"/>
      <c r="E457" s="8" t="inlineStr">
        <is>
          <t>選修生物IV</t>
        </is>
      </c>
      <c r="F457" s="8">
        <f>COUNTIFS(高中!$A:$A,$B457,高中!$E:$E,$C457,高中!$F:$F,"&lt;&gt;",高中!$C:$C,"",高中!$D:$D,$E457)</f>
        <v/>
      </c>
      <c r="G457" s="8">
        <f>IF(F457&gt;0,"已查到","未查到")</f>
        <v/>
      </c>
    </row>
    <row r="458">
      <c r="A458" s="8" t="inlineStr">
        <is>
          <t>高中</t>
        </is>
      </c>
      <c r="B458" s="8" t="inlineStr">
        <is>
          <t>泰宇</t>
        </is>
      </c>
      <c r="C458" s="8" t="inlineStr">
        <is>
          <t>物理</t>
        </is>
      </c>
      <c r="D458" s="8" t="inlineStr">
        <is>
          <t>10</t>
        </is>
      </c>
      <c r="E458" s="8" t="inlineStr">
        <is>
          <t>基礎物理（一）</t>
        </is>
      </c>
      <c r="F458" s="8">
        <f>COUNTIFS(高中!$A:$A,$B458,高中!$E:$E,$C458,高中!$F:$F,"&lt;&gt;",高中!$C:$C,$D458,高中!$D:$D,$E458)</f>
        <v/>
      </c>
      <c r="G458" s="8">
        <f>IF(F458&gt;0,"已查到","未查到")</f>
        <v/>
      </c>
    </row>
    <row r="459">
      <c r="A459" s="8" t="inlineStr">
        <is>
          <t>高中</t>
        </is>
      </c>
      <c r="B459" s="8" t="inlineStr">
        <is>
          <t>泰宇</t>
        </is>
      </c>
      <c r="C459" s="8" t="inlineStr">
        <is>
          <t>物理</t>
        </is>
      </c>
      <c r="D459" s="8" t="n"/>
      <c r="E459" s="8" t="inlineStr">
        <is>
          <t>選修物理I</t>
        </is>
      </c>
      <c r="F459" s="8">
        <f>COUNTIFS(高中!$A:$A,$B459,高中!$E:$E,$C459,高中!$F:$F,"&lt;&gt;",高中!$C:$C,"",高中!$D:$D,$E459)</f>
        <v/>
      </c>
      <c r="G459" s="8">
        <f>IF(F459&gt;0,"已查到","未查到")</f>
        <v/>
      </c>
    </row>
    <row r="460">
      <c r="A460" s="8" t="inlineStr">
        <is>
          <t>高中</t>
        </is>
      </c>
      <c r="B460" s="8" t="inlineStr">
        <is>
          <t>泰宇</t>
        </is>
      </c>
      <c r="C460" s="8" t="inlineStr">
        <is>
          <t>物理</t>
        </is>
      </c>
      <c r="D460" s="8" t="n"/>
      <c r="E460" s="8" t="inlineStr">
        <is>
          <t>選修物理II</t>
        </is>
      </c>
      <c r="F460" s="8">
        <f>COUNTIFS(高中!$A:$A,$B460,高中!$E:$E,$C460,高中!$F:$F,"&lt;&gt;",高中!$C:$C,"",高中!$D:$D,$E460)</f>
        <v/>
      </c>
      <c r="G460" s="8">
        <f>IF(F460&gt;0,"已查到","未查到")</f>
        <v/>
      </c>
    </row>
    <row r="461">
      <c r="A461" s="8" t="inlineStr">
        <is>
          <t>高中</t>
        </is>
      </c>
      <c r="B461" s="8" t="inlineStr">
        <is>
          <t>泰宇</t>
        </is>
      </c>
      <c r="C461" s="8" t="inlineStr">
        <is>
          <t>物理</t>
        </is>
      </c>
      <c r="D461" s="8" t="n"/>
      <c r="E461" s="8" t="inlineStr">
        <is>
          <t>選修物理III</t>
        </is>
      </c>
      <c r="F461" s="8">
        <f>COUNTIFS(高中!$A:$A,$B461,高中!$E:$E,$C461,高中!$F:$F,"&lt;&gt;",高中!$C:$C,"",高中!$D:$D,$E461)</f>
        <v/>
      </c>
      <c r="G461" s="8">
        <f>IF(F461&gt;0,"已查到","未查到")</f>
        <v/>
      </c>
    </row>
    <row r="462">
      <c r="A462" s="8" t="inlineStr">
        <is>
          <t>高中</t>
        </is>
      </c>
      <c r="B462" s="8" t="inlineStr">
        <is>
          <t>泰宇</t>
        </is>
      </c>
      <c r="C462" s="8" t="inlineStr">
        <is>
          <t>物理</t>
        </is>
      </c>
      <c r="D462" s="8" t="n"/>
      <c r="E462" s="8" t="inlineStr">
        <is>
          <t>選修物理IV</t>
        </is>
      </c>
      <c r="F462" s="8">
        <f>COUNTIFS(高中!$A:$A,$B462,高中!$E:$E,$C462,高中!$F:$F,"&lt;&gt;",高中!$C:$C,"",高中!$D:$D,$E462)</f>
        <v/>
      </c>
      <c r="G462" s="8">
        <f>IF(F462&gt;0,"已查到","未查到")</f>
        <v/>
      </c>
    </row>
    <row r="463">
      <c r="A463" s="8" t="inlineStr">
        <is>
          <t>高中</t>
        </is>
      </c>
      <c r="B463" s="8" t="inlineStr">
        <is>
          <t>泰宇</t>
        </is>
      </c>
      <c r="C463" s="8" t="inlineStr">
        <is>
          <t>物理</t>
        </is>
      </c>
      <c r="D463" s="8" t="n"/>
      <c r="E463" s="8" t="inlineStr">
        <is>
          <t>選修物理V</t>
        </is>
      </c>
      <c r="F463" s="8">
        <f>COUNTIFS(高中!$A:$A,$B463,高中!$E:$E,$C463,高中!$F:$F,"&lt;&gt;",高中!$C:$C,"",高中!$D:$D,$E463)</f>
        <v/>
      </c>
      <c r="G463" s="8">
        <f>IF(F463&gt;0,"已查到","未查到")</f>
        <v/>
      </c>
    </row>
    <row r="464">
      <c r="A464" s="8" t="inlineStr">
        <is>
          <t>高中</t>
        </is>
      </c>
      <c r="B464" s="8" t="inlineStr">
        <is>
          <t>泰宇</t>
        </is>
      </c>
      <c r="C464" s="8" t="inlineStr">
        <is>
          <t>化學</t>
        </is>
      </c>
      <c r="D464" s="8" t="inlineStr">
        <is>
          <t>11</t>
        </is>
      </c>
      <c r="E464" s="8" t="inlineStr">
        <is>
          <t>選修化學I（來源課程名：深廣-物質與能量）</t>
        </is>
      </c>
      <c r="F464" s="8">
        <f>COUNTIFS(高中!$A:$A,$B464,高中!$E:$E,$C464,高中!$F:$F,"&lt;&gt;",高中!$C:$C,$D464,高中!$D:$D,$E464)</f>
        <v/>
      </c>
      <c r="G464" s="8">
        <f>IF(F464&gt;0,"已查到","未查到")</f>
        <v/>
      </c>
    </row>
    <row r="465">
      <c r="A465" s="8" t="inlineStr">
        <is>
          <t>高中</t>
        </is>
      </c>
      <c r="B465" s="8" t="inlineStr">
        <is>
          <t>泰宇</t>
        </is>
      </c>
      <c r="C465" s="8" t="inlineStr">
        <is>
          <t>化學</t>
        </is>
      </c>
      <c r="D465" s="8" t="n"/>
      <c r="E465" s="8" t="inlineStr">
        <is>
          <t>基礎化學（一）</t>
        </is>
      </c>
      <c r="F465" s="8">
        <f>COUNTIFS(高中!$A:$A,$B465,高中!$E:$E,$C465,高中!$F:$F,"&lt;&gt;",高中!$C:$C,"",高中!$D:$D,$E465)</f>
        <v/>
      </c>
      <c r="G465" s="8">
        <f>IF(F465&gt;0,"已查到","未查到")</f>
        <v/>
      </c>
    </row>
    <row r="466">
      <c r="A466" s="8" t="inlineStr">
        <is>
          <t>高中</t>
        </is>
      </c>
      <c r="B466" s="8" t="inlineStr">
        <is>
          <t>泰宇</t>
        </is>
      </c>
      <c r="C466" s="8" t="inlineStr">
        <is>
          <t>化學</t>
        </is>
      </c>
      <c r="D466" s="8" t="n"/>
      <c r="E466" s="8" t="inlineStr">
        <is>
          <t>基礎化學（三）</t>
        </is>
      </c>
      <c r="F466" s="8">
        <f>COUNTIFS(高中!$A:$A,$B466,高中!$E:$E,$C466,高中!$F:$F,"&lt;&gt;",高中!$C:$C,"",高中!$D:$D,$E466)</f>
        <v/>
      </c>
      <c r="G466" s="8">
        <f>IF(F466&gt;0,"已查到","未查到")</f>
        <v/>
      </c>
    </row>
    <row r="467">
      <c r="A467" s="8" t="inlineStr">
        <is>
          <t>高中</t>
        </is>
      </c>
      <c r="B467" s="8" t="inlineStr">
        <is>
          <t>泰宇</t>
        </is>
      </c>
      <c r="C467" s="8" t="inlineStr">
        <is>
          <t>化學</t>
        </is>
      </c>
      <c r="D467" s="8" t="n"/>
      <c r="E467" s="8" t="inlineStr">
        <is>
          <t>基礎化學（二）</t>
        </is>
      </c>
      <c r="F467" s="8">
        <f>COUNTIFS(高中!$A:$A,$B467,高中!$E:$E,$C467,高中!$F:$F,"&lt;&gt;",高中!$C:$C,"",高中!$D:$D,$E467)</f>
        <v/>
      </c>
      <c r="G467" s="8">
        <f>IF(F467&gt;0,"已查到","未查到")</f>
        <v/>
      </c>
    </row>
    <row r="468">
      <c r="A468" s="8" t="inlineStr">
        <is>
          <t>高中</t>
        </is>
      </c>
      <c r="B468" s="8" t="inlineStr">
        <is>
          <t>泰宇</t>
        </is>
      </c>
      <c r="C468" s="8" t="inlineStr">
        <is>
          <t>化學</t>
        </is>
      </c>
      <c r="D468" s="8" t="n"/>
      <c r="E468" s="8" t="inlineStr">
        <is>
          <t>選修化學II</t>
        </is>
      </c>
      <c r="F468" s="8">
        <f>COUNTIFS(高中!$A:$A,$B468,高中!$E:$E,$C468,高中!$F:$F,"&lt;&gt;",高中!$C:$C,"",高中!$D:$D,$E468)</f>
        <v/>
      </c>
      <c r="G468" s="8">
        <f>IF(F468&gt;0,"已查到","未查到")</f>
        <v/>
      </c>
    </row>
    <row r="469">
      <c r="A469" s="8" t="inlineStr">
        <is>
          <t>高中</t>
        </is>
      </c>
      <c r="B469" s="8" t="inlineStr">
        <is>
          <t>泰宇</t>
        </is>
      </c>
      <c r="C469" s="8" t="inlineStr">
        <is>
          <t>化學</t>
        </is>
      </c>
      <c r="D469" s="8" t="n"/>
      <c r="E469" s="8" t="inlineStr">
        <is>
          <t>選修化學III</t>
        </is>
      </c>
      <c r="F469" s="8">
        <f>COUNTIFS(高中!$A:$A,$B469,高中!$E:$E,$C469,高中!$F:$F,"&lt;&gt;",高中!$C:$C,"",高中!$D:$D,$E469)</f>
        <v/>
      </c>
      <c r="G469" s="8">
        <f>IF(F469&gt;0,"已查到","未查到")</f>
        <v/>
      </c>
    </row>
    <row r="470">
      <c r="A470" s="8" t="inlineStr">
        <is>
          <t>高中</t>
        </is>
      </c>
      <c r="B470" s="8" t="inlineStr">
        <is>
          <t>泰宇</t>
        </is>
      </c>
      <c r="C470" s="8" t="inlineStr">
        <is>
          <t>化學</t>
        </is>
      </c>
      <c r="D470" s="8" t="n"/>
      <c r="E470" s="8" t="inlineStr">
        <is>
          <t>選修化學IV</t>
        </is>
      </c>
      <c r="F470" s="8">
        <f>COUNTIFS(高中!$A:$A,$B470,高中!$E:$E,$C470,高中!$F:$F,"&lt;&gt;",高中!$C:$C,"",高中!$D:$D,$E470)</f>
        <v/>
      </c>
      <c r="G470" s="8">
        <f>IF(F470&gt;0,"已查到","未查到")</f>
        <v/>
      </c>
    </row>
    <row r="471">
      <c r="A471" s="8" t="inlineStr">
        <is>
          <t>高中</t>
        </is>
      </c>
      <c r="B471" s="8" t="inlineStr">
        <is>
          <t>泰宇</t>
        </is>
      </c>
      <c r="C471" s="8" t="inlineStr">
        <is>
          <t>化學</t>
        </is>
      </c>
      <c r="D471" s="8" t="n"/>
      <c r="E471" s="8" t="inlineStr">
        <is>
          <t>選修化學V</t>
        </is>
      </c>
      <c r="F471" s="8">
        <f>COUNTIFS(高中!$A:$A,$B471,高中!$E:$E,$C471,高中!$F:$F,"&lt;&gt;",高中!$C:$C,"",高中!$D:$D,$E471)</f>
        <v/>
      </c>
      <c r="G471" s="8">
        <f>IF(F471&gt;0,"已查到","未查到")</f>
        <v/>
      </c>
    </row>
    <row r="472">
      <c r="A472" s="8" t="inlineStr">
        <is>
          <t>高中</t>
        </is>
      </c>
      <c r="B472" s="8" t="inlineStr">
        <is>
          <t>泰宇</t>
        </is>
      </c>
      <c r="C472" s="8" t="inlineStr">
        <is>
          <t>地球科學</t>
        </is>
      </c>
      <c r="D472" s="8" t="n"/>
      <c r="E472" s="8" t="inlineStr">
        <is>
          <t>基礎地球科學（一）</t>
        </is>
      </c>
      <c r="F472" s="8">
        <f>COUNTIFS(高中!$A:$A,$B472,高中!$E:$E,$C472,高中!$F:$F,"&lt;&gt;",高中!$C:$C,"",高中!$D:$D,$E472)</f>
        <v/>
      </c>
      <c r="G472" s="8">
        <f>IF(F472&gt;0,"已查到","未查到")</f>
        <v/>
      </c>
    </row>
    <row r="473">
      <c r="A473" s="8" t="inlineStr">
        <is>
          <t>高中</t>
        </is>
      </c>
      <c r="B473" s="8" t="inlineStr">
        <is>
          <t>泰宇</t>
        </is>
      </c>
      <c r="C473" s="8" t="inlineStr">
        <is>
          <t>地球科學</t>
        </is>
      </c>
      <c r="D473" s="8" t="n"/>
      <c r="E473" s="8" t="inlineStr">
        <is>
          <t>基礎地球科學（二）</t>
        </is>
      </c>
      <c r="F473" s="8">
        <f>COUNTIFS(高中!$A:$A,$B473,高中!$E:$E,$C473,高中!$F:$F,"&lt;&gt;",高中!$C:$C,"",高中!$D:$D,$E473)</f>
        <v/>
      </c>
      <c r="G473" s="8">
        <f>IF(F473&gt;0,"已查到","未查到")</f>
        <v/>
      </c>
    </row>
    <row r="474">
      <c r="A474" s="8" t="inlineStr">
        <is>
          <t>高中</t>
        </is>
      </c>
      <c r="B474" s="8" t="inlineStr">
        <is>
          <t>泰宇</t>
        </is>
      </c>
      <c r="C474" s="8" t="inlineStr">
        <is>
          <t>地球科學</t>
        </is>
      </c>
      <c r="D474" s="8" t="n"/>
      <c r="E474" s="8" t="inlineStr">
        <is>
          <t>選修地球科學I</t>
        </is>
      </c>
      <c r="F474" s="8">
        <f>COUNTIFS(高中!$A:$A,$B474,高中!$E:$E,$C474,高中!$F:$F,"&lt;&gt;",高中!$C:$C,"",高中!$D:$D,$E474)</f>
        <v/>
      </c>
      <c r="G474" s="8">
        <f>IF(F474&gt;0,"已查到","未查到")</f>
        <v/>
      </c>
    </row>
    <row r="475">
      <c r="A475" s="8" t="inlineStr">
        <is>
          <t>高中</t>
        </is>
      </c>
      <c r="B475" s="8" t="inlineStr">
        <is>
          <t>泰宇</t>
        </is>
      </c>
      <c r="C475" s="8" t="inlineStr">
        <is>
          <t>地球科學</t>
        </is>
      </c>
      <c r="D475" s="8" t="n"/>
      <c r="E475" s="8" t="inlineStr">
        <is>
          <t>選修地球科學II</t>
        </is>
      </c>
      <c r="F475" s="8">
        <f>COUNTIFS(高中!$A:$A,$B475,高中!$E:$E,$C475,高中!$F:$F,"&lt;&gt;",高中!$C:$C,"",高中!$D:$D,$E475)</f>
        <v/>
      </c>
      <c r="G475" s="8">
        <f>IF(F475&gt;0,"已查到","未查到")</f>
        <v/>
      </c>
    </row>
    <row r="476">
      <c r="A476" s="8" t="inlineStr">
        <is>
          <t>高中</t>
        </is>
      </c>
      <c r="B476" s="8" t="inlineStr">
        <is>
          <t>泰宇</t>
        </is>
      </c>
      <c r="C476" s="8" t="inlineStr">
        <is>
          <t>地球科學</t>
        </is>
      </c>
      <c r="D476" s="8" t="n"/>
      <c r="E476" s="8" t="inlineStr">
        <is>
          <t>選修地球科學III</t>
        </is>
      </c>
      <c r="F476" s="8">
        <f>COUNTIFS(高中!$A:$A,$B476,高中!$E:$E,$C476,高中!$F:$F,"&lt;&gt;",高中!$C:$C,"",高中!$D:$D,$E476)</f>
        <v/>
      </c>
      <c r="G476" s="8">
        <f>IF(F476&gt;0,"已查到","未查到")</f>
        <v/>
      </c>
    </row>
    <row r="477">
      <c r="A477" s="8" t="inlineStr">
        <is>
          <t>高中</t>
        </is>
      </c>
      <c r="B477" s="8" t="inlineStr">
        <is>
          <t>泰宇</t>
        </is>
      </c>
      <c r="C477" s="8" t="inlineStr">
        <is>
          <t>地球科學</t>
        </is>
      </c>
      <c r="D477" s="8" t="n"/>
      <c r="E477" s="8" t="inlineStr">
        <is>
          <t>選修地球科學IV</t>
        </is>
      </c>
      <c r="F477" s="8">
        <f>COUNTIFS(高中!$A:$A,$B477,高中!$E:$E,$C477,高中!$F:$F,"&lt;&gt;",高中!$C:$C,"",高中!$D:$D,$E477)</f>
        <v/>
      </c>
      <c r="G477" s="8">
        <f>IF(F477&gt;0,"已查到","未查到")</f>
        <v/>
      </c>
    </row>
    <row r="478">
      <c r="A478" s="8" t="inlineStr">
        <is>
          <t>高中</t>
        </is>
      </c>
      <c r="B478" s="8" t="inlineStr">
        <is>
          <t>泰宇</t>
        </is>
      </c>
      <c r="C478" s="8" t="inlineStr">
        <is>
          <t>歷史</t>
        </is>
      </c>
      <c r="D478" s="8" t="inlineStr">
        <is>
          <t>10</t>
        </is>
      </c>
      <c r="E478" s="8" t="inlineStr">
        <is>
          <t>第一冊</t>
        </is>
      </c>
      <c r="F478" s="8">
        <f>COUNTIFS(高中!$A:$A,$B478,高中!$E:$E,$C478,高中!$F:$F,"&lt;&gt;",高中!$C:$C,$D478,高中!$D:$D,$E478)</f>
        <v/>
      </c>
      <c r="G478" s="8">
        <f>IF(F478&gt;0,"已查到","未查到")</f>
        <v/>
      </c>
    </row>
    <row r="479">
      <c r="A479" s="8" t="inlineStr">
        <is>
          <t>高中</t>
        </is>
      </c>
      <c r="B479" s="8" t="inlineStr">
        <is>
          <t>泰宇</t>
        </is>
      </c>
      <c r="C479" s="8" t="inlineStr">
        <is>
          <t>歷史</t>
        </is>
      </c>
      <c r="D479" s="8" t="inlineStr">
        <is>
          <t>10</t>
        </is>
      </c>
      <c r="E479" s="8" t="inlineStr">
        <is>
          <t>第二冊</t>
        </is>
      </c>
      <c r="F479" s="8">
        <f>COUNTIFS(高中!$A:$A,$B479,高中!$E:$E,$C479,高中!$F:$F,"&lt;&gt;",高中!$C:$C,$D479,高中!$D:$D,$E479)</f>
        <v/>
      </c>
      <c r="G479" s="8">
        <f>IF(F479&gt;0,"已查到","未查到")</f>
        <v/>
      </c>
    </row>
    <row r="480">
      <c r="A480" s="8" t="inlineStr">
        <is>
          <t>高中</t>
        </is>
      </c>
      <c r="B480" s="8" t="inlineStr">
        <is>
          <t>泰宇</t>
        </is>
      </c>
      <c r="C480" s="8" t="inlineStr">
        <is>
          <t>歷史</t>
        </is>
      </c>
      <c r="D480" s="8" t="inlineStr">
        <is>
          <t>11</t>
        </is>
      </c>
      <c r="E480" s="8" t="inlineStr">
        <is>
          <t>第三冊</t>
        </is>
      </c>
      <c r="F480" s="8">
        <f>COUNTIFS(高中!$A:$A,$B480,高中!$E:$E,$C480,高中!$F:$F,"&lt;&gt;",高中!$C:$C,$D480,高中!$D:$D,$E480)</f>
        <v/>
      </c>
      <c r="G480" s="8">
        <f>IF(F480&gt;0,"已查到","未查到")</f>
        <v/>
      </c>
    </row>
    <row r="481">
      <c r="A481" s="8" t="inlineStr">
        <is>
          <t>高中</t>
        </is>
      </c>
      <c r="B481" s="8" t="inlineStr">
        <is>
          <t>泰宇</t>
        </is>
      </c>
      <c r="C481" s="8" t="inlineStr">
        <is>
          <t>歷史</t>
        </is>
      </c>
      <c r="D481" s="8" t="n"/>
      <c r="E481" s="8" t="inlineStr">
        <is>
          <t>加深加廣選修 探究與實作：歷史學探究</t>
        </is>
      </c>
      <c r="F481" s="8">
        <f>COUNTIFS(高中!$A:$A,$B481,高中!$E:$E,$C481,高中!$F:$F,"&lt;&gt;",高中!$C:$C,"",高中!$D:$D,$E481)</f>
        <v/>
      </c>
      <c r="G481" s="8">
        <f>IF(F481&gt;0,"已查到","未查到")</f>
        <v/>
      </c>
    </row>
    <row r="482">
      <c r="A482" s="8" t="inlineStr">
        <is>
          <t>高中</t>
        </is>
      </c>
      <c r="B482" s="8" t="inlineStr">
        <is>
          <t>泰宇</t>
        </is>
      </c>
      <c r="C482" s="8" t="inlineStr">
        <is>
          <t>歷史</t>
        </is>
      </c>
      <c r="D482" s="8" t="n"/>
      <c r="E482" s="8" t="inlineStr">
        <is>
          <t>加深加廣選修 族群、性別與國家的歷史</t>
        </is>
      </c>
      <c r="F482" s="8">
        <f>COUNTIFS(高中!$A:$A,$B482,高中!$E:$E,$C482,高中!$F:$F,"&lt;&gt;",高中!$C:$C,"",高中!$D:$D,$E482)</f>
        <v/>
      </c>
      <c r="G482" s="8">
        <f>IF(F482&gt;0,"已查到","未查到")</f>
        <v/>
      </c>
    </row>
    <row r="483">
      <c r="A483" s="8" t="inlineStr">
        <is>
          <t>高中</t>
        </is>
      </c>
      <c r="B483" s="8" t="inlineStr">
        <is>
          <t>泰宇</t>
        </is>
      </c>
      <c r="C483" s="8" t="inlineStr">
        <is>
          <t>歷史</t>
        </is>
      </c>
      <c r="D483" s="8" t="n"/>
      <c r="E483" s="8" t="inlineStr">
        <is>
          <t>加深加廣選修 科技、環境與藝術的歷史</t>
        </is>
      </c>
      <c r="F483" s="8">
        <f>COUNTIFS(高中!$A:$A,$B483,高中!$E:$E,$C483,高中!$F:$F,"&lt;&gt;",高中!$C:$C,"",高中!$D:$D,$E483)</f>
        <v/>
      </c>
      <c r="G483" s="8">
        <f>IF(F483&gt;0,"已查到","未查到")</f>
        <v/>
      </c>
    </row>
    <row r="484">
      <c r="A484" s="8" t="inlineStr">
        <is>
          <t>高中</t>
        </is>
      </c>
      <c r="B484" s="8" t="inlineStr">
        <is>
          <t>泰宇</t>
        </is>
      </c>
      <c r="C484" s="8" t="inlineStr">
        <is>
          <t>地理</t>
        </is>
      </c>
      <c r="D484" s="8" t="inlineStr">
        <is>
          <t>10</t>
        </is>
      </c>
      <c r="E484" s="8" t="inlineStr">
        <is>
          <t>第一冊</t>
        </is>
      </c>
      <c r="F484" s="8">
        <f>COUNTIFS(高中!$A:$A,$B484,高中!$E:$E,$C484,高中!$F:$F,"&lt;&gt;",高中!$C:$C,$D484,高中!$D:$D,$E484)</f>
        <v/>
      </c>
      <c r="G484" s="8">
        <f>IF(F484&gt;0,"已查到","未查到")</f>
        <v/>
      </c>
    </row>
    <row r="485">
      <c r="A485" s="8" t="inlineStr">
        <is>
          <t>高中</t>
        </is>
      </c>
      <c r="B485" s="8" t="inlineStr">
        <is>
          <t>泰宇</t>
        </is>
      </c>
      <c r="C485" s="8" t="inlineStr">
        <is>
          <t>地理</t>
        </is>
      </c>
      <c r="D485" s="8" t="inlineStr">
        <is>
          <t>10</t>
        </is>
      </c>
      <c r="E485" s="8" t="inlineStr">
        <is>
          <t>第二冊</t>
        </is>
      </c>
      <c r="F485" s="8">
        <f>COUNTIFS(高中!$A:$A,$B485,高中!$E:$E,$C485,高中!$F:$F,"&lt;&gt;",高中!$C:$C,$D485,高中!$D:$D,$E485)</f>
        <v/>
      </c>
      <c r="G485" s="8">
        <f>IF(F485&gt;0,"已查到","未查到")</f>
        <v/>
      </c>
    </row>
    <row r="486">
      <c r="A486" s="8" t="inlineStr">
        <is>
          <t>高中</t>
        </is>
      </c>
      <c r="B486" s="8" t="inlineStr">
        <is>
          <t>泰宇</t>
        </is>
      </c>
      <c r="C486" s="8" t="inlineStr">
        <is>
          <t>地理</t>
        </is>
      </c>
      <c r="D486" s="8" t="inlineStr">
        <is>
          <t>11</t>
        </is>
      </c>
      <c r="E486" s="8" t="inlineStr">
        <is>
          <t>第三冊</t>
        </is>
      </c>
      <c r="F486" s="8">
        <f>COUNTIFS(高中!$A:$A,$B486,高中!$E:$E,$C486,高中!$F:$F,"&lt;&gt;",高中!$C:$C,$D486,高中!$D:$D,$E486)</f>
        <v/>
      </c>
      <c r="G486" s="8">
        <f>IF(F486&gt;0,"已查到","未查到")</f>
        <v/>
      </c>
    </row>
    <row r="487">
      <c r="A487" s="8" t="inlineStr">
        <is>
          <t>高中</t>
        </is>
      </c>
      <c r="B487" s="8" t="inlineStr">
        <is>
          <t>泰宇</t>
        </is>
      </c>
      <c r="C487" s="8" t="inlineStr">
        <is>
          <t>地理</t>
        </is>
      </c>
      <c r="D487" s="8" t="n"/>
      <c r="E487" s="8" t="inlineStr">
        <is>
          <t>加深加廣選修 探究與實作：地理與人文社會科學研究</t>
        </is>
      </c>
      <c r="F487" s="8">
        <f>COUNTIFS(高中!$A:$A,$B487,高中!$E:$E,$C487,高中!$F:$F,"&lt;&gt;",高中!$C:$C,"",高中!$D:$D,$E487)</f>
        <v/>
      </c>
      <c r="G487" s="8">
        <f>IF(F487&gt;0,"已查到","未查到")</f>
        <v/>
      </c>
    </row>
    <row r="488">
      <c r="A488" s="8" t="inlineStr">
        <is>
          <t>高中</t>
        </is>
      </c>
      <c r="B488" s="8" t="inlineStr">
        <is>
          <t>泰宇</t>
        </is>
      </c>
      <c r="C488" s="8" t="inlineStr">
        <is>
          <t>地理</t>
        </is>
      </c>
      <c r="D488" s="8" t="n"/>
      <c r="E488" s="8" t="inlineStr">
        <is>
          <t>加深加廣選修 社會環境議題</t>
        </is>
      </c>
      <c r="F488" s="8">
        <f>COUNTIFS(高中!$A:$A,$B488,高中!$E:$E,$C488,高中!$F:$F,"&lt;&gt;",高中!$C:$C,"",高中!$D:$D,$E488)</f>
        <v/>
      </c>
      <c r="G488" s="8">
        <f>IF(F488&gt;0,"已查到","未查到")</f>
        <v/>
      </c>
    </row>
    <row r="489">
      <c r="A489" s="8" t="inlineStr">
        <is>
          <t>高中</t>
        </is>
      </c>
      <c r="B489" s="8" t="inlineStr">
        <is>
          <t>泰宇</t>
        </is>
      </c>
      <c r="C489" s="8" t="inlineStr">
        <is>
          <t>地理</t>
        </is>
      </c>
      <c r="D489" s="8" t="n"/>
      <c r="E489" s="8" t="inlineStr">
        <is>
          <t>加深加廣選修 空間資訊科技</t>
        </is>
      </c>
      <c r="F489" s="8">
        <f>COUNTIFS(高中!$A:$A,$B489,高中!$E:$E,$C489,高中!$F:$F,"&lt;&gt;",高中!$C:$C,"",高中!$D:$D,$E489)</f>
        <v/>
      </c>
      <c r="G489" s="8">
        <f>IF(F489&gt;0,"已查到","未查到")</f>
        <v/>
      </c>
    </row>
    <row r="490">
      <c r="A490" s="8" t="inlineStr">
        <is>
          <t>高中</t>
        </is>
      </c>
      <c r="B490" s="8" t="inlineStr">
        <is>
          <t>泰宇</t>
        </is>
      </c>
      <c r="C490" s="8" t="inlineStr">
        <is>
          <t>公民與社會</t>
        </is>
      </c>
      <c r="D490" s="8" t="inlineStr">
        <is>
          <t>10</t>
        </is>
      </c>
      <c r="E490" s="8" t="inlineStr">
        <is>
          <t>第一冊</t>
        </is>
      </c>
      <c r="F490" s="8">
        <f>COUNTIFS(高中!$A:$A,$B490,高中!$E:$E,$C490,高中!$F:$F,"&lt;&gt;",高中!$C:$C,$D490,高中!$D:$D,$E490)</f>
        <v/>
      </c>
      <c r="G490" s="8">
        <f>IF(F490&gt;0,"已查到","未查到")</f>
        <v/>
      </c>
    </row>
    <row r="491">
      <c r="A491" s="8" t="inlineStr">
        <is>
          <t>高中</t>
        </is>
      </c>
      <c r="B491" s="8" t="inlineStr">
        <is>
          <t>泰宇</t>
        </is>
      </c>
      <c r="C491" s="8" t="inlineStr">
        <is>
          <t>公民與社會</t>
        </is>
      </c>
      <c r="D491" s="8" t="inlineStr">
        <is>
          <t>10</t>
        </is>
      </c>
      <c r="E491" s="8" t="inlineStr">
        <is>
          <t>第二冊</t>
        </is>
      </c>
      <c r="F491" s="8">
        <f>COUNTIFS(高中!$A:$A,$B491,高中!$E:$E,$C491,高中!$F:$F,"&lt;&gt;",高中!$C:$C,$D491,高中!$D:$D,$E491)</f>
        <v/>
      </c>
      <c r="G491" s="8">
        <f>IF(F491&gt;0,"已查到","未查到")</f>
        <v/>
      </c>
    </row>
    <row r="492">
      <c r="A492" s="8" t="inlineStr">
        <is>
          <t>高中</t>
        </is>
      </c>
      <c r="B492" s="8" t="inlineStr">
        <is>
          <t>泰宇</t>
        </is>
      </c>
      <c r="C492" s="8" t="inlineStr">
        <is>
          <t>公民與社會</t>
        </is>
      </c>
      <c r="D492" s="8" t="inlineStr">
        <is>
          <t>11</t>
        </is>
      </c>
      <c r="E492" s="8" t="inlineStr">
        <is>
          <t>第三冊</t>
        </is>
      </c>
      <c r="F492" s="8">
        <f>COUNTIFS(高中!$A:$A,$B492,高中!$E:$E,$C492,高中!$F:$F,"&lt;&gt;",高中!$C:$C,$D492,高中!$D:$D,$E492)</f>
        <v/>
      </c>
      <c r="G492" s="8">
        <f>IF(F492&gt;0,"已查到","未查到")</f>
        <v/>
      </c>
    </row>
    <row r="493">
      <c r="A493" s="8" t="inlineStr">
        <is>
          <t>高中</t>
        </is>
      </c>
      <c r="B493" s="8" t="inlineStr">
        <is>
          <t>泰宇</t>
        </is>
      </c>
      <c r="C493" s="8" t="inlineStr">
        <is>
          <t>公民與社會</t>
        </is>
      </c>
      <c r="D493" s="8" t="n"/>
      <c r="E493" s="8" t="inlineStr">
        <is>
          <t>加深加廣選修 探究與實作：公共議題與社會探究</t>
        </is>
      </c>
      <c r="F493" s="8">
        <f>COUNTIFS(高中!$A:$A,$B493,高中!$E:$E,$C493,高中!$F:$F,"&lt;&gt;",高中!$C:$C,"",高中!$D:$D,$E493)</f>
        <v/>
      </c>
      <c r="G493" s="8">
        <f>IF(F493&gt;0,"已查到","未查到")</f>
        <v/>
      </c>
    </row>
    <row r="494">
      <c r="A494" s="8" t="inlineStr">
        <is>
          <t>高中</t>
        </is>
      </c>
      <c r="B494" s="8" t="inlineStr">
        <is>
          <t>泰宇</t>
        </is>
      </c>
      <c r="C494" s="8" t="inlineStr">
        <is>
          <t>公民與社會</t>
        </is>
      </c>
      <c r="D494" s="8" t="n"/>
      <c r="E494" s="8" t="inlineStr">
        <is>
          <t>加深加廣選修 民主政治與法律</t>
        </is>
      </c>
      <c r="F494" s="8">
        <f>COUNTIFS(高中!$A:$A,$B494,高中!$E:$E,$C494,高中!$F:$F,"&lt;&gt;",高中!$C:$C,"",高中!$D:$D,$E494)</f>
        <v/>
      </c>
      <c r="G494" s="8">
        <f>IF(F494&gt;0,"已查到","未查到")</f>
        <v/>
      </c>
    </row>
    <row r="495">
      <c r="A495" s="8" t="inlineStr">
        <is>
          <t>高中</t>
        </is>
      </c>
      <c r="B495" s="8" t="inlineStr">
        <is>
          <t>泰宇</t>
        </is>
      </c>
      <c r="C495" s="8" t="inlineStr">
        <is>
          <t>公民與社會</t>
        </is>
      </c>
      <c r="D495" s="8" t="n"/>
      <c r="E495" s="8" t="inlineStr">
        <is>
          <t>加深加廣選修 現代社會與經濟</t>
        </is>
      </c>
      <c r="F495" s="8">
        <f>COUNTIFS(高中!$A:$A,$B495,高中!$E:$E,$C495,高中!$F:$F,"&lt;&gt;",高中!$C:$C,"",高中!$D:$D,$E495)</f>
        <v/>
      </c>
      <c r="G495" s="8">
        <f>IF(F495&gt;0,"已查到","未查到")</f>
        <v/>
      </c>
    </row>
  </sheetData>
  <autoFilter ref="A1:G49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2026-10-19T13:29:00Z</dcterms:created>
  <dcterms:modified xmlns:dcterms="http://purl.org/dc/terms/" xmlns:xsi="http://www.w3.org/2001/XMLSchema-instance" xsi:type="dcterms:W3CDTF">2026-10-19T13:29:01Z</dcterms:modified>
</cp:coreProperties>
</file>